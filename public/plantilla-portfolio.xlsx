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yectos\freewallet\public\"/>
    </mc:Choice>
  </mc:AlternateContent>
  <xr:revisionPtr revIDLastSave="0" documentId="13_ncr:1_{EEE86928-42EB-4FAA-ACF9-9CCBBAC077F1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Resumen" sheetId="1" r:id="rId1"/>
    <sheet name="Cartera" sheetId="2" r:id="rId2"/>
    <sheet name="Evolucion" sheetId="3" r:id="rId3"/>
    <sheet name="Diario" sheetId="4" r:id="rId4"/>
    <sheet name="Movimientos" sheetId="5" r:id="rId5"/>
    <sheet name="Comparativa" sheetId="6" r:id="rId6"/>
    <sheet name="Objetivos" sheetId="7" r:id="rId7"/>
    <sheet name="Estadísticas avanzadas" sheetId="8" r:id="rId8"/>
    <sheet name="Control" sheetId="9" r:id="rId9"/>
    <sheet name="Calendario" sheetId="10" r:id="rId10"/>
    <sheet name="Datos diarios" sheetId="11" state="hidden" r:id="rId1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6" i="1"/>
  <c r="C4" i="1"/>
  <c r="C22" i="9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D366" i="11"/>
  <c r="B366" i="11"/>
  <c r="E366" i="11" s="1"/>
  <c r="D365" i="11"/>
  <c r="B365" i="11"/>
  <c r="E365" i="11" s="1"/>
  <c r="D364" i="11"/>
  <c r="B364" i="11"/>
  <c r="E364" i="11" s="1"/>
  <c r="D363" i="11"/>
  <c r="B363" i="11"/>
  <c r="E363" i="11" s="1"/>
  <c r="D362" i="11"/>
  <c r="B362" i="11"/>
  <c r="E362" i="11" s="1"/>
  <c r="D361" i="11"/>
  <c r="B361" i="11"/>
  <c r="E361" i="11" s="1"/>
  <c r="D360" i="11"/>
  <c r="B360" i="11"/>
  <c r="E360" i="11" s="1"/>
  <c r="D359" i="11"/>
  <c r="B359" i="11"/>
  <c r="E359" i="11" s="1"/>
  <c r="D358" i="11"/>
  <c r="B358" i="11"/>
  <c r="E358" i="11" s="1"/>
  <c r="D357" i="11"/>
  <c r="B357" i="11"/>
  <c r="E357" i="11" s="1"/>
  <c r="D356" i="11"/>
  <c r="B356" i="11"/>
  <c r="E356" i="11" s="1"/>
  <c r="D355" i="11"/>
  <c r="B355" i="11"/>
  <c r="E355" i="11" s="1"/>
  <c r="D354" i="11"/>
  <c r="B354" i="11"/>
  <c r="E354" i="11" s="1"/>
  <c r="D353" i="11"/>
  <c r="B353" i="11"/>
  <c r="E353" i="11" s="1"/>
  <c r="D352" i="11"/>
  <c r="B352" i="11"/>
  <c r="E352" i="11" s="1"/>
  <c r="D351" i="11"/>
  <c r="B351" i="11"/>
  <c r="E351" i="11" s="1"/>
  <c r="D350" i="11"/>
  <c r="B350" i="11"/>
  <c r="E350" i="11" s="1"/>
  <c r="D349" i="11"/>
  <c r="B349" i="11"/>
  <c r="E349" i="11" s="1"/>
  <c r="D348" i="11"/>
  <c r="B348" i="11"/>
  <c r="E348" i="11" s="1"/>
  <c r="D347" i="11"/>
  <c r="B347" i="11"/>
  <c r="E347" i="11" s="1"/>
  <c r="D346" i="11"/>
  <c r="B346" i="11"/>
  <c r="E346" i="11" s="1"/>
  <c r="D345" i="11"/>
  <c r="B345" i="11"/>
  <c r="E345" i="11" s="1"/>
  <c r="D344" i="11"/>
  <c r="B344" i="11"/>
  <c r="E344" i="11" s="1"/>
  <c r="D343" i="11"/>
  <c r="B343" i="11"/>
  <c r="E343" i="11" s="1"/>
  <c r="D342" i="11"/>
  <c r="B342" i="11"/>
  <c r="E342" i="11" s="1"/>
  <c r="D341" i="11"/>
  <c r="B341" i="11"/>
  <c r="E341" i="11" s="1"/>
  <c r="D340" i="11"/>
  <c r="B340" i="11"/>
  <c r="E340" i="11" s="1"/>
  <c r="D339" i="11"/>
  <c r="B339" i="11"/>
  <c r="E339" i="11" s="1"/>
  <c r="D338" i="11"/>
  <c r="B338" i="11"/>
  <c r="E338" i="11" s="1"/>
  <c r="D337" i="11"/>
  <c r="B337" i="11"/>
  <c r="E337" i="11" s="1"/>
  <c r="D336" i="11"/>
  <c r="B336" i="11"/>
  <c r="E336" i="11" s="1"/>
  <c r="D335" i="11"/>
  <c r="B335" i="11"/>
  <c r="E335" i="11" s="1"/>
  <c r="D334" i="11"/>
  <c r="B334" i="11"/>
  <c r="E334" i="11" s="1"/>
  <c r="D333" i="11"/>
  <c r="B333" i="11"/>
  <c r="E333" i="11" s="1"/>
  <c r="D332" i="11"/>
  <c r="B332" i="11"/>
  <c r="E332" i="11" s="1"/>
  <c r="D331" i="11"/>
  <c r="B331" i="11"/>
  <c r="E331" i="11" s="1"/>
  <c r="D330" i="11"/>
  <c r="B330" i="11"/>
  <c r="E330" i="11" s="1"/>
  <c r="D329" i="11"/>
  <c r="B329" i="11"/>
  <c r="E329" i="11" s="1"/>
  <c r="D328" i="11"/>
  <c r="B328" i="11"/>
  <c r="E328" i="11" s="1"/>
  <c r="D327" i="11"/>
  <c r="B327" i="11"/>
  <c r="E327" i="11" s="1"/>
  <c r="D326" i="11"/>
  <c r="B326" i="11"/>
  <c r="E326" i="11" s="1"/>
  <c r="D325" i="11"/>
  <c r="B325" i="11"/>
  <c r="E325" i="11" s="1"/>
  <c r="D324" i="11"/>
  <c r="B324" i="11"/>
  <c r="E324" i="11" s="1"/>
  <c r="D323" i="11"/>
  <c r="B323" i="11"/>
  <c r="E323" i="11" s="1"/>
  <c r="D322" i="11"/>
  <c r="B322" i="11"/>
  <c r="E322" i="11" s="1"/>
  <c r="D321" i="11"/>
  <c r="B321" i="11"/>
  <c r="E321" i="11" s="1"/>
  <c r="D320" i="11"/>
  <c r="B320" i="11"/>
  <c r="E320" i="11" s="1"/>
  <c r="D319" i="11"/>
  <c r="B319" i="11"/>
  <c r="E319" i="11" s="1"/>
  <c r="D318" i="11"/>
  <c r="B318" i="11"/>
  <c r="E318" i="11" s="1"/>
  <c r="D317" i="11"/>
  <c r="B317" i="11"/>
  <c r="E317" i="11" s="1"/>
  <c r="D316" i="11"/>
  <c r="B316" i="11"/>
  <c r="E316" i="11" s="1"/>
  <c r="D315" i="11"/>
  <c r="B315" i="11"/>
  <c r="E315" i="11" s="1"/>
  <c r="D314" i="11"/>
  <c r="B314" i="11"/>
  <c r="E314" i="11" s="1"/>
  <c r="D313" i="11"/>
  <c r="B313" i="11"/>
  <c r="E313" i="11" s="1"/>
  <c r="D312" i="11"/>
  <c r="B312" i="11"/>
  <c r="E312" i="11" s="1"/>
  <c r="D311" i="11"/>
  <c r="B311" i="11"/>
  <c r="E311" i="11" s="1"/>
  <c r="D310" i="11"/>
  <c r="B310" i="11"/>
  <c r="E310" i="11" s="1"/>
  <c r="D309" i="11"/>
  <c r="B309" i="11"/>
  <c r="E309" i="11" s="1"/>
  <c r="D308" i="11"/>
  <c r="B308" i="11"/>
  <c r="E308" i="11" s="1"/>
  <c r="D307" i="11"/>
  <c r="B307" i="11"/>
  <c r="E307" i="11" s="1"/>
  <c r="D306" i="11"/>
  <c r="B306" i="11"/>
  <c r="E306" i="11" s="1"/>
  <c r="D305" i="11"/>
  <c r="B305" i="11"/>
  <c r="E305" i="11" s="1"/>
  <c r="D304" i="11"/>
  <c r="B304" i="11"/>
  <c r="E304" i="11" s="1"/>
  <c r="D303" i="11"/>
  <c r="B303" i="11"/>
  <c r="E303" i="11" s="1"/>
  <c r="D302" i="11"/>
  <c r="B302" i="11"/>
  <c r="E302" i="11" s="1"/>
  <c r="D301" i="11"/>
  <c r="B301" i="11"/>
  <c r="E301" i="11" s="1"/>
  <c r="D300" i="11"/>
  <c r="B300" i="11"/>
  <c r="E300" i="11" s="1"/>
  <c r="D299" i="11"/>
  <c r="B299" i="11"/>
  <c r="E299" i="11" s="1"/>
  <c r="D298" i="11"/>
  <c r="B298" i="11"/>
  <c r="E298" i="11" s="1"/>
  <c r="D297" i="11"/>
  <c r="B297" i="11"/>
  <c r="E297" i="11" s="1"/>
  <c r="D296" i="11"/>
  <c r="B296" i="11"/>
  <c r="E296" i="11" s="1"/>
  <c r="D295" i="11"/>
  <c r="B295" i="11"/>
  <c r="E295" i="11" s="1"/>
  <c r="D294" i="11"/>
  <c r="B294" i="11"/>
  <c r="E294" i="11" s="1"/>
  <c r="D293" i="11"/>
  <c r="B293" i="11"/>
  <c r="E293" i="11" s="1"/>
  <c r="D292" i="11"/>
  <c r="B292" i="11"/>
  <c r="E292" i="11" s="1"/>
  <c r="D291" i="11"/>
  <c r="B291" i="11"/>
  <c r="E291" i="11" s="1"/>
  <c r="D290" i="11"/>
  <c r="B290" i="11"/>
  <c r="E290" i="11" s="1"/>
  <c r="D289" i="11"/>
  <c r="B289" i="11"/>
  <c r="E289" i="11" s="1"/>
  <c r="D288" i="11"/>
  <c r="B288" i="11"/>
  <c r="E288" i="11" s="1"/>
  <c r="D287" i="11"/>
  <c r="B287" i="11"/>
  <c r="E287" i="11" s="1"/>
  <c r="D286" i="11"/>
  <c r="B286" i="11"/>
  <c r="E286" i="11" s="1"/>
  <c r="D285" i="11"/>
  <c r="B285" i="11"/>
  <c r="E285" i="11" s="1"/>
  <c r="D284" i="11"/>
  <c r="B284" i="11"/>
  <c r="E284" i="11" s="1"/>
  <c r="D283" i="11"/>
  <c r="B283" i="11"/>
  <c r="E283" i="11" s="1"/>
  <c r="D282" i="11"/>
  <c r="B282" i="11"/>
  <c r="E282" i="11" s="1"/>
  <c r="D281" i="11"/>
  <c r="B281" i="11"/>
  <c r="E281" i="11" s="1"/>
  <c r="D280" i="11"/>
  <c r="B280" i="11"/>
  <c r="E280" i="11" s="1"/>
  <c r="D279" i="11"/>
  <c r="B279" i="11"/>
  <c r="E279" i="11" s="1"/>
  <c r="D278" i="11"/>
  <c r="B278" i="11"/>
  <c r="E278" i="11" s="1"/>
  <c r="D277" i="11"/>
  <c r="B277" i="11"/>
  <c r="E277" i="11" s="1"/>
  <c r="D276" i="11"/>
  <c r="B276" i="11"/>
  <c r="E276" i="11" s="1"/>
  <c r="D275" i="11"/>
  <c r="B275" i="11"/>
  <c r="E275" i="11" s="1"/>
  <c r="D274" i="11"/>
  <c r="B274" i="11"/>
  <c r="E274" i="11" s="1"/>
  <c r="D273" i="11"/>
  <c r="B273" i="11"/>
  <c r="E273" i="11" s="1"/>
  <c r="D272" i="11"/>
  <c r="B272" i="11"/>
  <c r="E272" i="11" s="1"/>
  <c r="D271" i="11"/>
  <c r="B271" i="11"/>
  <c r="E271" i="11" s="1"/>
  <c r="D270" i="11"/>
  <c r="B270" i="11"/>
  <c r="E270" i="11" s="1"/>
  <c r="D269" i="11"/>
  <c r="B269" i="11"/>
  <c r="E269" i="11" s="1"/>
  <c r="D268" i="11"/>
  <c r="B268" i="11"/>
  <c r="E268" i="11" s="1"/>
  <c r="D267" i="11"/>
  <c r="B267" i="11"/>
  <c r="E267" i="11" s="1"/>
  <c r="D266" i="11"/>
  <c r="B266" i="11"/>
  <c r="E266" i="11" s="1"/>
  <c r="D265" i="11"/>
  <c r="B265" i="11"/>
  <c r="E265" i="11" s="1"/>
  <c r="D264" i="11"/>
  <c r="B264" i="11"/>
  <c r="E264" i="11" s="1"/>
  <c r="D263" i="11"/>
  <c r="B263" i="11"/>
  <c r="E263" i="11" s="1"/>
  <c r="D262" i="11"/>
  <c r="B262" i="11"/>
  <c r="E262" i="11" s="1"/>
  <c r="D261" i="11"/>
  <c r="B261" i="11"/>
  <c r="E261" i="11" s="1"/>
  <c r="D260" i="11"/>
  <c r="B260" i="11"/>
  <c r="E260" i="11" s="1"/>
  <c r="D259" i="11"/>
  <c r="B259" i="11"/>
  <c r="E259" i="11" s="1"/>
  <c r="D258" i="11"/>
  <c r="B258" i="11"/>
  <c r="E258" i="11" s="1"/>
  <c r="D257" i="11"/>
  <c r="B257" i="11"/>
  <c r="E257" i="11" s="1"/>
  <c r="D256" i="11"/>
  <c r="B256" i="11"/>
  <c r="E256" i="11" s="1"/>
  <c r="D255" i="11"/>
  <c r="B255" i="11"/>
  <c r="E255" i="11" s="1"/>
  <c r="D254" i="11"/>
  <c r="B254" i="11"/>
  <c r="E254" i="11" s="1"/>
  <c r="D253" i="11"/>
  <c r="B253" i="11"/>
  <c r="E253" i="11" s="1"/>
  <c r="D252" i="11"/>
  <c r="B252" i="11"/>
  <c r="E252" i="11" s="1"/>
  <c r="D251" i="11"/>
  <c r="B251" i="11"/>
  <c r="E251" i="11" s="1"/>
  <c r="D250" i="11"/>
  <c r="B250" i="11"/>
  <c r="E250" i="11" s="1"/>
  <c r="D249" i="11"/>
  <c r="B249" i="11"/>
  <c r="E249" i="11" s="1"/>
  <c r="D248" i="11"/>
  <c r="B248" i="11"/>
  <c r="E248" i="11" s="1"/>
  <c r="D247" i="11"/>
  <c r="B247" i="11"/>
  <c r="E247" i="11" s="1"/>
  <c r="D246" i="11"/>
  <c r="B246" i="11"/>
  <c r="E246" i="11" s="1"/>
  <c r="D245" i="11"/>
  <c r="B245" i="11"/>
  <c r="E245" i="11" s="1"/>
  <c r="D244" i="11"/>
  <c r="B244" i="11"/>
  <c r="E244" i="11" s="1"/>
  <c r="D243" i="11"/>
  <c r="B243" i="11"/>
  <c r="E243" i="11" s="1"/>
  <c r="D242" i="11"/>
  <c r="B242" i="11"/>
  <c r="E242" i="11" s="1"/>
  <c r="D241" i="11"/>
  <c r="B241" i="11"/>
  <c r="E241" i="11" s="1"/>
  <c r="D240" i="11"/>
  <c r="B240" i="11"/>
  <c r="E240" i="11" s="1"/>
  <c r="D239" i="11"/>
  <c r="B239" i="11"/>
  <c r="E239" i="11" s="1"/>
  <c r="D238" i="11"/>
  <c r="B238" i="11"/>
  <c r="E238" i="11" s="1"/>
  <c r="D237" i="11"/>
  <c r="B237" i="11"/>
  <c r="E237" i="11" s="1"/>
  <c r="D236" i="11"/>
  <c r="B236" i="11"/>
  <c r="E236" i="11" s="1"/>
  <c r="D235" i="11"/>
  <c r="B235" i="11"/>
  <c r="E235" i="11" s="1"/>
  <c r="D234" i="11"/>
  <c r="B234" i="11"/>
  <c r="E234" i="11" s="1"/>
  <c r="D233" i="11"/>
  <c r="B233" i="11"/>
  <c r="E233" i="11" s="1"/>
  <c r="D232" i="11"/>
  <c r="B232" i="11"/>
  <c r="E232" i="11" s="1"/>
  <c r="D231" i="11"/>
  <c r="B231" i="11"/>
  <c r="E231" i="11" s="1"/>
  <c r="D230" i="11"/>
  <c r="B230" i="11"/>
  <c r="E230" i="11" s="1"/>
  <c r="D229" i="11"/>
  <c r="B229" i="11"/>
  <c r="E229" i="11" s="1"/>
  <c r="D228" i="11"/>
  <c r="B228" i="11"/>
  <c r="E228" i="11" s="1"/>
  <c r="D227" i="11"/>
  <c r="B227" i="11"/>
  <c r="E227" i="11" s="1"/>
  <c r="D226" i="11"/>
  <c r="B226" i="11"/>
  <c r="E226" i="11" s="1"/>
  <c r="D225" i="11"/>
  <c r="B225" i="11"/>
  <c r="E225" i="11" s="1"/>
  <c r="D224" i="11"/>
  <c r="B224" i="11"/>
  <c r="E224" i="11" s="1"/>
  <c r="D223" i="11"/>
  <c r="B223" i="11"/>
  <c r="E223" i="11" s="1"/>
  <c r="D222" i="11"/>
  <c r="B222" i="11"/>
  <c r="E222" i="11" s="1"/>
  <c r="D221" i="11"/>
  <c r="B221" i="11"/>
  <c r="E221" i="11" s="1"/>
  <c r="D220" i="11"/>
  <c r="B220" i="11"/>
  <c r="E220" i="11" s="1"/>
  <c r="D219" i="11"/>
  <c r="B219" i="11"/>
  <c r="E219" i="11" s="1"/>
  <c r="D218" i="11"/>
  <c r="B218" i="11"/>
  <c r="E218" i="11" s="1"/>
  <c r="D217" i="11"/>
  <c r="B217" i="11"/>
  <c r="E217" i="11" s="1"/>
  <c r="D216" i="11"/>
  <c r="B216" i="11"/>
  <c r="E216" i="11" s="1"/>
  <c r="D215" i="11"/>
  <c r="B215" i="11"/>
  <c r="E215" i="11" s="1"/>
  <c r="D214" i="11"/>
  <c r="B214" i="11"/>
  <c r="E214" i="11" s="1"/>
  <c r="D213" i="11"/>
  <c r="B213" i="11"/>
  <c r="E213" i="11" s="1"/>
  <c r="D212" i="11"/>
  <c r="B212" i="11"/>
  <c r="E212" i="11" s="1"/>
  <c r="D211" i="11"/>
  <c r="B211" i="11"/>
  <c r="E211" i="11" s="1"/>
  <c r="D210" i="11"/>
  <c r="B210" i="11"/>
  <c r="E210" i="11" s="1"/>
  <c r="D209" i="11"/>
  <c r="B209" i="11"/>
  <c r="E209" i="11" s="1"/>
  <c r="D208" i="11"/>
  <c r="B208" i="11"/>
  <c r="E208" i="11" s="1"/>
  <c r="D207" i="11"/>
  <c r="B207" i="11"/>
  <c r="E207" i="11" s="1"/>
  <c r="D206" i="11"/>
  <c r="B206" i="11"/>
  <c r="E206" i="11" s="1"/>
  <c r="D205" i="11"/>
  <c r="B205" i="11"/>
  <c r="E205" i="11" s="1"/>
  <c r="D204" i="11"/>
  <c r="B204" i="11"/>
  <c r="E204" i="11" s="1"/>
  <c r="D203" i="11"/>
  <c r="B203" i="11"/>
  <c r="E203" i="11" s="1"/>
  <c r="D202" i="11"/>
  <c r="B202" i="11"/>
  <c r="E202" i="11" s="1"/>
  <c r="D201" i="11"/>
  <c r="B201" i="11"/>
  <c r="E201" i="11" s="1"/>
  <c r="D200" i="11"/>
  <c r="B200" i="11"/>
  <c r="E200" i="11" s="1"/>
  <c r="D199" i="11"/>
  <c r="B199" i="11"/>
  <c r="E199" i="11" s="1"/>
  <c r="D198" i="11"/>
  <c r="B198" i="11"/>
  <c r="E198" i="11" s="1"/>
  <c r="D197" i="11"/>
  <c r="B197" i="11"/>
  <c r="E197" i="11" s="1"/>
  <c r="D196" i="11"/>
  <c r="B196" i="11"/>
  <c r="E196" i="11" s="1"/>
  <c r="D195" i="11"/>
  <c r="B195" i="11"/>
  <c r="E195" i="11" s="1"/>
  <c r="D194" i="11"/>
  <c r="B194" i="11"/>
  <c r="E194" i="11" s="1"/>
  <c r="D193" i="11"/>
  <c r="B193" i="11"/>
  <c r="E193" i="11" s="1"/>
  <c r="D192" i="11"/>
  <c r="B192" i="11"/>
  <c r="E192" i="11" s="1"/>
  <c r="D191" i="11"/>
  <c r="B191" i="11"/>
  <c r="E191" i="11" s="1"/>
  <c r="D190" i="11"/>
  <c r="B190" i="11"/>
  <c r="E190" i="11" s="1"/>
  <c r="D189" i="11"/>
  <c r="B189" i="11"/>
  <c r="E189" i="11" s="1"/>
  <c r="D188" i="11"/>
  <c r="B188" i="11"/>
  <c r="E188" i="11" s="1"/>
  <c r="D187" i="11"/>
  <c r="B187" i="11"/>
  <c r="E187" i="11" s="1"/>
  <c r="D186" i="11"/>
  <c r="B186" i="11"/>
  <c r="E186" i="11" s="1"/>
  <c r="D185" i="11"/>
  <c r="B185" i="11"/>
  <c r="E185" i="11" s="1"/>
  <c r="D184" i="11"/>
  <c r="B184" i="11"/>
  <c r="E184" i="11" s="1"/>
  <c r="D183" i="11"/>
  <c r="B183" i="11"/>
  <c r="E183" i="11" s="1"/>
  <c r="D182" i="11"/>
  <c r="D181" i="11"/>
  <c r="B181" i="11"/>
  <c r="E181" i="11" s="1"/>
  <c r="D180" i="11"/>
  <c r="B180" i="11"/>
  <c r="E180" i="11" s="1"/>
  <c r="D179" i="11"/>
  <c r="B179" i="11"/>
  <c r="E179" i="11" s="1"/>
  <c r="D178" i="11"/>
  <c r="B178" i="11"/>
  <c r="E178" i="11" s="1"/>
  <c r="D177" i="11"/>
  <c r="B177" i="11"/>
  <c r="E177" i="11" s="1"/>
  <c r="D176" i="11"/>
  <c r="B176" i="11"/>
  <c r="E176" i="11" s="1"/>
  <c r="D175" i="11"/>
  <c r="B175" i="11"/>
  <c r="E175" i="11" s="1"/>
  <c r="D174" i="11"/>
  <c r="B174" i="11"/>
  <c r="E174" i="11" s="1"/>
  <c r="D173" i="11"/>
  <c r="B173" i="11"/>
  <c r="E173" i="11" s="1"/>
  <c r="D172" i="11"/>
  <c r="B172" i="11"/>
  <c r="E172" i="11" s="1"/>
  <c r="D171" i="11"/>
  <c r="B171" i="11"/>
  <c r="E171" i="11" s="1"/>
  <c r="D170" i="11"/>
  <c r="B170" i="11"/>
  <c r="E170" i="11" s="1"/>
  <c r="D169" i="11"/>
  <c r="B169" i="11"/>
  <c r="E169" i="11" s="1"/>
  <c r="D168" i="11"/>
  <c r="B168" i="11"/>
  <c r="E168" i="11" s="1"/>
  <c r="D167" i="11"/>
  <c r="B167" i="11"/>
  <c r="E167" i="11" s="1"/>
  <c r="D166" i="11"/>
  <c r="B166" i="11"/>
  <c r="E166" i="11" s="1"/>
  <c r="D165" i="11"/>
  <c r="B165" i="11"/>
  <c r="E165" i="11" s="1"/>
  <c r="D164" i="11"/>
  <c r="B164" i="11"/>
  <c r="E164" i="11" s="1"/>
  <c r="D163" i="11"/>
  <c r="B163" i="11"/>
  <c r="E163" i="11" s="1"/>
  <c r="D162" i="11"/>
  <c r="B162" i="11"/>
  <c r="E162" i="11" s="1"/>
  <c r="D161" i="11"/>
  <c r="B161" i="11"/>
  <c r="E161" i="11" s="1"/>
  <c r="D160" i="11"/>
  <c r="B160" i="11"/>
  <c r="E160" i="11" s="1"/>
  <c r="D159" i="11"/>
  <c r="B159" i="11"/>
  <c r="E159" i="11" s="1"/>
  <c r="D158" i="11"/>
  <c r="B158" i="11"/>
  <c r="E158" i="11" s="1"/>
  <c r="D157" i="11"/>
  <c r="B157" i="11"/>
  <c r="E157" i="11" s="1"/>
  <c r="D156" i="11"/>
  <c r="B156" i="11"/>
  <c r="E156" i="11" s="1"/>
  <c r="D155" i="11"/>
  <c r="B155" i="11"/>
  <c r="E155" i="11" s="1"/>
  <c r="D154" i="11"/>
  <c r="B154" i="11"/>
  <c r="E154" i="11" s="1"/>
  <c r="D153" i="11"/>
  <c r="B153" i="11"/>
  <c r="E153" i="11" s="1"/>
  <c r="D152" i="11"/>
  <c r="B152" i="11"/>
  <c r="E152" i="11" s="1"/>
  <c r="D151" i="11"/>
  <c r="B151" i="11"/>
  <c r="E151" i="11" s="1"/>
  <c r="D150" i="11"/>
  <c r="D149" i="11"/>
  <c r="B149" i="11"/>
  <c r="E149" i="11" s="1"/>
  <c r="D148" i="11"/>
  <c r="B148" i="11"/>
  <c r="E148" i="11" s="1"/>
  <c r="D147" i="11"/>
  <c r="B147" i="11"/>
  <c r="E147" i="11" s="1"/>
  <c r="D146" i="11"/>
  <c r="B146" i="11"/>
  <c r="E146" i="11" s="1"/>
  <c r="D145" i="11"/>
  <c r="B145" i="11"/>
  <c r="E145" i="11" s="1"/>
  <c r="D144" i="11"/>
  <c r="B144" i="11"/>
  <c r="E144" i="11" s="1"/>
  <c r="D143" i="11"/>
  <c r="B143" i="11"/>
  <c r="E143" i="11" s="1"/>
  <c r="D142" i="11"/>
  <c r="B142" i="11"/>
  <c r="E142" i="11" s="1"/>
  <c r="D141" i="11"/>
  <c r="B141" i="11"/>
  <c r="E141" i="11" s="1"/>
  <c r="D140" i="11"/>
  <c r="B140" i="11"/>
  <c r="E140" i="11" s="1"/>
  <c r="D139" i="11"/>
  <c r="B139" i="11"/>
  <c r="E139" i="11" s="1"/>
  <c r="D138" i="11"/>
  <c r="B138" i="11"/>
  <c r="E138" i="11" s="1"/>
  <c r="D137" i="11"/>
  <c r="B137" i="11"/>
  <c r="E137" i="11" s="1"/>
  <c r="D136" i="11"/>
  <c r="B136" i="11"/>
  <c r="E136" i="11" s="1"/>
  <c r="D135" i="11"/>
  <c r="B135" i="11"/>
  <c r="E135" i="11" s="1"/>
  <c r="D134" i="11"/>
  <c r="B134" i="11"/>
  <c r="E134" i="11" s="1"/>
  <c r="D133" i="11"/>
  <c r="B133" i="11"/>
  <c r="E133" i="11" s="1"/>
  <c r="D132" i="11"/>
  <c r="B132" i="11"/>
  <c r="E132" i="11" s="1"/>
  <c r="D131" i="11"/>
  <c r="B131" i="11"/>
  <c r="E131" i="11" s="1"/>
  <c r="D130" i="11"/>
  <c r="B130" i="11"/>
  <c r="E130" i="11" s="1"/>
  <c r="D129" i="11"/>
  <c r="B129" i="11"/>
  <c r="E129" i="11" s="1"/>
  <c r="D128" i="11"/>
  <c r="B128" i="11"/>
  <c r="E128" i="11" s="1"/>
  <c r="D127" i="11"/>
  <c r="B127" i="11"/>
  <c r="E127" i="11" s="1"/>
  <c r="D126" i="11"/>
  <c r="B126" i="11"/>
  <c r="E126" i="11" s="1"/>
  <c r="D125" i="11"/>
  <c r="B125" i="11"/>
  <c r="E125" i="11" s="1"/>
  <c r="D124" i="11"/>
  <c r="B124" i="11"/>
  <c r="E124" i="11" s="1"/>
  <c r="D123" i="11"/>
  <c r="B123" i="11"/>
  <c r="E123" i="11" s="1"/>
  <c r="D122" i="11"/>
  <c r="B122" i="11"/>
  <c r="E122" i="11" s="1"/>
  <c r="D121" i="11"/>
  <c r="D120" i="11"/>
  <c r="B120" i="11"/>
  <c r="E120" i="11" s="1"/>
  <c r="D119" i="11"/>
  <c r="B119" i="11"/>
  <c r="E119" i="11" s="1"/>
  <c r="D118" i="11"/>
  <c r="B118" i="11"/>
  <c r="E118" i="11" s="1"/>
  <c r="D117" i="11"/>
  <c r="B117" i="11"/>
  <c r="E117" i="11" s="1"/>
  <c r="D116" i="11"/>
  <c r="B116" i="11"/>
  <c r="E116" i="11" s="1"/>
  <c r="D115" i="11"/>
  <c r="B115" i="11"/>
  <c r="E115" i="11" s="1"/>
  <c r="D114" i="11"/>
  <c r="B114" i="11"/>
  <c r="E114" i="11" s="1"/>
  <c r="D113" i="11"/>
  <c r="B113" i="11"/>
  <c r="E113" i="11" s="1"/>
  <c r="D112" i="11"/>
  <c r="B112" i="11"/>
  <c r="E112" i="11" s="1"/>
  <c r="D111" i="11"/>
  <c r="B111" i="11"/>
  <c r="E111" i="11" s="1"/>
  <c r="D110" i="11"/>
  <c r="B110" i="11"/>
  <c r="E110" i="11" s="1"/>
  <c r="D109" i="11"/>
  <c r="B109" i="11"/>
  <c r="E109" i="11" s="1"/>
  <c r="D108" i="11"/>
  <c r="B108" i="11"/>
  <c r="E108" i="11" s="1"/>
  <c r="D107" i="11"/>
  <c r="B107" i="11"/>
  <c r="E107" i="11" s="1"/>
  <c r="D106" i="11"/>
  <c r="B106" i="11"/>
  <c r="E106" i="11" s="1"/>
  <c r="D105" i="11"/>
  <c r="B105" i="11"/>
  <c r="E105" i="11" s="1"/>
  <c r="D104" i="11"/>
  <c r="B104" i="11"/>
  <c r="E104" i="11" s="1"/>
  <c r="D103" i="11"/>
  <c r="B103" i="11"/>
  <c r="E103" i="11" s="1"/>
  <c r="D102" i="11"/>
  <c r="B102" i="11"/>
  <c r="E102" i="11" s="1"/>
  <c r="D101" i="11"/>
  <c r="B101" i="11"/>
  <c r="E101" i="11" s="1"/>
  <c r="D100" i="11"/>
  <c r="B100" i="11"/>
  <c r="E100" i="11" s="1"/>
  <c r="D99" i="11"/>
  <c r="B99" i="11"/>
  <c r="E99" i="11" s="1"/>
  <c r="D98" i="11"/>
  <c r="B98" i="11"/>
  <c r="E98" i="11" s="1"/>
  <c r="D97" i="11"/>
  <c r="B97" i="11"/>
  <c r="E97" i="11" s="1"/>
  <c r="D96" i="11"/>
  <c r="B96" i="11"/>
  <c r="E96" i="11" s="1"/>
  <c r="D95" i="11"/>
  <c r="B95" i="11"/>
  <c r="E95" i="11" s="1"/>
  <c r="D94" i="11"/>
  <c r="B94" i="11"/>
  <c r="E94" i="11" s="1"/>
  <c r="D93" i="11"/>
  <c r="B93" i="11"/>
  <c r="E93" i="11" s="1"/>
  <c r="D92" i="11"/>
  <c r="B92" i="11"/>
  <c r="E92" i="11" s="1"/>
  <c r="D91" i="11"/>
  <c r="D90" i="11"/>
  <c r="B90" i="11"/>
  <c r="E90" i="11" s="1"/>
  <c r="D89" i="11"/>
  <c r="B89" i="11"/>
  <c r="E89" i="11" s="1"/>
  <c r="D88" i="11"/>
  <c r="B88" i="11"/>
  <c r="E88" i="11" s="1"/>
  <c r="D87" i="11"/>
  <c r="B87" i="11"/>
  <c r="E87" i="11" s="1"/>
  <c r="D86" i="11"/>
  <c r="B86" i="11"/>
  <c r="E86" i="11" s="1"/>
  <c r="D85" i="11"/>
  <c r="B85" i="11"/>
  <c r="E85" i="11" s="1"/>
  <c r="D84" i="11"/>
  <c r="B84" i="11"/>
  <c r="E84" i="11" s="1"/>
  <c r="D83" i="11"/>
  <c r="B83" i="11"/>
  <c r="E83" i="11" s="1"/>
  <c r="D82" i="11"/>
  <c r="B82" i="11"/>
  <c r="E82" i="11" s="1"/>
  <c r="D81" i="11"/>
  <c r="B81" i="11"/>
  <c r="E81" i="11" s="1"/>
  <c r="D80" i="11"/>
  <c r="B80" i="11"/>
  <c r="E80" i="11" s="1"/>
  <c r="D79" i="11"/>
  <c r="B79" i="11"/>
  <c r="E79" i="11" s="1"/>
  <c r="D78" i="11"/>
  <c r="B78" i="11"/>
  <c r="E78" i="11" s="1"/>
  <c r="D77" i="11"/>
  <c r="B77" i="11"/>
  <c r="E77" i="11" s="1"/>
  <c r="D76" i="11"/>
  <c r="B76" i="11"/>
  <c r="E76" i="11" s="1"/>
  <c r="D75" i="11"/>
  <c r="B75" i="11"/>
  <c r="E75" i="11" s="1"/>
  <c r="D74" i="11"/>
  <c r="B74" i="11"/>
  <c r="E74" i="11" s="1"/>
  <c r="D73" i="11"/>
  <c r="B73" i="11"/>
  <c r="E73" i="11" s="1"/>
  <c r="D72" i="11"/>
  <c r="B72" i="11"/>
  <c r="E72" i="11" s="1"/>
  <c r="D71" i="11"/>
  <c r="B71" i="11"/>
  <c r="E71" i="11" s="1"/>
  <c r="D70" i="11"/>
  <c r="B70" i="11"/>
  <c r="E70" i="11" s="1"/>
  <c r="D69" i="11"/>
  <c r="B69" i="11"/>
  <c r="E69" i="11" s="1"/>
  <c r="D68" i="11"/>
  <c r="B68" i="11"/>
  <c r="E68" i="11" s="1"/>
  <c r="D67" i="11"/>
  <c r="B67" i="11"/>
  <c r="E67" i="11" s="1"/>
  <c r="D66" i="11"/>
  <c r="B66" i="11"/>
  <c r="E66" i="11" s="1"/>
  <c r="D65" i="11"/>
  <c r="B65" i="11"/>
  <c r="E65" i="11" s="1"/>
  <c r="D64" i="11"/>
  <c r="B64" i="11"/>
  <c r="E64" i="11" s="1"/>
  <c r="D63" i="11"/>
  <c r="B63" i="11"/>
  <c r="E63" i="11" s="1"/>
  <c r="D62" i="11"/>
  <c r="B62" i="11"/>
  <c r="E62" i="11" s="1"/>
  <c r="D61" i="11"/>
  <c r="B61" i="11"/>
  <c r="E61" i="11" s="1"/>
  <c r="D60" i="11"/>
  <c r="B60" i="11"/>
  <c r="E60" i="11" s="1"/>
  <c r="D59" i="11"/>
  <c r="D58" i="11"/>
  <c r="B58" i="11"/>
  <c r="E58" i="11" s="1"/>
  <c r="D57" i="11"/>
  <c r="B57" i="11"/>
  <c r="E57" i="11" s="1"/>
  <c r="D56" i="11"/>
  <c r="B56" i="11"/>
  <c r="E56" i="11" s="1"/>
  <c r="D55" i="11"/>
  <c r="B55" i="11"/>
  <c r="E55" i="11" s="1"/>
  <c r="D54" i="11"/>
  <c r="B54" i="11"/>
  <c r="E54" i="11" s="1"/>
  <c r="D53" i="11"/>
  <c r="B53" i="11"/>
  <c r="E53" i="11" s="1"/>
  <c r="D52" i="11"/>
  <c r="B52" i="11"/>
  <c r="E52" i="11" s="1"/>
  <c r="D51" i="11"/>
  <c r="B51" i="11"/>
  <c r="E51" i="11" s="1"/>
  <c r="D50" i="11"/>
  <c r="B50" i="11"/>
  <c r="E50" i="11" s="1"/>
  <c r="D49" i="11"/>
  <c r="B49" i="11"/>
  <c r="E49" i="11" s="1"/>
  <c r="D48" i="11"/>
  <c r="B48" i="11"/>
  <c r="E48" i="11" s="1"/>
  <c r="D47" i="11"/>
  <c r="B47" i="11"/>
  <c r="E47" i="11" s="1"/>
  <c r="D46" i="11"/>
  <c r="B46" i="11"/>
  <c r="E46" i="11" s="1"/>
  <c r="D45" i="11"/>
  <c r="B45" i="11"/>
  <c r="E45" i="11" s="1"/>
  <c r="D44" i="11"/>
  <c r="B44" i="11"/>
  <c r="E44" i="11" s="1"/>
  <c r="D43" i="11"/>
  <c r="B43" i="11"/>
  <c r="E43" i="11" s="1"/>
  <c r="D42" i="11"/>
  <c r="B42" i="11"/>
  <c r="E42" i="11" s="1"/>
  <c r="D41" i="11"/>
  <c r="B41" i="11"/>
  <c r="E41" i="11" s="1"/>
  <c r="D40" i="11"/>
  <c r="B40" i="11"/>
  <c r="E40" i="11" s="1"/>
  <c r="D39" i="11"/>
  <c r="B39" i="11"/>
  <c r="E39" i="11" s="1"/>
  <c r="D38" i="11"/>
  <c r="B38" i="11"/>
  <c r="E38" i="11" s="1"/>
  <c r="D37" i="11"/>
  <c r="B37" i="11"/>
  <c r="E37" i="11" s="1"/>
  <c r="D36" i="11"/>
  <c r="B36" i="11"/>
  <c r="E36" i="11" s="1"/>
  <c r="D35" i="11"/>
  <c r="B35" i="11"/>
  <c r="E35" i="11" s="1"/>
  <c r="D34" i="11"/>
  <c r="B34" i="11"/>
  <c r="E34" i="11" s="1"/>
  <c r="D33" i="11"/>
  <c r="B33" i="11"/>
  <c r="E33" i="11" s="1"/>
  <c r="D32" i="11"/>
  <c r="B32" i="11"/>
  <c r="E32" i="11" s="1"/>
  <c r="D31" i="11"/>
  <c r="D30" i="11"/>
  <c r="B30" i="11"/>
  <c r="E30" i="11" s="1"/>
  <c r="D29" i="11"/>
  <c r="B29" i="11"/>
  <c r="E29" i="11" s="1"/>
  <c r="D28" i="11"/>
  <c r="B28" i="11"/>
  <c r="E28" i="11" s="1"/>
  <c r="D27" i="11"/>
  <c r="B27" i="11"/>
  <c r="E27" i="11" s="1"/>
  <c r="D26" i="11"/>
  <c r="B26" i="11"/>
  <c r="E26" i="11" s="1"/>
  <c r="D25" i="11"/>
  <c r="B25" i="11"/>
  <c r="E25" i="11" s="1"/>
  <c r="D24" i="11"/>
  <c r="B24" i="11"/>
  <c r="E24" i="11" s="1"/>
  <c r="D23" i="11"/>
  <c r="B23" i="11"/>
  <c r="E23" i="11" s="1"/>
  <c r="D22" i="11"/>
  <c r="B22" i="11"/>
  <c r="E22" i="11" s="1"/>
  <c r="D21" i="11"/>
  <c r="B21" i="11"/>
  <c r="E21" i="11" s="1"/>
  <c r="D20" i="11"/>
  <c r="B20" i="11"/>
  <c r="E20" i="11" s="1"/>
  <c r="D19" i="11"/>
  <c r="B19" i="11"/>
  <c r="E19" i="11" s="1"/>
  <c r="D18" i="11"/>
  <c r="B18" i="11"/>
  <c r="E18" i="11" s="1"/>
  <c r="D17" i="11"/>
  <c r="B17" i="11"/>
  <c r="E17" i="11" s="1"/>
  <c r="D16" i="11"/>
  <c r="B16" i="11"/>
  <c r="E16" i="11" s="1"/>
  <c r="D15" i="11"/>
  <c r="B15" i="11"/>
  <c r="E15" i="11" s="1"/>
  <c r="D14" i="11"/>
  <c r="B14" i="11"/>
  <c r="E14" i="11" s="1"/>
  <c r="D13" i="11"/>
  <c r="B13" i="11"/>
  <c r="E13" i="11" s="1"/>
  <c r="D12" i="11"/>
  <c r="B12" i="11"/>
  <c r="E12" i="11" s="1"/>
  <c r="D11" i="11"/>
  <c r="B11" i="11"/>
  <c r="E11" i="11" s="1"/>
  <c r="D10" i="11"/>
  <c r="B10" i="11"/>
  <c r="E10" i="11" s="1"/>
  <c r="D9" i="11"/>
  <c r="B9" i="11"/>
  <c r="E9" i="11" s="1"/>
  <c r="D8" i="11"/>
  <c r="B8" i="11"/>
  <c r="E8" i="11" s="1"/>
  <c r="D7" i="11"/>
  <c r="B7" i="11"/>
  <c r="E7" i="11" s="1"/>
  <c r="D6" i="11"/>
  <c r="B6" i="11"/>
  <c r="E6" i="11" s="1"/>
  <c r="D5" i="11"/>
  <c r="B5" i="11"/>
  <c r="E5" i="11" s="1"/>
  <c r="D4" i="11"/>
  <c r="B4" i="11"/>
  <c r="E4" i="11" s="1"/>
  <c r="D3" i="11"/>
  <c r="B3" i="11"/>
  <c r="E3" i="11" s="1"/>
  <c r="D2" i="11"/>
  <c r="B2" i="11"/>
  <c r="E2" i="11" s="1"/>
  <c r="A71" i="10"/>
  <c r="I67" i="10"/>
  <c r="T65" i="10"/>
  <c r="S65" i="10"/>
  <c r="R65" i="10"/>
  <c r="Q65" i="10"/>
  <c r="O65" i="10"/>
  <c r="N65" i="10"/>
  <c r="M65" i="10"/>
  <c r="L65" i="10"/>
  <c r="K65" i="10"/>
  <c r="J65" i="10"/>
  <c r="I65" i="10"/>
  <c r="F65" i="10"/>
  <c r="E65" i="10"/>
  <c r="D65" i="10"/>
  <c r="C65" i="10"/>
  <c r="B65" i="10"/>
  <c r="A65" i="10"/>
  <c r="W63" i="10"/>
  <c r="V63" i="10"/>
  <c r="U63" i="10"/>
  <c r="T63" i="10"/>
  <c r="S63" i="10"/>
  <c r="R63" i="10"/>
  <c r="Q63" i="10"/>
  <c r="O63" i="10"/>
  <c r="N63" i="10"/>
  <c r="M63" i="10"/>
  <c r="L63" i="10"/>
  <c r="K63" i="10"/>
  <c r="J63" i="10"/>
  <c r="I63" i="10"/>
  <c r="G63" i="10"/>
  <c r="F63" i="10"/>
  <c r="E63" i="10"/>
  <c r="D63" i="10"/>
  <c r="C63" i="10"/>
  <c r="B63" i="10"/>
  <c r="A63" i="10"/>
  <c r="W61" i="10"/>
  <c r="V61" i="10"/>
  <c r="U61" i="10"/>
  <c r="T61" i="10"/>
  <c r="S61" i="10"/>
  <c r="R61" i="10"/>
  <c r="Q61" i="10"/>
  <c r="O61" i="10"/>
  <c r="N61" i="10"/>
  <c r="M61" i="10"/>
  <c r="L61" i="10"/>
  <c r="K61" i="10"/>
  <c r="J61" i="10"/>
  <c r="I61" i="10"/>
  <c r="G61" i="10"/>
  <c r="F61" i="10"/>
  <c r="E61" i="10"/>
  <c r="D61" i="10"/>
  <c r="C61" i="10"/>
  <c r="B61" i="10"/>
  <c r="A61" i="10"/>
  <c r="W59" i="10"/>
  <c r="V59" i="10"/>
  <c r="U59" i="10"/>
  <c r="T59" i="10"/>
  <c r="S59" i="10"/>
  <c r="R59" i="10"/>
  <c r="Q59" i="10"/>
  <c r="O59" i="10"/>
  <c r="N59" i="10"/>
  <c r="M59" i="10"/>
  <c r="L59" i="10"/>
  <c r="K59" i="10"/>
  <c r="J59" i="10"/>
  <c r="I59" i="10"/>
  <c r="G59" i="10"/>
  <c r="F59" i="10"/>
  <c r="E59" i="10"/>
  <c r="D59" i="10"/>
  <c r="C59" i="10"/>
  <c r="B59" i="10"/>
  <c r="A59" i="10"/>
  <c r="W57" i="10"/>
  <c r="V57" i="10"/>
  <c r="U57" i="10"/>
  <c r="T57" i="10"/>
  <c r="S57" i="10"/>
  <c r="R57" i="10"/>
  <c r="O57" i="10"/>
  <c r="G57" i="10"/>
  <c r="F57" i="10"/>
  <c r="E57" i="10"/>
  <c r="D57" i="10"/>
  <c r="I51" i="10"/>
  <c r="S49" i="10"/>
  <c r="R49" i="10"/>
  <c r="Q49" i="10"/>
  <c r="O49" i="10"/>
  <c r="N49" i="10"/>
  <c r="M49" i="10"/>
  <c r="L49" i="10"/>
  <c r="K49" i="10"/>
  <c r="J49" i="10"/>
  <c r="I49" i="10"/>
  <c r="E49" i="10"/>
  <c r="D49" i="10"/>
  <c r="C49" i="10"/>
  <c r="B49" i="10"/>
  <c r="A49" i="10"/>
  <c r="W47" i="10"/>
  <c r="V47" i="10"/>
  <c r="U47" i="10"/>
  <c r="T47" i="10"/>
  <c r="S47" i="10"/>
  <c r="R47" i="10"/>
  <c r="Q47" i="10"/>
  <c r="O47" i="10"/>
  <c r="N47" i="10"/>
  <c r="M47" i="10"/>
  <c r="L47" i="10"/>
  <c r="K47" i="10"/>
  <c r="J47" i="10"/>
  <c r="I47" i="10"/>
  <c r="G47" i="10"/>
  <c r="F47" i="10"/>
  <c r="E47" i="10"/>
  <c r="D47" i="10"/>
  <c r="C47" i="10"/>
  <c r="B47" i="10"/>
  <c r="A47" i="10"/>
  <c r="W45" i="10"/>
  <c r="V45" i="10"/>
  <c r="U45" i="10"/>
  <c r="T45" i="10"/>
  <c r="S45" i="10"/>
  <c r="R45" i="10"/>
  <c r="Q45" i="10"/>
  <c r="O45" i="10"/>
  <c r="N45" i="10"/>
  <c r="M45" i="10"/>
  <c r="L45" i="10"/>
  <c r="K45" i="10"/>
  <c r="J45" i="10"/>
  <c r="I45" i="10"/>
  <c r="G45" i="10"/>
  <c r="F45" i="10"/>
  <c r="E45" i="10"/>
  <c r="D45" i="10"/>
  <c r="C45" i="10"/>
  <c r="B45" i="10"/>
  <c r="A45" i="10"/>
  <c r="W43" i="10"/>
  <c r="V43" i="10"/>
  <c r="U43" i="10"/>
  <c r="T43" i="10"/>
  <c r="S43" i="10"/>
  <c r="R43" i="10"/>
  <c r="Q43" i="10"/>
  <c r="O43" i="10"/>
  <c r="N43" i="10"/>
  <c r="M43" i="10"/>
  <c r="L43" i="10"/>
  <c r="K43" i="10"/>
  <c r="J43" i="10"/>
  <c r="I43" i="10"/>
  <c r="G43" i="10"/>
  <c r="F43" i="10"/>
  <c r="E43" i="10"/>
  <c r="D43" i="10"/>
  <c r="C43" i="10"/>
  <c r="B43" i="10"/>
  <c r="A43" i="10"/>
  <c r="W41" i="10"/>
  <c r="V41" i="10"/>
  <c r="U41" i="10"/>
  <c r="T41" i="10"/>
  <c r="S41" i="10"/>
  <c r="R41" i="10"/>
  <c r="O41" i="10"/>
  <c r="N41" i="10"/>
  <c r="G41" i="10"/>
  <c r="F41" i="10"/>
  <c r="E41" i="10"/>
  <c r="D41" i="10"/>
  <c r="C41" i="10"/>
  <c r="Q33" i="10"/>
  <c r="O33" i="10"/>
  <c r="N33" i="10"/>
  <c r="L33" i="10"/>
  <c r="K33" i="10"/>
  <c r="J33" i="10"/>
  <c r="I33" i="10"/>
  <c r="C33" i="10"/>
  <c r="B33" i="10"/>
  <c r="A33" i="10"/>
  <c r="W31" i="10"/>
  <c r="V31" i="10"/>
  <c r="U31" i="10"/>
  <c r="T31" i="10"/>
  <c r="S31" i="10"/>
  <c r="R31" i="10"/>
  <c r="Q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B31" i="10"/>
  <c r="A31" i="10"/>
  <c r="W29" i="10"/>
  <c r="V29" i="10"/>
  <c r="U29" i="10"/>
  <c r="T29" i="10"/>
  <c r="S29" i="10"/>
  <c r="R29" i="10"/>
  <c r="Q29" i="10"/>
  <c r="O29" i="10"/>
  <c r="N29" i="10"/>
  <c r="M29" i="10"/>
  <c r="L29" i="10"/>
  <c r="K29" i="10"/>
  <c r="J29" i="10"/>
  <c r="I29" i="10"/>
  <c r="G29" i="10"/>
  <c r="F29" i="10"/>
  <c r="E29" i="10"/>
  <c r="D29" i="10"/>
  <c r="C29" i="10"/>
  <c r="B29" i="10"/>
  <c r="A29" i="10"/>
  <c r="W27" i="10"/>
  <c r="V27" i="10"/>
  <c r="U27" i="10"/>
  <c r="T27" i="10"/>
  <c r="S27" i="10"/>
  <c r="R27" i="10"/>
  <c r="Q27" i="10"/>
  <c r="O27" i="10"/>
  <c r="N27" i="10"/>
  <c r="M27" i="10"/>
  <c r="L27" i="10"/>
  <c r="K27" i="10"/>
  <c r="J27" i="10"/>
  <c r="I27" i="10"/>
  <c r="G27" i="10"/>
  <c r="F27" i="10"/>
  <c r="E27" i="10"/>
  <c r="D27" i="10"/>
  <c r="C27" i="10"/>
  <c r="B27" i="10"/>
  <c r="A27" i="10"/>
  <c r="W25" i="10"/>
  <c r="V25" i="10"/>
  <c r="U25" i="10"/>
  <c r="T25" i="10"/>
  <c r="S25" i="10"/>
  <c r="R25" i="10"/>
  <c r="Q25" i="10"/>
  <c r="O25" i="10"/>
  <c r="N25" i="10"/>
  <c r="M25" i="10"/>
  <c r="G25" i="10"/>
  <c r="F25" i="10"/>
  <c r="E25" i="10"/>
  <c r="D25" i="10"/>
  <c r="C25" i="10"/>
  <c r="Q19" i="10"/>
  <c r="W17" i="10"/>
  <c r="V17" i="10"/>
  <c r="U17" i="10"/>
  <c r="T17" i="10"/>
  <c r="S17" i="10"/>
  <c r="R17" i="10"/>
  <c r="Q17" i="10"/>
  <c r="N17" i="10"/>
  <c r="L17" i="10"/>
  <c r="K17" i="10"/>
  <c r="J17" i="10"/>
  <c r="I17" i="10"/>
  <c r="F17" i="10"/>
  <c r="D17" i="10"/>
  <c r="C17" i="10"/>
  <c r="B17" i="10"/>
  <c r="A17" i="10"/>
  <c r="W15" i="10"/>
  <c r="V15" i="10"/>
  <c r="U15" i="10"/>
  <c r="T15" i="10"/>
  <c r="S15" i="10"/>
  <c r="R15" i="10"/>
  <c r="Q15" i="10"/>
  <c r="O15" i="10"/>
  <c r="N15" i="10"/>
  <c r="M15" i="10"/>
  <c r="L15" i="10"/>
  <c r="K15" i="10"/>
  <c r="J15" i="10"/>
  <c r="I15" i="10"/>
  <c r="G15" i="10"/>
  <c r="F15" i="10"/>
  <c r="E15" i="10"/>
  <c r="D15" i="10"/>
  <c r="C15" i="10"/>
  <c r="B15" i="10"/>
  <c r="A15" i="10"/>
  <c r="W13" i="10"/>
  <c r="V13" i="10"/>
  <c r="U13" i="10"/>
  <c r="T13" i="10"/>
  <c r="S13" i="10"/>
  <c r="R13" i="10"/>
  <c r="Q13" i="10"/>
  <c r="O13" i="10"/>
  <c r="N13" i="10"/>
  <c r="M13" i="10"/>
  <c r="L13" i="10"/>
  <c r="K13" i="10"/>
  <c r="J13" i="10"/>
  <c r="I13" i="10"/>
  <c r="G13" i="10"/>
  <c r="F13" i="10"/>
  <c r="E13" i="10"/>
  <c r="D13" i="10"/>
  <c r="C13" i="10"/>
  <c r="B13" i="10"/>
  <c r="A13" i="10"/>
  <c r="W11" i="10"/>
  <c r="V11" i="10"/>
  <c r="U11" i="10"/>
  <c r="T11" i="10"/>
  <c r="S11" i="10"/>
  <c r="R11" i="10"/>
  <c r="Q11" i="10"/>
  <c r="O11" i="10"/>
  <c r="N11" i="10"/>
  <c r="M11" i="10"/>
  <c r="L11" i="10"/>
  <c r="K11" i="10"/>
  <c r="J11" i="10"/>
  <c r="I11" i="10"/>
  <c r="G11" i="10"/>
  <c r="F11" i="10"/>
  <c r="E11" i="10"/>
  <c r="D11" i="10"/>
  <c r="C11" i="10"/>
  <c r="B11" i="10"/>
  <c r="A11" i="10"/>
  <c r="W9" i="10"/>
  <c r="O9" i="10"/>
  <c r="G9" i="10"/>
  <c r="F9" i="10"/>
  <c r="E9" i="10"/>
  <c r="D9" i="10"/>
  <c r="U3" i="10"/>
  <c r="G99" i="9"/>
  <c r="F99" i="9"/>
  <c r="E99" i="9"/>
  <c r="G98" i="9"/>
  <c r="F98" i="9"/>
  <c r="E98" i="9"/>
  <c r="G97" i="9"/>
  <c r="F97" i="9"/>
  <c r="E97" i="9"/>
  <c r="G96" i="9"/>
  <c r="F96" i="9"/>
  <c r="E96" i="9"/>
  <c r="G95" i="9"/>
  <c r="F95" i="9"/>
  <c r="E95" i="9"/>
  <c r="G94" i="9"/>
  <c r="F94" i="9"/>
  <c r="E94" i="9"/>
  <c r="G93" i="9"/>
  <c r="F93" i="9"/>
  <c r="E93" i="9"/>
  <c r="G92" i="9"/>
  <c r="F92" i="9"/>
  <c r="E92" i="9"/>
  <c r="G91" i="9"/>
  <c r="F91" i="9"/>
  <c r="E91" i="9"/>
  <c r="G90" i="9"/>
  <c r="F90" i="9"/>
  <c r="E90" i="9"/>
  <c r="G89" i="9"/>
  <c r="F89" i="9"/>
  <c r="E89" i="9"/>
  <c r="G88" i="9"/>
  <c r="F88" i="9"/>
  <c r="E88" i="9"/>
  <c r="G87" i="9"/>
  <c r="F87" i="9"/>
  <c r="E87" i="9"/>
  <c r="G86" i="9"/>
  <c r="F86" i="9"/>
  <c r="E86" i="9"/>
  <c r="G85" i="9"/>
  <c r="F85" i="9"/>
  <c r="E85" i="9"/>
  <c r="G84" i="9"/>
  <c r="F84" i="9"/>
  <c r="E84" i="9"/>
  <c r="G83" i="9"/>
  <c r="F83" i="9"/>
  <c r="E83" i="9"/>
  <c r="G82" i="9"/>
  <c r="F82" i="9"/>
  <c r="E82" i="9"/>
  <c r="L81" i="9"/>
  <c r="L82" i="9" s="1"/>
  <c r="L83" i="9" s="1"/>
  <c r="L84" i="9" s="1"/>
  <c r="L85" i="9" s="1"/>
  <c r="L86" i="9" s="1"/>
  <c r="L87" i="9" s="1"/>
  <c r="L88" i="9" s="1"/>
  <c r="L89" i="9" s="1"/>
  <c r="L90" i="9" s="1"/>
  <c r="L91" i="9" s="1"/>
  <c r="L92" i="9" s="1"/>
  <c r="L93" i="9" s="1"/>
  <c r="L94" i="9" s="1"/>
  <c r="L95" i="9" s="1"/>
  <c r="L96" i="9" s="1"/>
  <c r="L97" i="9" s="1"/>
  <c r="L98" i="9" s="1"/>
  <c r="L99" i="9" s="1"/>
  <c r="L100" i="9" s="1"/>
  <c r="L101" i="9" s="1"/>
  <c r="L102" i="9" s="1"/>
  <c r="L103" i="9" s="1"/>
  <c r="K81" i="9"/>
  <c r="K82" i="9" s="1"/>
  <c r="K83" i="9" s="1"/>
  <c r="K84" i="9" s="1"/>
  <c r="K85" i="9" s="1"/>
  <c r="K86" i="9" s="1"/>
  <c r="K87" i="9" s="1"/>
  <c r="K88" i="9" s="1"/>
  <c r="K89" i="9" s="1"/>
  <c r="K90" i="9" s="1"/>
  <c r="K91" i="9" s="1"/>
  <c r="K92" i="9" s="1"/>
  <c r="J81" i="9"/>
  <c r="J82" i="9" s="1"/>
  <c r="J83" i="9" s="1"/>
  <c r="J84" i="9" s="1"/>
  <c r="J85" i="9" s="1"/>
  <c r="J86" i="9" s="1"/>
  <c r="J87" i="9" s="1"/>
  <c r="J88" i="9" s="1"/>
  <c r="J89" i="9" s="1"/>
  <c r="J90" i="9" s="1"/>
  <c r="J91" i="9" s="1"/>
  <c r="G81" i="9"/>
  <c r="F81" i="9"/>
  <c r="E81" i="9"/>
  <c r="J75" i="9"/>
  <c r="F75" i="9"/>
  <c r="K75" i="9" s="1"/>
  <c r="E75" i="9"/>
  <c r="J74" i="9"/>
  <c r="F74" i="9"/>
  <c r="K74" i="9" s="1"/>
  <c r="E74" i="9"/>
  <c r="J73" i="9"/>
  <c r="F73" i="9"/>
  <c r="H73" i="9" s="1"/>
  <c r="E73" i="9"/>
  <c r="J72" i="9"/>
  <c r="F72" i="9"/>
  <c r="K72" i="9" s="1"/>
  <c r="E72" i="9"/>
  <c r="J71" i="9"/>
  <c r="F71" i="9"/>
  <c r="K71" i="9" s="1"/>
  <c r="E71" i="9"/>
  <c r="J70" i="9"/>
  <c r="F70" i="9"/>
  <c r="L70" i="9" s="1"/>
  <c r="E70" i="9"/>
  <c r="J69" i="9"/>
  <c r="F69" i="9"/>
  <c r="K69" i="9" s="1"/>
  <c r="E69" i="9"/>
  <c r="J68" i="9"/>
  <c r="F68" i="9"/>
  <c r="N68" i="9" s="1"/>
  <c r="E68" i="9"/>
  <c r="J67" i="9"/>
  <c r="F67" i="9"/>
  <c r="K67" i="9" s="1"/>
  <c r="E67" i="9"/>
  <c r="J66" i="9"/>
  <c r="F66" i="9"/>
  <c r="K66" i="9" s="1"/>
  <c r="E66" i="9"/>
  <c r="J65" i="9"/>
  <c r="F65" i="9"/>
  <c r="L65" i="9" s="1"/>
  <c r="E65" i="9"/>
  <c r="J64" i="9"/>
  <c r="F64" i="9"/>
  <c r="K64" i="9" s="1"/>
  <c r="E64" i="9"/>
  <c r="J63" i="9"/>
  <c r="E63" i="9"/>
  <c r="N104" i="9" s="1"/>
  <c r="J62" i="9"/>
  <c r="E62" i="9"/>
  <c r="N103" i="9" s="1"/>
  <c r="J61" i="9"/>
  <c r="E61" i="9"/>
  <c r="N102" i="9" s="1"/>
  <c r="J60" i="9"/>
  <c r="E60" i="9"/>
  <c r="N101" i="9" s="1"/>
  <c r="J59" i="9"/>
  <c r="E59" i="9"/>
  <c r="N100" i="9" s="1"/>
  <c r="J58" i="9"/>
  <c r="E58" i="9"/>
  <c r="N99" i="9" s="1"/>
  <c r="J57" i="9"/>
  <c r="F57" i="9"/>
  <c r="E57" i="9"/>
  <c r="N98" i="9" s="1"/>
  <c r="J56" i="9"/>
  <c r="F56" i="9"/>
  <c r="E56" i="9"/>
  <c r="N97" i="9" s="1"/>
  <c r="J55" i="9"/>
  <c r="F55" i="9"/>
  <c r="E55" i="9"/>
  <c r="N96" i="9" s="1"/>
  <c r="J54" i="9"/>
  <c r="F54" i="9"/>
  <c r="E54" i="9"/>
  <c r="N95" i="9" s="1"/>
  <c r="J53" i="9"/>
  <c r="F53" i="9"/>
  <c r="E53" i="9"/>
  <c r="N94" i="9" s="1"/>
  <c r="J52" i="9"/>
  <c r="F52" i="9"/>
  <c r="E52" i="9"/>
  <c r="N93" i="9" s="1"/>
  <c r="J51" i="9"/>
  <c r="F51" i="9"/>
  <c r="L51" i="9" s="1"/>
  <c r="E51" i="9"/>
  <c r="N91" i="9" s="1"/>
  <c r="J50" i="9"/>
  <c r="F50" i="9"/>
  <c r="E50" i="9"/>
  <c r="N90" i="9" s="1"/>
  <c r="J49" i="9"/>
  <c r="F49" i="9"/>
  <c r="L49" i="9" s="1"/>
  <c r="E49" i="9"/>
  <c r="N89" i="9" s="1"/>
  <c r="J48" i="9"/>
  <c r="F48" i="9"/>
  <c r="E48" i="9"/>
  <c r="N88" i="9" s="1"/>
  <c r="J47" i="9"/>
  <c r="F47" i="9"/>
  <c r="E47" i="9"/>
  <c r="N87" i="9" s="1"/>
  <c r="J46" i="9"/>
  <c r="F46" i="9"/>
  <c r="E46" i="9"/>
  <c r="N86" i="9" s="1"/>
  <c r="J45" i="9"/>
  <c r="F45" i="9"/>
  <c r="L45" i="9" s="1"/>
  <c r="E45" i="9"/>
  <c r="N85" i="9" s="1"/>
  <c r="J44" i="9"/>
  <c r="F44" i="9"/>
  <c r="E44" i="9"/>
  <c r="N84" i="9" s="1"/>
  <c r="J43" i="9"/>
  <c r="F43" i="9"/>
  <c r="E43" i="9"/>
  <c r="J42" i="9"/>
  <c r="F42" i="9"/>
  <c r="E42" i="9"/>
  <c r="N82" i="9" s="1"/>
  <c r="K41" i="9"/>
  <c r="J41" i="9"/>
  <c r="I41" i="9"/>
  <c r="F41" i="9"/>
  <c r="N41" i="9" s="1"/>
  <c r="E41" i="9"/>
  <c r="N81" i="9" s="1"/>
  <c r="C23" i="9"/>
  <c r="C10" i="9"/>
  <c r="C98" i="8"/>
  <c r="G98" i="8" s="1"/>
  <c r="C97" i="8"/>
  <c r="G97" i="8" s="1"/>
  <c r="C96" i="8"/>
  <c r="G96" i="8" s="1"/>
  <c r="C95" i="8"/>
  <c r="G95" i="8" s="1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G76" i="8" s="1"/>
  <c r="A58" i="8"/>
  <c r="C23" i="1" s="1"/>
  <c r="E55" i="8"/>
  <c r="C26" i="1" s="1"/>
  <c r="A55" i="8"/>
  <c r="C25" i="1" s="1"/>
  <c r="M52" i="8"/>
  <c r="C19" i="8" s="1"/>
  <c r="I52" i="8"/>
  <c r="C21" i="1" s="1"/>
  <c r="E52" i="8"/>
  <c r="C22" i="1" s="1"/>
  <c r="M49" i="8"/>
  <c r="I49" i="8"/>
  <c r="E49" i="8"/>
  <c r="C18" i="1" s="1"/>
  <c r="A49" i="8"/>
  <c r="C12" i="8" s="1"/>
  <c r="C43" i="8"/>
  <c r="G44" i="8" s="1"/>
  <c r="C21" i="8"/>
  <c r="C21" i="7"/>
  <c r="C22" i="7" s="1"/>
  <c r="A20" i="7"/>
  <c r="A40" i="7" s="1"/>
  <c r="A19" i="7"/>
  <c r="A39" i="7" s="1"/>
  <c r="A18" i="7"/>
  <c r="A38" i="7" s="1"/>
  <c r="A17" i="7"/>
  <c r="A37" i="7" s="1"/>
  <c r="A16" i="7"/>
  <c r="A36" i="7" s="1"/>
  <c r="A15" i="7"/>
  <c r="A35" i="7" s="1"/>
  <c r="A14" i="7"/>
  <c r="A34" i="7" s="1"/>
  <c r="A13" i="7"/>
  <c r="A33" i="7" s="1"/>
  <c r="A12" i="7"/>
  <c r="A32" i="7" s="1"/>
  <c r="A11" i="7"/>
  <c r="A31" i="7" s="1"/>
  <c r="A10" i="7"/>
  <c r="A30" i="7" s="1"/>
  <c r="A9" i="7"/>
  <c r="A29" i="7" s="1"/>
  <c r="A8" i="7"/>
  <c r="A28" i="7" s="1"/>
  <c r="A7" i="7"/>
  <c r="A27" i="7" s="1"/>
  <c r="A6" i="7"/>
  <c r="A26" i="7" s="1"/>
  <c r="G24" i="6"/>
  <c r="C24" i="6"/>
  <c r="A98" i="8" s="1"/>
  <c r="G23" i="6"/>
  <c r="C23" i="6"/>
  <c r="A97" i="8" s="1"/>
  <c r="G22" i="6"/>
  <c r="C22" i="6"/>
  <c r="A96" i="8" s="1"/>
  <c r="C21" i="6"/>
  <c r="A95" i="8" s="1"/>
  <c r="C20" i="6"/>
  <c r="A94" i="8" s="1"/>
  <c r="C19" i="6"/>
  <c r="A93" i="8" s="1"/>
  <c r="C18" i="6"/>
  <c r="A92" i="8" s="1"/>
  <c r="C17" i="6"/>
  <c r="A91" i="8" s="1"/>
  <c r="C16" i="6"/>
  <c r="A90" i="8" s="1"/>
  <c r="C15" i="6"/>
  <c r="A89" i="8" s="1"/>
  <c r="C14" i="6"/>
  <c r="A88" i="8" s="1"/>
  <c r="C13" i="6"/>
  <c r="A87" i="8" s="1"/>
  <c r="C12" i="6"/>
  <c r="A86" i="8" s="1"/>
  <c r="C11" i="6"/>
  <c r="A85" i="8" s="1"/>
  <c r="C10" i="6"/>
  <c r="A84" i="8" s="1"/>
  <c r="C9" i="6"/>
  <c r="A83" i="8" s="1"/>
  <c r="C8" i="6"/>
  <c r="A82" i="8" s="1"/>
  <c r="C7" i="6"/>
  <c r="A81" i="8" s="1"/>
  <c r="C6" i="6"/>
  <c r="A80" i="8" s="1"/>
  <c r="C5" i="6"/>
  <c r="A79" i="8" s="1"/>
  <c r="C4" i="6"/>
  <c r="A78" i="8" s="1"/>
  <c r="C3" i="6"/>
  <c r="A77" i="8" s="1"/>
  <c r="G2" i="6"/>
  <c r="G3" i="6" s="1"/>
  <c r="G4" i="6" s="1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C2" i="6"/>
  <c r="A76" i="8" s="1"/>
  <c r="E505" i="5"/>
  <c r="D505" i="5"/>
  <c r="E504" i="5"/>
  <c r="D504" i="5"/>
  <c r="E503" i="5"/>
  <c r="D503" i="5"/>
  <c r="E502" i="5"/>
  <c r="D502" i="5"/>
  <c r="E501" i="5"/>
  <c r="D501" i="5"/>
  <c r="E500" i="5"/>
  <c r="D500" i="5"/>
  <c r="E499" i="5"/>
  <c r="D499" i="5"/>
  <c r="E498" i="5"/>
  <c r="D498" i="5"/>
  <c r="E497" i="5"/>
  <c r="D497" i="5"/>
  <c r="E496" i="5"/>
  <c r="D496" i="5"/>
  <c r="E495" i="5"/>
  <c r="D495" i="5"/>
  <c r="E494" i="5"/>
  <c r="D494" i="5"/>
  <c r="E493" i="5"/>
  <c r="D493" i="5"/>
  <c r="E492" i="5"/>
  <c r="D492" i="5"/>
  <c r="E491" i="5"/>
  <c r="D491" i="5"/>
  <c r="E490" i="5"/>
  <c r="D490" i="5"/>
  <c r="E489" i="5"/>
  <c r="D489" i="5"/>
  <c r="E488" i="5"/>
  <c r="D488" i="5"/>
  <c r="E487" i="5"/>
  <c r="D487" i="5"/>
  <c r="E486" i="5"/>
  <c r="D486" i="5"/>
  <c r="E485" i="5"/>
  <c r="D485" i="5"/>
  <c r="E484" i="5"/>
  <c r="D484" i="5"/>
  <c r="E483" i="5"/>
  <c r="D483" i="5"/>
  <c r="E482" i="5"/>
  <c r="D482" i="5"/>
  <c r="E481" i="5"/>
  <c r="D481" i="5"/>
  <c r="E480" i="5"/>
  <c r="D480" i="5"/>
  <c r="E479" i="5"/>
  <c r="D479" i="5"/>
  <c r="E478" i="5"/>
  <c r="D478" i="5"/>
  <c r="E477" i="5"/>
  <c r="D477" i="5"/>
  <c r="E476" i="5"/>
  <c r="D476" i="5"/>
  <c r="E475" i="5"/>
  <c r="D475" i="5"/>
  <c r="E474" i="5"/>
  <c r="D474" i="5"/>
  <c r="E473" i="5"/>
  <c r="D473" i="5"/>
  <c r="E472" i="5"/>
  <c r="D472" i="5"/>
  <c r="E471" i="5"/>
  <c r="D471" i="5"/>
  <c r="E470" i="5"/>
  <c r="D470" i="5"/>
  <c r="E469" i="5"/>
  <c r="D469" i="5"/>
  <c r="E468" i="5"/>
  <c r="D468" i="5"/>
  <c r="E467" i="5"/>
  <c r="D467" i="5"/>
  <c r="E466" i="5"/>
  <c r="D466" i="5"/>
  <c r="E465" i="5"/>
  <c r="D465" i="5"/>
  <c r="E464" i="5"/>
  <c r="D464" i="5"/>
  <c r="E463" i="5"/>
  <c r="D463" i="5"/>
  <c r="E462" i="5"/>
  <c r="D462" i="5"/>
  <c r="E461" i="5"/>
  <c r="D461" i="5"/>
  <c r="E460" i="5"/>
  <c r="D460" i="5"/>
  <c r="E459" i="5"/>
  <c r="D459" i="5"/>
  <c r="E458" i="5"/>
  <c r="D458" i="5"/>
  <c r="E457" i="5"/>
  <c r="D457" i="5"/>
  <c r="E456" i="5"/>
  <c r="D456" i="5"/>
  <c r="E455" i="5"/>
  <c r="D455" i="5"/>
  <c r="E454" i="5"/>
  <c r="D454" i="5"/>
  <c r="E453" i="5"/>
  <c r="D453" i="5"/>
  <c r="E452" i="5"/>
  <c r="D452" i="5"/>
  <c r="E451" i="5"/>
  <c r="D451" i="5"/>
  <c r="E450" i="5"/>
  <c r="D450" i="5"/>
  <c r="E449" i="5"/>
  <c r="D449" i="5"/>
  <c r="E448" i="5"/>
  <c r="D448" i="5"/>
  <c r="E447" i="5"/>
  <c r="D447" i="5"/>
  <c r="E446" i="5"/>
  <c r="D446" i="5"/>
  <c r="E445" i="5"/>
  <c r="D445" i="5"/>
  <c r="E444" i="5"/>
  <c r="D444" i="5"/>
  <c r="E443" i="5"/>
  <c r="D443" i="5"/>
  <c r="E442" i="5"/>
  <c r="D442" i="5"/>
  <c r="E441" i="5"/>
  <c r="D441" i="5"/>
  <c r="E440" i="5"/>
  <c r="D440" i="5"/>
  <c r="E439" i="5"/>
  <c r="D439" i="5"/>
  <c r="E438" i="5"/>
  <c r="D438" i="5"/>
  <c r="E437" i="5"/>
  <c r="D437" i="5"/>
  <c r="E436" i="5"/>
  <c r="D436" i="5"/>
  <c r="E435" i="5"/>
  <c r="D435" i="5"/>
  <c r="E434" i="5"/>
  <c r="D434" i="5"/>
  <c r="E433" i="5"/>
  <c r="D433" i="5"/>
  <c r="E432" i="5"/>
  <c r="D432" i="5"/>
  <c r="E431" i="5"/>
  <c r="D431" i="5"/>
  <c r="E430" i="5"/>
  <c r="D430" i="5"/>
  <c r="E429" i="5"/>
  <c r="D429" i="5"/>
  <c r="E428" i="5"/>
  <c r="D428" i="5"/>
  <c r="E427" i="5"/>
  <c r="D427" i="5"/>
  <c r="E426" i="5"/>
  <c r="D426" i="5"/>
  <c r="E425" i="5"/>
  <c r="D425" i="5"/>
  <c r="E424" i="5"/>
  <c r="D424" i="5"/>
  <c r="E423" i="5"/>
  <c r="D423" i="5"/>
  <c r="E422" i="5"/>
  <c r="D422" i="5"/>
  <c r="E421" i="5"/>
  <c r="D421" i="5"/>
  <c r="E420" i="5"/>
  <c r="D420" i="5"/>
  <c r="E419" i="5"/>
  <c r="D419" i="5"/>
  <c r="E418" i="5"/>
  <c r="D418" i="5"/>
  <c r="E417" i="5"/>
  <c r="D417" i="5"/>
  <c r="E416" i="5"/>
  <c r="D416" i="5"/>
  <c r="E415" i="5"/>
  <c r="D415" i="5"/>
  <c r="E414" i="5"/>
  <c r="D414" i="5"/>
  <c r="E413" i="5"/>
  <c r="D413" i="5"/>
  <c r="E412" i="5"/>
  <c r="D412" i="5"/>
  <c r="E411" i="5"/>
  <c r="D411" i="5"/>
  <c r="E410" i="5"/>
  <c r="D410" i="5"/>
  <c r="E409" i="5"/>
  <c r="D409" i="5"/>
  <c r="E408" i="5"/>
  <c r="D408" i="5"/>
  <c r="E407" i="5"/>
  <c r="D407" i="5"/>
  <c r="E406" i="5"/>
  <c r="D406" i="5"/>
  <c r="E405" i="5"/>
  <c r="D405" i="5"/>
  <c r="E404" i="5"/>
  <c r="D404" i="5"/>
  <c r="E403" i="5"/>
  <c r="D403" i="5"/>
  <c r="E402" i="5"/>
  <c r="D402" i="5"/>
  <c r="E401" i="5"/>
  <c r="D401" i="5"/>
  <c r="E400" i="5"/>
  <c r="D400" i="5"/>
  <c r="E399" i="5"/>
  <c r="D399" i="5"/>
  <c r="E398" i="5"/>
  <c r="D398" i="5"/>
  <c r="E397" i="5"/>
  <c r="D397" i="5"/>
  <c r="E396" i="5"/>
  <c r="D396" i="5"/>
  <c r="E395" i="5"/>
  <c r="D395" i="5"/>
  <c r="E394" i="5"/>
  <c r="D394" i="5"/>
  <c r="E393" i="5"/>
  <c r="D393" i="5"/>
  <c r="E392" i="5"/>
  <c r="D392" i="5"/>
  <c r="E391" i="5"/>
  <c r="D391" i="5"/>
  <c r="E390" i="5"/>
  <c r="D390" i="5"/>
  <c r="E389" i="5"/>
  <c r="D389" i="5"/>
  <c r="E388" i="5"/>
  <c r="D388" i="5"/>
  <c r="E387" i="5"/>
  <c r="D387" i="5"/>
  <c r="E386" i="5"/>
  <c r="D386" i="5"/>
  <c r="E385" i="5"/>
  <c r="D385" i="5"/>
  <c r="E384" i="5"/>
  <c r="D384" i="5"/>
  <c r="E383" i="5"/>
  <c r="D383" i="5"/>
  <c r="E382" i="5"/>
  <c r="D382" i="5"/>
  <c r="E381" i="5"/>
  <c r="D381" i="5"/>
  <c r="E380" i="5"/>
  <c r="D380" i="5"/>
  <c r="E379" i="5"/>
  <c r="D379" i="5"/>
  <c r="E378" i="5"/>
  <c r="D378" i="5"/>
  <c r="E377" i="5"/>
  <c r="D377" i="5"/>
  <c r="E376" i="5"/>
  <c r="D376" i="5"/>
  <c r="E375" i="5"/>
  <c r="D375" i="5"/>
  <c r="E374" i="5"/>
  <c r="D374" i="5"/>
  <c r="E373" i="5"/>
  <c r="D373" i="5"/>
  <c r="E372" i="5"/>
  <c r="D372" i="5"/>
  <c r="E371" i="5"/>
  <c r="D371" i="5"/>
  <c r="E370" i="5"/>
  <c r="D370" i="5"/>
  <c r="E369" i="5"/>
  <c r="D369" i="5"/>
  <c r="E368" i="5"/>
  <c r="D368" i="5"/>
  <c r="E367" i="5"/>
  <c r="D367" i="5"/>
  <c r="E366" i="5"/>
  <c r="D366" i="5"/>
  <c r="E365" i="5"/>
  <c r="D365" i="5"/>
  <c r="E364" i="5"/>
  <c r="D364" i="5"/>
  <c r="E363" i="5"/>
  <c r="D363" i="5"/>
  <c r="E362" i="5"/>
  <c r="D362" i="5"/>
  <c r="E361" i="5"/>
  <c r="D361" i="5"/>
  <c r="E360" i="5"/>
  <c r="D360" i="5"/>
  <c r="E359" i="5"/>
  <c r="D359" i="5"/>
  <c r="E358" i="5"/>
  <c r="D358" i="5"/>
  <c r="E357" i="5"/>
  <c r="D357" i="5"/>
  <c r="E356" i="5"/>
  <c r="D356" i="5"/>
  <c r="E355" i="5"/>
  <c r="D355" i="5"/>
  <c r="E354" i="5"/>
  <c r="D354" i="5"/>
  <c r="E353" i="5"/>
  <c r="D353" i="5"/>
  <c r="E352" i="5"/>
  <c r="D352" i="5"/>
  <c r="E351" i="5"/>
  <c r="D351" i="5"/>
  <c r="E350" i="5"/>
  <c r="D350" i="5"/>
  <c r="E349" i="5"/>
  <c r="D349" i="5"/>
  <c r="E348" i="5"/>
  <c r="D348" i="5"/>
  <c r="E347" i="5"/>
  <c r="D347" i="5"/>
  <c r="E346" i="5"/>
  <c r="D346" i="5"/>
  <c r="E345" i="5"/>
  <c r="D345" i="5"/>
  <c r="E344" i="5"/>
  <c r="D344" i="5"/>
  <c r="E343" i="5"/>
  <c r="D343" i="5"/>
  <c r="E342" i="5"/>
  <c r="D342" i="5"/>
  <c r="E341" i="5"/>
  <c r="D341" i="5"/>
  <c r="E340" i="5"/>
  <c r="D340" i="5"/>
  <c r="E339" i="5"/>
  <c r="D339" i="5"/>
  <c r="E338" i="5"/>
  <c r="D338" i="5"/>
  <c r="E337" i="5"/>
  <c r="D337" i="5"/>
  <c r="E336" i="5"/>
  <c r="D336" i="5"/>
  <c r="E335" i="5"/>
  <c r="D335" i="5"/>
  <c r="E334" i="5"/>
  <c r="D334" i="5"/>
  <c r="E333" i="5"/>
  <c r="D333" i="5"/>
  <c r="E332" i="5"/>
  <c r="D332" i="5"/>
  <c r="E331" i="5"/>
  <c r="D331" i="5"/>
  <c r="E330" i="5"/>
  <c r="D330" i="5"/>
  <c r="E329" i="5"/>
  <c r="D329" i="5"/>
  <c r="E328" i="5"/>
  <c r="D328" i="5"/>
  <c r="E327" i="5"/>
  <c r="D327" i="5"/>
  <c r="E326" i="5"/>
  <c r="D326" i="5"/>
  <c r="E325" i="5"/>
  <c r="D325" i="5"/>
  <c r="E324" i="5"/>
  <c r="D324" i="5"/>
  <c r="E323" i="5"/>
  <c r="D323" i="5"/>
  <c r="E322" i="5"/>
  <c r="D322" i="5"/>
  <c r="E321" i="5"/>
  <c r="D321" i="5"/>
  <c r="E320" i="5"/>
  <c r="D320" i="5"/>
  <c r="E319" i="5"/>
  <c r="D319" i="5"/>
  <c r="E318" i="5"/>
  <c r="D318" i="5"/>
  <c r="E317" i="5"/>
  <c r="D317" i="5"/>
  <c r="E316" i="5"/>
  <c r="D316" i="5"/>
  <c r="E315" i="5"/>
  <c r="D315" i="5"/>
  <c r="E314" i="5"/>
  <c r="D314" i="5"/>
  <c r="E313" i="5"/>
  <c r="D313" i="5"/>
  <c r="E312" i="5"/>
  <c r="D312" i="5"/>
  <c r="E311" i="5"/>
  <c r="D311" i="5"/>
  <c r="E310" i="5"/>
  <c r="D310" i="5"/>
  <c r="E309" i="5"/>
  <c r="D309" i="5"/>
  <c r="E308" i="5"/>
  <c r="D308" i="5"/>
  <c r="E307" i="5"/>
  <c r="D307" i="5"/>
  <c r="E306" i="5"/>
  <c r="D306" i="5"/>
  <c r="E305" i="5"/>
  <c r="D305" i="5"/>
  <c r="E304" i="5"/>
  <c r="D304" i="5"/>
  <c r="E303" i="5"/>
  <c r="D303" i="5"/>
  <c r="E302" i="5"/>
  <c r="D302" i="5"/>
  <c r="E301" i="5"/>
  <c r="D301" i="5"/>
  <c r="E300" i="5"/>
  <c r="D300" i="5"/>
  <c r="E299" i="5"/>
  <c r="D299" i="5"/>
  <c r="E298" i="5"/>
  <c r="D298" i="5"/>
  <c r="E297" i="5"/>
  <c r="D297" i="5"/>
  <c r="E296" i="5"/>
  <c r="D296" i="5"/>
  <c r="E295" i="5"/>
  <c r="D295" i="5"/>
  <c r="E294" i="5"/>
  <c r="D294" i="5"/>
  <c r="E293" i="5"/>
  <c r="D293" i="5"/>
  <c r="E292" i="5"/>
  <c r="D292" i="5"/>
  <c r="E291" i="5"/>
  <c r="D291" i="5"/>
  <c r="E290" i="5"/>
  <c r="D290" i="5"/>
  <c r="E289" i="5"/>
  <c r="D289" i="5"/>
  <c r="E288" i="5"/>
  <c r="D288" i="5"/>
  <c r="E287" i="5"/>
  <c r="D287" i="5"/>
  <c r="E286" i="5"/>
  <c r="D286" i="5"/>
  <c r="E285" i="5"/>
  <c r="D285" i="5"/>
  <c r="E284" i="5"/>
  <c r="D284" i="5"/>
  <c r="E283" i="5"/>
  <c r="D283" i="5"/>
  <c r="E282" i="5"/>
  <c r="D282" i="5"/>
  <c r="E281" i="5"/>
  <c r="D281" i="5"/>
  <c r="E280" i="5"/>
  <c r="D280" i="5"/>
  <c r="E279" i="5"/>
  <c r="D279" i="5"/>
  <c r="E278" i="5"/>
  <c r="D278" i="5"/>
  <c r="E277" i="5"/>
  <c r="D277" i="5"/>
  <c r="E276" i="5"/>
  <c r="D276" i="5"/>
  <c r="E275" i="5"/>
  <c r="D275" i="5"/>
  <c r="E274" i="5"/>
  <c r="D274" i="5"/>
  <c r="E273" i="5"/>
  <c r="D273" i="5"/>
  <c r="E272" i="5"/>
  <c r="D272" i="5"/>
  <c r="E271" i="5"/>
  <c r="D271" i="5"/>
  <c r="E270" i="5"/>
  <c r="D270" i="5"/>
  <c r="E269" i="5"/>
  <c r="D269" i="5"/>
  <c r="E268" i="5"/>
  <c r="D268" i="5"/>
  <c r="E267" i="5"/>
  <c r="D267" i="5"/>
  <c r="E266" i="5"/>
  <c r="D266" i="5"/>
  <c r="E265" i="5"/>
  <c r="D265" i="5"/>
  <c r="E264" i="5"/>
  <c r="D264" i="5"/>
  <c r="E263" i="5"/>
  <c r="D263" i="5"/>
  <c r="E262" i="5"/>
  <c r="D262" i="5"/>
  <c r="E261" i="5"/>
  <c r="D261" i="5"/>
  <c r="E260" i="5"/>
  <c r="D260" i="5"/>
  <c r="E259" i="5"/>
  <c r="D259" i="5"/>
  <c r="E258" i="5"/>
  <c r="D258" i="5"/>
  <c r="E257" i="5"/>
  <c r="D257" i="5"/>
  <c r="E256" i="5"/>
  <c r="D256" i="5"/>
  <c r="E255" i="5"/>
  <c r="D255" i="5"/>
  <c r="E254" i="5"/>
  <c r="D254" i="5"/>
  <c r="E253" i="5"/>
  <c r="D253" i="5"/>
  <c r="E252" i="5"/>
  <c r="D252" i="5"/>
  <c r="E251" i="5"/>
  <c r="D251" i="5"/>
  <c r="E250" i="5"/>
  <c r="D250" i="5"/>
  <c r="E249" i="5"/>
  <c r="D249" i="5"/>
  <c r="E248" i="5"/>
  <c r="D248" i="5"/>
  <c r="E247" i="5"/>
  <c r="D247" i="5"/>
  <c r="E246" i="5"/>
  <c r="D246" i="5"/>
  <c r="E245" i="5"/>
  <c r="D245" i="5"/>
  <c r="E244" i="5"/>
  <c r="D244" i="5"/>
  <c r="E243" i="5"/>
  <c r="D243" i="5"/>
  <c r="E242" i="5"/>
  <c r="D242" i="5"/>
  <c r="E241" i="5"/>
  <c r="D241" i="5"/>
  <c r="E240" i="5"/>
  <c r="D240" i="5"/>
  <c r="E239" i="5"/>
  <c r="D239" i="5"/>
  <c r="E238" i="5"/>
  <c r="D238" i="5"/>
  <c r="E237" i="5"/>
  <c r="D237" i="5"/>
  <c r="E236" i="5"/>
  <c r="D236" i="5"/>
  <c r="E235" i="5"/>
  <c r="D235" i="5"/>
  <c r="E234" i="5"/>
  <c r="D234" i="5"/>
  <c r="E233" i="5"/>
  <c r="D233" i="5"/>
  <c r="E232" i="5"/>
  <c r="D232" i="5"/>
  <c r="E231" i="5"/>
  <c r="D231" i="5"/>
  <c r="E230" i="5"/>
  <c r="D230" i="5"/>
  <c r="E229" i="5"/>
  <c r="D229" i="5"/>
  <c r="E228" i="5"/>
  <c r="D228" i="5"/>
  <c r="E227" i="5"/>
  <c r="D227" i="5"/>
  <c r="E226" i="5"/>
  <c r="D226" i="5"/>
  <c r="E225" i="5"/>
  <c r="D225" i="5"/>
  <c r="E224" i="5"/>
  <c r="D224" i="5"/>
  <c r="E223" i="5"/>
  <c r="D223" i="5"/>
  <c r="E222" i="5"/>
  <c r="D222" i="5"/>
  <c r="E221" i="5"/>
  <c r="D221" i="5"/>
  <c r="E220" i="5"/>
  <c r="D220" i="5"/>
  <c r="E219" i="5"/>
  <c r="D219" i="5"/>
  <c r="E218" i="5"/>
  <c r="D218" i="5"/>
  <c r="E217" i="5"/>
  <c r="D217" i="5"/>
  <c r="E216" i="5"/>
  <c r="D216" i="5"/>
  <c r="E215" i="5"/>
  <c r="D215" i="5"/>
  <c r="E214" i="5"/>
  <c r="D214" i="5"/>
  <c r="E213" i="5"/>
  <c r="D213" i="5"/>
  <c r="E212" i="5"/>
  <c r="D212" i="5"/>
  <c r="E211" i="5"/>
  <c r="D211" i="5"/>
  <c r="E210" i="5"/>
  <c r="D210" i="5"/>
  <c r="E209" i="5"/>
  <c r="D209" i="5"/>
  <c r="E208" i="5"/>
  <c r="D208" i="5"/>
  <c r="E207" i="5"/>
  <c r="D207" i="5"/>
  <c r="E206" i="5"/>
  <c r="D206" i="5"/>
  <c r="E205" i="5"/>
  <c r="D205" i="5"/>
  <c r="E204" i="5"/>
  <c r="D204" i="5"/>
  <c r="E203" i="5"/>
  <c r="D203" i="5"/>
  <c r="E202" i="5"/>
  <c r="D202" i="5"/>
  <c r="E201" i="5"/>
  <c r="D201" i="5"/>
  <c r="E200" i="5"/>
  <c r="D200" i="5"/>
  <c r="E199" i="5"/>
  <c r="D199" i="5"/>
  <c r="E198" i="5"/>
  <c r="D198" i="5"/>
  <c r="E197" i="5"/>
  <c r="D197" i="5"/>
  <c r="E196" i="5"/>
  <c r="D196" i="5"/>
  <c r="E195" i="5"/>
  <c r="D195" i="5"/>
  <c r="E194" i="5"/>
  <c r="D194" i="5"/>
  <c r="E193" i="5"/>
  <c r="D193" i="5"/>
  <c r="E192" i="5"/>
  <c r="D192" i="5"/>
  <c r="E191" i="5"/>
  <c r="D191" i="5"/>
  <c r="E190" i="5"/>
  <c r="D190" i="5"/>
  <c r="E189" i="5"/>
  <c r="D189" i="5"/>
  <c r="E188" i="5"/>
  <c r="D188" i="5"/>
  <c r="E187" i="5"/>
  <c r="D187" i="5"/>
  <c r="E186" i="5"/>
  <c r="D186" i="5"/>
  <c r="E185" i="5"/>
  <c r="D185" i="5"/>
  <c r="E184" i="5"/>
  <c r="D184" i="5"/>
  <c r="E183" i="5"/>
  <c r="D183" i="5"/>
  <c r="E182" i="5"/>
  <c r="D182" i="5"/>
  <c r="E181" i="5"/>
  <c r="D181" i="5"/>
  <c r="E180" i="5"/>
  <c r="D180" i="5"/>
  <c r="E179" i="5"/>
  <c r="D179" i="5"/>
  <c r="E178" i="5"/>
  <c r="D178" i="5"/>
  <c r="E177" i="5"/>
  <c r="D177" i="5"/>
  <c r="E176" i="5"/>
  <c r="D176" i="5"/>
  <c r="E175" i="5"/>
  <c r="D175" i="5"/>
  <c r="E174" i="5"/>
  <c r="D174" i="5"/>
  <c r="E173" i="5"/>
  <c r="D173" i="5"/>
  <c r="E172" i="5"/>
  <c r="D172" i="5"/>
  <c r="E171" i="5"/>
  <c r="D171" i="5"/>
  <c r="E170" i="5"/>
  <c r="D170" i="5"/>
  <c r="E169" i="5"/>
  <c r="D169" i="5"/>
  <c r="E168" i="5"/>
  <c r="D168" i="5"/>
  <c r="E167" i="5"/>
  <c r="D167" i="5"/>
  <c r="E166" i="5"/>
  <c r="D166" i="5"/>
  <c r="E165" i="5"/>
  <c r="D165" i="5"/>
  <c r="E164" i="5"/>
  <c r="D164" i="5"/>
  <c r="E163" i="5"/>
  <c r="D163" i="5"/>
  <c r="E162" i="5"/>
  <c r="D162" i="5"/>
  <c r="E161" i="5"/>
  <c r="D161" i="5"/>
  <c r="E160" i="5"/>
  <c r="D160" i="5"/>
  <c r="E159" i="5"/>
  <c r="D159" i="5"/>
  <c r="E158" i="5"/>
  <c r="D158" i="5"/>
  <c r="E157" i="5"/>
  <c r="D157" i="5"/>
  <c r="E156" i="5"/>
  <c r="D156" i="5"/>
  <c r="E155" i="5"/>
  <c r="D155" i="5"/>
  <c r="E154" i="5"/>
  <c r="D154" i="5"/>
  <c r="E153" i="5"/>
  <c r="D153" i="5"/>
  <c r="E152" i="5"/>
  <c r="D152" i="5"/>
  <c r="E151" i="5"/>
  <c r="D151" i="5"/>
  <c r="E150" i="5"/>
  <c r="D150" i="5"/>
  <c r="E149" i="5"/>
  <c r="D149" i="5"/>
  <c r="E148" i="5"/>
  <c r="D148" i="5"/>
  <c r="E147" i="5"/>
  <c r="D147" i="5"/>
  <c r="E146" i="5"/>
  <c r="D146" i="5"/>
  <c r="E145" i="5"/>
  <c r="D145" i="5"/>
  <c r="E144" i="5"/>
  <c r="D144" i="5"/>
  <c r="E143" i="5"/>
  <c r="D143" i="5"/>
  <c r="E142" i="5"/>
  <c r="D142" i="5"/>
  <c r="E141" i="5"/>
  <c r="D141" i="5"/>
  <c r="E140" i="5"/>
  <c r="D140" i="5"/>
  <c r="E139" i="5"/>
  <c r="D139" i="5"/>
  <c r="E138" i="5"/>
  <c r="D138" i="5"/>
  <c r="E137" i="5"/>
  <c r="D137" i="5"/>
  <c r="E136" i="5"/>
  <c r="D136" i="5"/>
  <c r="E135" i="5"/>
  <c r="D135" i="5"/>
  <c r="E134" i="5"/>
  <c r="D134" i="5"/>
  <c r="E133" i="5"/>
  <c r="D133" i="5"/>
  <c r="E132" i="5"/>
  <c r="D132" i="5"/>
  <c r="E131" i="5"/>
  <c r="D131" i="5"/>
  <c r="E130" i="5"/>
  <c r="D130" i="5"/>
  <c r="E129" i="5"/>
  <c r="D129" i="5"/>
  <c r="E128" i="5"/>
  <c r="D128" i="5"/>
  <c r="E127" i="5"/>
  <c r="D127" i="5"/>
  <c r="E126" i="5"/>
  <c r="D126" i="5"/>
  <c r="E125" i="5"/>
  <c r="D125" i="5"/>
  <c r="E124" i="5"/>
  <c r="D124" i="5"/>
  <c r="E123" i="5"/>
  <c r="D123" i="5"/>
  <c r="E122" i="5"/>
  <c r="D122" i="5"/>
  <c r="E121" i="5"/>
  <c r="D121" i="5"/>
  <c r="E120" i="5"/>
  <c r="D120" i="5"/>
  <c r="E119" i="5"/>
  <c r="D119" i="5"/>
  <c r="E118" i="5"/>
  <c r="D118" i="5"/>
  <c r="E117" i="5"/>
  <c r="D117" i="5"/>
  <c r="E116" i="5"/>
  <c r="D116" i="5"/>
  <c r="E115" i="5"/>
  <c r="D115" i="5"/>
  <c r="E114" i="5"/>
  <c r="D114" i="5"/>
  <c r="E113" i="5"/>
  <c r="D113" i="5"/>
  <c r="E112" i="5"/>
  <c r="D112" i="5"/>
  <c r="E111" i="5"/>
  <c r="D111" i="5"/>
  <c r="E110" i="5"/>
  <c r="D110" i="5"/>
  <c r="E109" i="5"/>
  <c r="D109" i="5"/>
  <c r="E108" i="5"/>
  <c r="D108" i="5"/>
  <c r="E107" i="5"/>
  <c r="D107" i="5"/>
  <c r="E106" i="5"/>
  <c r="D106" i="5"/>
  <c r="E105" i="5"/>
  <c r="D105" i="5"/>
  <c r="E104" i="5"/>
  <c r="D104" i="5"/>
  <c r="E103" i="5"/>
  <c r="D103" i="5"/>
  <c r="E102" i="5"/>
  <c r="D102" i="5"/>
  <c r="E101" i="5"/>
  <c r="D101" i="5"/>
  <c r="E100" i="5"/>
  <c r="D100" i="5"/>
  <c r="E99" i="5"/>
  <c r="D99" i="5"/>
  <c r="E98" i="5"/>
  <c r="D98" i="5"/>
  <c r="E97" i="5"/>
  <c r="D97" i="5"/>
  <c r="E96" i="5"/>
  <c r="D96" i="5"/>
  <c r="E95" i="5"/>
  <c r="D95" i="5"/>
  <c r="E94" i="5"/>
  <c r="D94" i="5"/>
  <c r="E93" i="5"/>
  <c r="D93" i="5"/>
  <c r="E92" i="5"/>
  <c r="D92" i="5"/>
  <c r="E91" i="5"/>
  <c r="D91" i="5"/>
  <c r="E90" i="5"/>
  <c r="D90" i="5"/>
  <c r="E89" i="5"/>
  <c r="D89" i="5"/>
  <c r="E88" i="5"/>
  <c r="D88" i="5"/>
  <c r="E87" i="5"/>
  <c r="D87" i="5"/>
  <c r="E86" i="5"/>
  <c r="D86" i="5"/>
  <c r="E85" i="5"/>
  <c r="D85" i="5"/>
  <c r="E84" i="5"/>
  <c r="D84" i="5"/>
  <c r="E83" i="5"/>
  <c r="D83" i="5"/>
  <c r="E82" i="5"/>
  <c r="D82" i="5"/>
  <c r="E81" i="5"/>
  <c r="D81" i="5"/>
  <c r="E80" i="5"/>
  <c r="D80" i="5"/>
  <c r="E79" i="5"/>
  <c r="D79" i="5"/>
  <c r="E78" i="5"/>
  <c r="D78" i="5"/>
  <c r="E77" i="5"/>
  <c r="D77" i="5"/>
  <c r="E76" i="5"/>
  <c r="D76" i="5"/>
  <c r="E75" i="5"/>
  <c r="D75" i="5"/>
  <c r="E74" i="5"/>
  <c r="D74" i="5"/>
  <c r="E73" i="5"/>
  <c r="D73" i="5"/>
  <c r="E72" i="5"/>
  <c r="D72" i="5"/>
  <c r="E71" i="5"/>
  <c r="D71" i="5"/>
  <c r="E70" i="5"/>
  <c r="D70" i="5"/>
  <c r="E69" i="5"/>
  <c r="D69" i="5"/>
  <c r="E68" i="5"/>
  <c r="D68" i="5"/>
  <c r="E67" i="5"/>
  <c r="D67" i="5"/>
  <c r="E66" i="5"/>
  <c r="D66" i="5"/>
  <c r="E65" i="5"/>
  <c r="D65" i="5"/>
  <c r="E64" i="5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B186" i="4"/>
  <c r="C186" i="4" s="1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B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B125" i="4"/>
  <c r="D33" i="10" s="1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B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B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B35" i="4"/>
  <c r="E17" i="10" s="1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49" i="3"/>
  <c r="B49" i="3"/>
  <c r="G48" i="3"/>
  <c r="B48" i="3"/>
  <c r="E47" i="3"/>
  <c r="C47" i="3"/>
  <c r="F47" i="3" s="1"/>
  <c r="E46" i="3"/>
  <c r="C46" i="3"/>
  <c r="F46" i="3" s="1"/>
  <c r="G46" i="3" s="1"/>
  <c r="E45" i="3"/>
  <c r="C45" i="3"/>
  <c r="F45" i="3" s="1"/>
  <c r="E44" i="3"/>
  <c r="C44" i="3"/>
  <c r="F44" i="3" s="1"/>
  <c r="I72" i="9" s="1"/>
  <c r="E43" i="3"/>
  <c r="C43" i="3"/>
  <c r="F43" i="3" s="1"/>
  <c r="I71" i="9" s="1"/>
  <c r="E42" i="3"/>
  <c r="C42" i="3"/>
  <c r="F42" i="3" s="1"/>
  <c r="G42" i="3" s="1"/>
  <c r="E41" i="3"/>
  <c r="C41" i="3"/>
  <c r="F41" i="3" s="1"/>
  <c r="E40" i="3"/>
  <c r="C40" i="3"/>
  <c r="F40" i="3" s="1"/>
  <c r="I68" i="9" s="1"/>
  <c r="E39" i="3"/>
  <c r="C39" i="3"/>
  <c r="F39" i="3" s="1"/>
  <c r="E38" i="3"/>
  <c r="C38" i="3"/>
  <c r="F38" i="3" s="1"/>
  <c r="I66" i="9" s="1"/>
  <c r="E37" i="3"/>
  <c r="C37" i="3"/>
  <c r="F37" i="3" s="1"/>
  <c r="I65" i="9" s="1"/>
  <c r="E36" i="3"/>
  <c r="C32" i="3"/>
  <c r="B32" i="3"/>
  <c r="G31" i="3"/>
  <c r="B31" i="3"/>
  <c r="B30" i="3"/>
  <c r="O25" i="3" s="1"/>
  <c r="T29" i="3"/>
  <c r="B29" i="3"/>
  <c r="T28" i="3"/>
  <c r="B28" i="3"/>
  <c r="C29" i="3" s="1"/>
  <c r="T27" i="3"/>
  <c r="B27" i="3"/>
  <c r="F60" i="9" s="1"/>
  <c r="T26" i="3"/>
  <c r="B26" i="3"/>
  <c r="U25" i="3" s="1"/>
  <c r="T25" i="3"/>
  <c r="N25" i="3"/>
  <c r="C25" i="3"/>
  <c r="B25" i="3"/>
  <c r="T24" i="3"/>
  <c r="N24" i="3"/>
  <c r="C24" i="3"/>
  <c r="U23" i="3"/>
  <c r="T23" i="3"/>
  <c r="N23" i="3"/>
  <c r="C23" i="3"/>
  <c r="U22" i="3"/>
  <c r="T22" i="3"/>
  <c r="N22" i="3"/>
  <c r="C22" i="3"/>
  <c r="U21" i="3"/>
  <c r="T21" i="3"/>
  <c r="N21" i="3"/>
  <c r="C21" i="3"/>
  <c r="U20" i="3"/>
  <c r="T20" i="3"/>
  <c r="N20" i="3"/>
  <c r="C20" i="3"/>
  <c r="U19" i="3"/>
  <c r="T19" i="3"/>
  <c r="O19" i="3"/>
  <c r="N19" i="3"/>
  <c r="C19" i="3"/>
  <c r="C31" i="3" s="1"/>
  <c r="U18" i="3"/>
  <c r="T18" i="3"/>
  <c r="O18" i="3"/>
  <c r="N18" i="3"/>
  <c r="O17" i="3"/>
  <c r="N17" i="3"/>
  <c r="O16" i="3"/>
  <c r="N16" i="3"/>
  <c r="O15" i="3"/>
  <c r="N15" i="3"/>
  <c r="C15" i="3"/>
  <c r="B15" i="3"/>
  <c r="O14" i="3"/>
  <c r="N14" i="3"/>
  <c r="G14" i="3"/>
  <c r="B14" i="3"/>
  <c r="U13" i="3"/>
  <c r="T13" i="3"/>
  <c r="O13" i="3"/>
  <c r="N13" i="3"/>
  <c r="U12" i="3"/>
  <c r="T12" i="3"/>
  <c r="O12" i="3"/>
  <c r="N12" i="3"/>
  <c r="U11" i="3"/>
  <c r="T11" i="3"/>
  <c r="O11" i="3"/>
  <c r="N11" i="3"/>
  <c r="U10" i="3"/>
  <c r="T10" i="3"/>
  <c r="O10" i="3"/>
  <c r="N10" i="3"/>
  <c r="U9" i="3"/>
  <c r="T9" i="3"/>
  <c r="O9" i="3"/>
  <c r="N9" i="3"/>
  <c r="U8" i="3"/>
  <c r="T8" i="3"/>
  <c r="O8" i="3"/>
  <c r="N8" i="3"/>
  <c r="U7" i="3"/>
  <c r="T7" i="3"/>
  <c r="O7" i="3"/>
  <c r="N7" i="3"/>
  <c r="U6" i="3"/>
  <c r="T6" i="3"/>
  <c r="O6" i="3"/>
  <c r="N6" i="3"/>
  <c r="U5" i="3"/>
  <c r="T5" i="3"/>
  <c r="O5" i="3"/>
  <c r="N5" i="3"/>
  <c r="U4" i="3"/>
  <c r="T4" i="3"/>
  <c r="O4" i="3"/>
  <c r="N4" i="3"/>
  <c r="U3" i="3"/>
  <c r="T3" i="3"/>
  <c r="O3" i="3"/>
  <c r="N3" i="3"/>
  <c r="C3" i="3"/>
  <c r="B17" i="2"/>
  <c r="C12" i="9" s="1"/>
  <c r="C9" i="1"/>
  <c r="C29" i="1" l="1"/>
  <c r="N69" i="9"/>
  <c r="G68" i="9"/>
  <c r="C9" i="9"/>
  <c r="G71" i="9"/>
  <c r="H71" i="9"/>
  <c r="L55" i="9"/>
  <c r="N71" i="9"/>
  <c r="D25" i="3"/>
  <c r="E25" i="3" s="1"/>
  <c r="G77" i="8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N65" i="9"/>
  <c r="M72" i="9"/>
  <c r="L53" i="9"/>
  <c r="C35" i="4"/>
  <c r="L47" i="9"/>
  <c r="H68" i="9"/>
  <c r="G75" i="9"/>
  <c r="L71" i="9"/>
  <c r="H75" i="9"/>
  <c r="L43" i="9"/>
  <c r="L57" i="9"/>
  <c r="M68" i="9"/>
  <c r="M71" i="9"/>
  <c r="B31" i="11"/>
  <c r="E31" i="11" s="1"/>
  <c r="K65" i="9"/>
  <c r="H69" i="9"/>
  <c r="K68" i="9"/>
  <c r="K70" i="9"/>
  <c r="C125" i="4"/>
  <c r="B36" i="7"/>
  <c r="K73" i="9"/>
  <c r="C218" i="11"/>
  <c r="I74" i="9"/>
  <c r="E48" i="3"/>
  <c r="C16" i="2"/>
  <c r="B20" i="7" s="1"/>
  <c r="C8" i="2"/>
  <c r="B12" i="7" s="1"/>
  <c r="U29" i="3"/>
  <c r="V29" i="3" s="1"/>
  <c r="B27" i="7"/>
  <c r="C3" i="2"/>
  <c r="B7" i="7" s="1"/>
  <c r="C4" i="2"/>
  <c r="B8" i="7" s="1"/>
  <c r="O22" i="3"/>
  <c r="C28" i="3"/>
  <c r="F28" i="3" s="1"/>
  <c r="B28" i="7"/>
  <c r="C19" i="1"/>
  <c r="C28" i="1"/>
  <c r="C7" i="8"/>
  <c r="O23" i="3"/>
  <c r="U26" i="3"/>
  <c r="C13" i="8"/>
  <c r="C17" i="8"/>
  <c r="C6" i="8"/>
  <c r="G60" i="9"/>
  <c r="O101" i="9" s="1"/>
  <c r="C18" i="8"/>
  <c r="U27" i="3"/>
  <c r="V27" i="3" s="1"/>
  <c r="U24" i="3"/>
  <c r="I75" i="9"/>
  <c r="G47" i="3"/>
  <c r="I67" i="9"/>
  <c r="G39" i="3"/>
  <c r="C143" i="11"/>
  <c r="G38" i="3"/>
  <c r="D44" i="3"/>
  <c r="G54" i="9"/>
  <c r="O95" i="9" s="1"/>
  <c r="L54" i="9"/>
  <c r="C304" i="11"/>
  <c r="G44" i="3"/>
  <c r="C11" i="9"/>
  <c r="C15" i="8"/>
  <c r="C20" i="1"/>
  <c r="C16" i="11"/>
  <c r="C130" i="11"/>
  <c r="C165" i="11"/>
  <c r="C186" i="11"/>
  <c r="C11" i="11"/>
  <c r="C111" i="11"/>
  <c r="C124" i="11"/>
  <c r="C234" i="11"/>
  <c r="C254" i="11"/>
  <c r="C56" i="11"/>
  <c r="I69" i="9"/>
  <c r="G41" i="3"/>
  <c r="C167" i="11"/>
  <c r="C229" i="11"/>
  <c r="D5" i="3"/>
  <c r="M43" i="9" s="1"/>
  <c r="Q25" i="3"/>
  <c r="P25" i="3"/>
  <c r="C11" i="8"/>
  <c r="N67" i="9"/>
  <c r="M67" i="9"/>
  <c r="H67" i="9"/>
  <c r="G67" i="9"/>
  <c r="L67" i="9"/>
  <c r="I70" i="9"/>
  <c r="C7" i="11"/>
  <c r="C195" i="11"/>
  <c r="C202" i="11"/>
  <c r="C300" i="11"/>
  <c r="C335" i="11"/>
  <c r="C69" i="11"/>
  <c r="D46" i="3"/>
  <c r="C74" i="11"/>
  <c r="C5" i="1"/>
  <c r="C36" i="11"/>
  <c r="M3" i="10"/>
  <c r="U2" i="10"/>
  <c r="M2" i="10"/>
  <c r="D42" i="3"/>
  <c r="L56" i="9"/>
  <c r="G56" i="9"/>
  <c r="O97" i="9" s="1"/>
  <c r="C99" i="11"/>
  <c r="C120" i="11"/>
  <c r="C62" i="11"/>
  <c r="D23" i="3"/>
  <c r="F23" i="3" s="1"/>
  <c r="D19" i="3"/>
  <c r="V18" i="3" s="1"/>
  <c r="W18" i="3" s="1"/>
  <c r="M73" i="9"/>
  <c r="G73" i="9"/>
  <c r="N73" i="9"/>
  <c r="L73" i="9"/>
  <c r="C161" i="11"/>
  <c r="C294" i="11"/>
  <c r="C4" i="9"/>
  <c r="C12" i="2"/>
  <c r="B16" i="7" s="1"/>
  <c r="C11" i="2"/>
  <c r="B15" i="7" s="1"/>
  <c r="C10" i="2"/>
  <c r="B14" i="7" s="1"/>
  <c r="C7" i="2"/>
  <c r="B11" i="7" s="1"/>
  <c r="C6" i="2"/>
  <c r="B10" i="7" s="1"/>
  <c r="B38" i="7"/>
  <c r="B31" i="7"/>
  <c r="C5" i="2"/>
  <c r="B9" i="7" s="1"/>
  <c r="C2" i="2"/>
  <c r="C15" i="2"/>
  <c r="B19" i="7" s="1"/>
  <c r="C14" i="2"/>
  <c r="B18" i="7" s="1"/>
  <c r="C13" i="2"/>
  <c r="B17" i="7" s="1"/>
  <c r="C3" i="1"/>
  <c r="B32" i="7"/>
  <c r="C9" i="2"/>
  <c r="B13" i="7" s="1"/>
  <c r="M17" i="10"/>
  <c r="B59" i="11"/>
  <c r="E59" i="11" s="1"/>
  <c r="C63" i="4"/>
  <c r="L64" i="9"/>
  <c r="G64" i="9"/>
  <c r="M64" i="9"/>
  <c r="N64" i="9"/>
  <c r="H64" i="9"/>
  <c r="C24" i="1"/>
  <c r="C16" i="8"/>
  <c r="G41" i="9"/>
  <c r="O81" i="9" s="1"/>
  <c r="L41" i="9"/>
  <c r="C362" i="11"/>
  <c r="D47" i="3"/>
  <c r="L46" i="9"/>
  <c r="G46" i="9"/>
  <c r="O86" i="9" s="1"/>
  <c r="C45" i="11"/>
  <c r="C121" i="11"/>
  <c r="C190" i="11"/>
  <c r="C231" i="11"/>
  <c r="C281" i="11"/>
  <c r="C353" i="11"/>
  <c r="C97" i="11"/>
  <c r="G55" i="9"/>
  <c r="G49" i="9"/>
  <c r="O89" i="9" s="1"/>
  <c r="G47" i="9"/>
  <c r="G43" i="9"/>
  <c r="O83" i="9" s="1"/>
  <c r="C14" i="3"/>
  <c r="G44" i="9"/>
  <c r="U28" i="3"/>
  <c r="O24" i="3"/>
  <c r="F29" i="3"/>
  <c r="D29" i="3"/>
  <c r="F62" i="9"/>
  <c r="K62" i="9" s="1"/>
  <c r="C30" i="3"/>
  <c r="F30" i="3" s="1"/>
  <c r="D3" i="3"/>
  <c r="V3" i="3" s="1"/>
  <c r="W3" i="3" s="1"/>
  <c r="H74" i="9"/>
  <c r="G74" i="9"/>
  <c r="M74" i="9"/>
  <c r="L74" i="9"/>
  <c r="N74" i="9"/>
  <c r="C366" i="11"/>
  <c r="C334" i="11"/>
  <c r="C302" i="11"/>
  <c r="C270" i="11"/>
  <c r="C238" i="11"/>
  <c r="C206" i="11"/>
  <c r="C174" i="11"/>
  <c r="C142" i="11"/>
  <c r="C110" i="11"/>
  <c r="C78" i="11"/>
  <c r="C60" i="11"/>
  <c r="C43" i="11"/>
  <c r="C30" i="11"/>
  <c r="C26" i="11"/>
  <c r="C22" i="11"/>
  <c r="C18" i="11"/>
  <c r="C14" i="11"/>
  <c r="C10" i="11"/>
  <c r="C6" i="11"/>
  <c r="C2" i="11"/>
  <c r="C21" i="9"/>
  <c r="C361" i="11"/>
  <c r="C352" i="11"/>
  <c r="C343" i="11"/>
  <c r="C329" i="11"/>
  <c r="C320" i="11"/>
  <c r="C311" i="11"/>
  <c r="C297" i="11"/>
  <c r="C288" i="11"/>
  <c r="C279" i="11"/>
  <c r="C265" i="11"/>
  <c r="C256" i="11"/>
  <c r="C247" i="11"/>
  <c r="C233" i="11"/>
  <c r="C224" i="11"/>
  <c r="C215" i="11"/>
  <c r="C201" i="11"/>
  <c r="C192" i="11"/>
  <c r="C183" i="11"/>
  <c r="C169" i="11"/>
  <c r="C160" i="11"/>
  <c r="C151" i="11"/>
  <c r="C137" i="11"/>
  <c r="C128" i="11"/>
  <c r="C119" i="11"/>
  <c r="C105" i="11"/>
  <c r="C96" i="11"/>
  <c r="C87" i="11"/>
  <c r="C73" i="11"/>
  <c r="C64" i="11"/>
  <c r="C47" i="11"/>
  <c r="C34" i="11"/>
  <c r="C338" i="11"/>
  <c r="C306" i="11"/>
  <c r="C274" i="11"/>
  <c r="C242" i="11"/>
  <c r="C210" i="11"/>
  <c r="C178" i="11"/>
  <c r="C146" i="11"/>
  <c r="C114" i="11"/>
  <c r="C82" i="11"/>
  <c r="C51" i="11"/>
  <c r="C38" i="11"/>
  <c r="C365" i="11"/>
  <c r="C356" i="11"/>
  <c r="C347" i="11"/>
  <c r="C333" i="11"/>
  <c r="C324" i="11"/>
  <c r="C315" i="11"/>
  <c r="C301" i="11"/>
  <c r="C292" i="11"/>
  <c r="C283" i="11"/>
  <c r="C269" i="11"/>
  <c r="C260" i="11"/>
  <c r="C251" i="11"/>
  <c r="C237" i="11"/>
  <c r="C228" i="11"/>
  <c r="C219" i="11"/>
  <c r="C205" i="11"/>
  <c r="C196" i="11"/>
  <c r="C187" i="11"/>
  <c r="C173" i="11"/>
  <c r="C164" i="11"/>
  <c r="C155" i="11"/>
  <c r="C141" i="11"/>
  <c r="C132" i="11"/>
  <c r="C123" i="11"/>
  <c r="C109" i="11"/>
  <c r="C100" i="11"/>
  <c r="C91" i="11"/>
  <c r="C77" i="11"/>
  <c r="C68" i="11"/>
  <c r="C55" i="11"/>
  <c r="C42" i="11"/>
  <c r="C342" i="11"/>
  <c r="C310" i="11"/>
  <c r="C278" i="11"/>
  <c r="C246" i="11"/>
  <c r="C214" i="11"/>
  <c r="C182" i="11"/>
  <c r="C150" i="11"/>
  <c r="C118" i="11"/>
  <c r="C86" i="11"/>
  <c r="C59" i="11"/>
  <c r="C46" i="11"/>
  <c r="C29" i="11"/>
  <c r="C25" i="11"/>
  <c r="C21" i="11"/>
  <c r="C17" i="11"/>
  <c r="C13" i="11"/>
  <c r="C9" i="11"/>
  <c r="C5" i="11"/>
  <c r="C360" i="11"/>
  <c r="C351" i="11"/>
  <c r="C337" i="11"/>
  <c r="C328" i="11"/>
  <c r="C319" i="11"/>
  <c r="C305" i="11"/>
  <c r="C296" i="11"/>
  <c r="C287" i="11"/>
  <c r="C273" i="11"/>
  <c r="C264" i="11"/>
  <c r="C255" i="11"/>
  <c r="C241" i="11"/>
  <c r="C232" i="11"/>
  <c r="C223" i="11"/>
  <c r="C209" i="11"/>
  <c r="C200" i="11"/>
  <c r="C191" i="11"/>
  <c r="C177" i="11"/>
  <c r="C168" i="11"/>
  <c r="C159" i="11"/>
  <c r="C145" i="11"/>
  <c r="C136" i="11"/>
  <c r="C127" i="11"/>
  <c r="C113" i="11"/>
  <c r="C104" i="11"/>
  <c r="C95" i="11"/>
  <c r="C81" i="11"/>
  <c r="C72" i="11"/>
  <c r="C63" i="11"/>
  <c r="C50" i="11"/>
  <c r="C33" i="11"/>
  <c r="C363" i="11"/>
  <c r="C349" i="11"/>
  <c r="C340" i="11"/>
  <c r="C331" i="11"/>
  <c r="C317" i="11"/>
  <c r="C308" i="11"/>
  <c r="C299" i="11"/>
  <c r="C285" i="11"/>
  <c r="C276" i="11"/>
  <c r="C267" i="11"/>
  <c r="C253" i="11"/>
  <c r="C244" i="11"/>
  <c r="C235" i="11"/>
  <c r="C221" i="11"/>
  <c r="C212" i="11"/>
  <c r="C203" i="11"/>
  <c r="C189" i="11"/>
  <c r="C180" i="11"/>
  <c r="C171" i="11"/>
  <c r="C157" i="11"/>
  <c r="C148" i="11"/>
  <c r="C139" i="11"/>
  <c r="C125" i="11"/>
  <c r="C116" i="11"/>
  <c r="C107" i="11"/>
  <c r="C93" i="11"/>
  <c r="C84" i="11"/>
  <c r="C75" i="11"/>
  <c r="C57" i="11"/>
  <c r="C40" i="11"/>
  <c r="C314" i="11"/>
  <c r="C303" i="11"/>
  <c r="C291" i="11"/>
  <c r="C268" i="11"/>
  <c r="C245" i="11"/>
  <c r="C222" i="11"/>
  <c r="C211" i="11"/>
  <c r="C199" i="11"/>
  <c r="C176" i="11"/>
  <c r="C170" i="11"/>
  <c r="C147" i="11"/>
  <c r="C135" i="11"/>
  <c r="C24" i="11"/>
  <c r="C15" i="11"/>
  <c r="D37" i="3"/>
  <c r="D27" i="3"/>
  <c r="M60" i="9" s="1"/>
  <c r="D22" i="3"/>
  <c r="D12" i="3"/>
  <c r="D8" i="3"/>
  <c r="M46" i="9" s="1"/>
  <c r="D4" i="3"/>
  <c r="M42" i="9" s="1"/>
  <c r="C359" i="11"/>
  <c r="C198" i="11"/>
  <c r="C354" i="11"/>
  <c r="C262" i="11"/>
  <c r="C216" i="11"/>
  <c r="C193" i="11"/>
  <c r="C181" i="11"/>
  <c r="C158" i="11"/>
  <c r="C129" i="11"/>
  <c r="C112" i="11"/>
  <c r="C106" i="11"/>
  <c r="C83" i="11"/>
  <c r="C71" i="11"/>
  <c r="C54" i="11"/>
  <c r="C39" i="11"/>
  <c r="D40" i="3"/>
  <c r="C348" i="11"/>
  <c r="C325" i="11"/>
  <c r="C250" i="11"/>
  <c r="C239" i="11"/>
  <c r="C227" i="11"/>
  <c r="C204" i="11"/>
  <c r="C152" i="11"/>
  <c r="C140" i="11"/>
  <c r="C117" i="11"/>
  <c r="C94" i="11"/>
  <c r="C88" i="11"/>
  <c r="C65" i="11"/>
  <c r="C49" i="11"/>
  <c r="C44" i="11"/>
  <c r="C28" i="11"/>
  <c r="C19" i="11"/>
  <c r="D43" i="3"/>
  <c r="C313" i="11"/>
  <c r="C290" i="11"/>
  <c r="C175" i="11"/>
  <c r="C364" i="11"/>
  <c r="C341" i="11"/>
  <c r="C318" i="11"/>
  <c r="C307" i="11"/>
  <c r="C295" i="11"/>
  <c r="C249" i="11"/>
  <c r="C226" i="11"/>
  <c r="C58" i="11"/>
  <c r="C53" i="11"/>
  <c r="C48" i="11"/>
  <c r="D36" i="3"/>
  <c r="D24" i="3"/>
  <c r="F24" i="3" s="1"/>
  <c r="C358" i="11"/>
  <c r="C312" i="11"/>
  <c r="C289" i="11"/>
  <c r="C272" i="11"/>
  <c r="C266" i="11"/>
  <c r="C220" i="11"/>
  <c r="C197" i="11"/>
  <c r="C162" i="11"/>
  <c r="C133" i="11"/>
  <c r="C37" i="11"/>
  <c r="C32" i="11"/>
  <c r="C27" i="11"/>
  <c r="C4" i="11"/>
  <c r="D39" i="3"/>
  <c r="C184" i="11"/>
  <c r="C115" i="11"/>
  <c r="C90" i="11"/>
  <c r="D21" i="3"/>
  <c r="D9" i="3"/>
  <c r="C346" i="11"/>
  <c r="C322" i="11"/>
  <c r="C316" i="11"/>
  <c r="C309" i="11"/>
  <c r="C284" i="11"/>
  <c r="C259" i="11"/>
  <c r="C126" i="11"/>
  <c r="C108" i="11"/>
  <c r="C102" i="11"/>
  <c r="C41" i="11"/>
  <c r="C240" i="11"/>
  <c r="C208" i="11"/>
  <c r="C138" i="11"/>
  <c r="C89" i="11"/>
  <c r="C35" i="11"/>
  <c r="C23" i="11"/>
  <c r="C8" i="11"/>
  <c r="C345" i="11"/>
  <c r="C327" i="11"/>
  <c r="C321" i="11"/>
  <c r="C277" i="11"/>
  <c r="C258" i="11"/>
  <c r="C163" i="11"/>
  <c r="C144" i="11"/>
  <c r="C131" i="11"/>
  <c r="C101" i="11"/>
  <c r="C70" i="11"/>
  <c r="C3" i="11"/>
  <c r="D7" i="3"/>
  <c r="C357" i="11"/>
  <c r="C339" i="11"/>
  <c r="C271" i="11"/>
  <c r="C252" i="11"/>
  <c r="C194" i="11"/>
  <c r="C188" i="11"/>
  <c r="C76" i="11"/>
  <c r="C52" i="11"/>
  <c r="C332" i="11"/>
  <c r="C282" i="11"/>
  <c r="C213" i="11"/>
  <c r="C207" i="11"/>
  <c r="C156" i="11"/>
  <c r="C12" i="11"/>
  <c r="C350" i="11"/>
  <c r="C344" i="11"/>
  <c r="C326" i="11"/>
  <c r="C263" i="11"/>
  <c r="C257" i="11"/>
  <c r="C293" i="11"/>
  <c r="C286" i="11"/>
  <c r="C275" i="11"/>
  <c r="C243" i="11"/>
  <c r="C154" i="11"/>
  <c r="C80" i="11"/>
  <c r="D38" i="3"/>
  <c r="D20" i="3"/>
  <c r="D13" i="3"/>
  <c r="M51" i="9" s="1"/>
  <c r="D6" i="3"/>
  <c r="M44" i="9" s="1"/>
  <c r="C298" i="11"/>
  <c r="D41" i="3"/>
  <c r="D11" i="3"/>
  <c r="M49" i="9" s="1"/>
  <c r="C336" i="11"/>
  <c r="C330" i="11"/>
  <c r="C280" i="11"/>
  <c r="C261" i="11"/>
  <c r="C236" i="11"/>
  <c r="C230" i="11"/>
  <c r="C217" i="11"/>
  <c r="C166" i="11"/>
  <c r="C122" i="11"/>
  <c r="C98" i="11"/>
  <c r="C92" i="11"/>
  <c r="C67" i="11"/>
  <c r="D45" i="3"/>
  <c r="C248" i="11"/>
  <c r="C153" i="11"/>
  <c r="C79" i="11"/>
  <c r="C185" i="11"/>
  <c r="C179" i="11"/>
  <c r="C172" i="11"/>
  <c r="C134" i="11"/>
  <c r="C85" i="11"/>
  <c r="C61" i="11"/>
  <c r="C31" i="11"/>
  <c r="C20" i="11"/>
  <c r="C323" i="11"/>
  <c r="C103" i="11"/>
  <c r="O20" i="3"/>
  <c r="F58" i="9"/>
  <c r="C26" i="3"/>
  <c r="L48" i="9"/>
  <c r="G48" i="9"/>
  <c r="O88" i="9" s="1"/>
  <c r="C355" i="11"/>
  <c r="B150" i="11"/>
  <c r="E150" i="11" s="1"/>
  <c r="C154" i="4"/>
  <c r="M33" i="10"/>
  <c r="D10" i="3"/>
  <c r="M48" i="9" s="1"/>
  <c r="E29" i="3"/>
  <c r="C66" i="11"/>
  <c r="C149" i="11"/>
  <c r="C225" i="11"/>
  <c r="I73" i="9"/>
  <c r="G45" i="3"/>
  <c r="F59" i="9"/>
  <c r="C27" i="3"/>
  <c r="L60" i="9" s="1"/>
  <c r="F63" i="9"/>
  <c r="K63" i="9" s="1"/>
  <c r="E30" i="3"/>
  <c r="D30" i="3"/>
  <c r="C36" i="3"/>
  <c r="G37" i="3"/>
  <c r="B30" i="7"/>
  <c r="B35" i="7"/>
  <c r="B34" i="7"/>
  <c r="B39" i="7"/>
  <c r="B40" i="7"/>
  <c r="M70" i="9"/>
  <c r="N70" i="9"/>
  <c r="L72" i="9"/>
  <c r="G72" i="9"/>
  <c r="N72" i="9"/>
  <c r="G50" i="9"/>
  <c r="O90" i="9" s="1"/>
  <c r="L50" i="9"/>
  <c r="G70" i="9"/>
  <c r="H72" i="9"/>
  <c r="O21" i="3"/>
  <c r="D26" i="3"/>
  <c r="F61" i="9"/>
  <c r="K61" i="9" s="1"/>
  <c r="E28" i="3"/>
  <c r="D28" i="3"/>
  <c r="B26" i="7"/>
  <c r="B33" i="7"/>
  <c r="H70" i="9"/>
  <c r="L44" i="9"/>
  <c r="L68" i="9"/>
  <c r="G43" i="3"/>
  <c r="B182" i="11"/>
  <c r="E182" i="11" s="1"/>
  <c r="R33" i="10"/>
  <c r="B29" i="7"/>
  <c r="B37" i="7"/>
  <c r="H66" i="9"/>
  <c r="G66" i="9"/>
  <c r="M66" i="9"/>
  <c r="N66" i="9"/>
  <c r="L66" i="9"/>
  <c r="C5" i="9"/>
  <c r="G69" i="9"/>
  <c r="L69" i="9"/>
  <c r="N83" i="9"/>
  <c r="B91" i="11"/>
  <c r="E91" i="11" s="1"/>
  <c r="R19" i="10"/>
  <c r="C95" i="4"/>
  <c r="L52" i="9"/>
  <c r="G40" i="3"/>
  <c r="G42" i="9"/>
  <c r="O82" i="9" s="1"/>
  <c r="L42" i="9"/>
  <c r="G52" i="9"/>
  <c r="M69" i="9"/>
  <c r="B121" i="11"/>
  <c r="E121" i="11" s="1"/>
  <c r="N75" i="9"/>
  <c r="M75" i="9"/>
  <c r="G45" i="9"/>
  <c r="M65" i="9"/>
  <c r="G65" i="9"/>
  <c r="G53" i="9"/>
  <c r="O94" i="9" s="1"/>
  <c r="H65" i="9"/>
  <c r="L75" i="9"/>
  <c r="G51" i="9"/>
  <c r="G57" i="9"/>
  <c r="M52" i="9" l="1"/>
  <c r="F19" i="3"/>
  <c r="G19" i="3" s="1"/>
  <c r="F25" i="3"/>
  <c r="D19" i="6" s="1"/>
  <c r="E19" i="3"/>
  <c r="N52" i="9" s="1"/>
  <c r="M56" i="9"/>
  <c r="E24" i="3"/>
  <c r="N57" i="9" s="1"/>
  <c r="V13" i="3"/>
  <c r="W13" i="3" s="1"/>
  <c r="H54" i="9"/>
  <c r="P95" i="9" s="1"/>
  <c r="M41" i="9"/>
  <c r="P15" i="3"/>
  <c r="Q15" i="3" s="1"/>
  <c r="E23" i="3"/>
  <c r="N56" i="9" s="1"/>
  <c r="H49" i="9"/>
  <c r="P89" i="9" s="1"/>
  <c r="H43" i="9"/>
  <c r="P83" i="9" s="1"/>
  <c r="P8" i="3"/>
  <c r="Q8" i="3" s="1"/>
  <c r="P16" i="3"/>
  <c r="Q16" i="3" s="1"/>
  <c r="W29" i="3"/>
  <c r="W27" i="3"/>
  <c r="C37" i="7"/>
  <c r="D22" i="6"/>
  <c r="B96" i="8" s="1"/>
  <c r="I61" i="9"/>
  <c r="G28" i="3"/>
  <c r="H60" i="9"/>
  <c r="P101" i="9" s="1"/>
  <c r="P23" i="3"/>
  <c r="Q23" i="3"/>
  <c r="O87" i="9"/>
  <c r="H47" i="9"/>
  <c r="P87" i="9" s="1"/>
  <c r="V4" i="3"/>
  <c r="W4" i="3" s="1"/>
  <c r="D2" i="6"/>
  <c r="P13" i="3"/>
  <c r="Q13" i="3" s="1"/>
  <c r="V5" i="3"/>
  <c r="W5" i="3" s="1"/>
  <c r="V8" i="3"/>
  <c r="W8" i="3" s="1"/>
  <c r="D14" i="3"/>
  <c r="F14" i="3" s="1"/>
  <c r="V9" i="3"/>
  <c r="W9" i="3" s="1"/>
  <c r="P22" i="3"/>
  <c r="Q22" i="3" s="1"/>
  <c r="P11" i="3"/>
  <c r="Q11" i="3" s="1"/>
  <c r="H44" i="9"/>
  <c r="P84" i="9" s="1"/>
  <c r="O84" i="9"/>
  <c r="C39" i="7"/>
  <c r="F9" i="3"/>
  <c r="E9" i="3"/>
  <c r="N47" i="9" s="1"/>
  <c r="M47" i="9"/>
  <c r="P3" i="3"/>
  <c r="Q3" i="3" s="1"/>
  <c r="P14" i="3"/>
  <c r="Q14" i="3" s="1"/>
  <c r="M54" i="9"/>
  <c r="O91" i="9"/>
  <c r="H51" i="9"/>
  <c r="P91" i="9" s="1"/>
  <c r="C40" i="7"/>
  <c r="V22" i="3"/>
  <c r="W22" i="3" s="1"/>
  <c r="C35" i="7"/>
  <c r="F26" i="3"/>
  <c r="E26" i="3"/>
  <c r="N59" i="9" s="1"/>
  <c r="E8" i="3"/>
  <c r="N46" i="9" s="1"/>
  <c r="F8" i="3"/>
  <c r="O96" i="9"/>
  <c r="H55" i="9"/>
  <c r="P96" i="9" s="1"/>
  <c r="I57" i="9"/>
  <c r="D18" i="6"/>
  <c r="V10" i="3"/>
  <c r="W10" i="3" s="1"/>
  <c r="P5" i="3"/>
  <c r="Q5" i="3" s="1"/>
  <c r="D48" i="3"/>
  <c r="P24" i="3"/>
  <c r="Q24" i="3"/>
  <c r="P12" i="3"/>
  <c r="Q12" i="3" s="1"/>
  <c r="C30" i="7"/>
  <c r="G58" i="9"/>
  <c r="O99" i="9" s="1"/>
  <c r="N58" i="9"/>
  <c r="M58" i="9"/>
  <c r="L58" i="9"/>
  <c r="C7" i="1"/>
  <c r="P21" i="3"/>
  <c r="Q21" i="3" s="1"/>
  <c r="M53" i="9"/>
  <c r="E20" i="3"/>
  <c r="N53" i="9" s="1"/>
  <c r="F20" i="3"/>
  <c r="P7" i="3"/>
  <c r="Q7" i="3" s="1"/>
  <c r="V7" i="3"/>
  <c r="W7" i="3" s="1"/>
  <c r="P4" i="3"/>
  <c r="Q4" i="3" s="1"/>
  <c r="P10" i="3"/>
  <c r="Q10" i="3" s="1"/>
  <c r="F7" i="3"/>
  <c r="M45" i="9"/>
  <c r="E7" i="3"/>
  <c r="N45" i="9" s="1"/>
  <c r="I62" i="9"/>
  <c r="D23" i="6"/>
  <c r="G29" i="3"/>
  <c r="M57" i="9"/>
  <c r="G61" i="9"/>
  <c r="O102" i="9" s="1"/>
  <c r="M61" i="9"/>
  <c r="N61" i="9"/>
  <c r="L61" i="9"/>
  <c r="H61" i="9"/>
  <c r="P102" i="9" s="1"/>
  <c r="V24" i="3"/>
  <c r="W24" i="3" s="1"/>
  <c r="P6" i="3"/>
  <c r="Q6" i="3" s="1"/>
  <c r="H42" i="9"/>
  <c r="P82" i="9" s="1"/>
  <c r="D24" i="6"/>
  <c r="I63" i="9"/>
  <c r="G30" i="3"/>
  <c r="V21" i="3"/>
  <c r="W21" i="3" s="1"/>
  <c r="V12" i="3"/>
  <c r="W12" i="3" s="1"/>
  <c r="V11" i="3"/>
  <c r="W11" i="3" s="1"/>
  <c r="C3" i="9"/>
  <c r="B6" i="7"/>
  <c r="B21" i="7" s="1"/>
  <c r="H56" i="9"/>
  <c r="P97" i="9" s="1"/>
  <c r="B41" i="7"/>
  <c r="C34" i="7"/>
  <c r="C33" i="7"/>
  <c r="C26" i="7"/>
  <c r="C27" i="7"/>
  <c r="C8" i="9"/>
  <c r="F22" i="3"/>
  <c r="E22" i="3"/>
  <c r="N55" i="9" s="1"/>
  <c r="M55" i="9"/>
  <c r="F13" i="3"/>
  <c r="E13" i="3"/>
  <c r="N51" i="9" s="1"/>
  <c r="P18" i="3"/>
  <c r="Q18" i="3" s="1"/>
  <c r="P17" i="3"/>
  <c r="Q17" i="3" s="1"/>
  <c r="D31" i="3"/>
  <c r="F31" i="3" s="1"/>
  <c r="V23" i="3"/>
  <c r="W23" i="3" s="1"/>
  <c r="V25" i="3"/>
  <c r="W25" i="3" s="1"/>
  <c r="V26" i="3"/>
  <c r="W26" i="3" s="1"/>
  <c r="F12" i="3"/>
  <c r="M50" i="9"/>
  <c r="E12" i="3"/>
  <c r="N50" i="9" s="1"/>
  <c r="H41" i="9"/>
  <c r="P81" i="9" s="1"/>
  <c r="I56" i="9"/>
  <c r="D17" i="6"/>
  <c r="C38" i="7"/>
  <c r="C29" i="7"/>
  <c r="G63" i="9"/>
  <c r="O104" i="9" s="1"/>
  <c r="N63" i="9"/>
  <c r="L63" i="9"/>
  <c r="H63" i="9"/>
  <c r="P104" i="9" s="1"/>
  <c r="M63" i="9"/>
  <c r="O98" i="9"/>
  <c r="H57" i="9"/>
  <c r="P98" i="9" s="1"/>
  <c r="P9" i="3"/>
  <c r="Q9" i="3" s="1"/>
  <c r="P19" i="3"/>
  <c r="Q19" i="3" s="1"/>
  <c r="F21" i="3"/>
  <c r="E21" i="3"/>
  <c r="N54" i="9" s="1"/>
  <c r="M62" i="9"/>
  <c r="N62" i="9"/>
  <c r="H62" i="9"/>
  <c r="P103" i="9" s="1"/>
  <c r="G62" i="9"/>
  <c r="O103" i="9" s="1"/>
  <c r="L62" i="9"/>
  <c r="F11" i="3"/>
  <c r="E11" i="3"/>
  <c r="N49" i="9" s="1"/>
  <c r="F4" i="3"/>
  <c r="E4" i="3"/>
  <c r="F5" i="3"/>
  <c r="E5" i="3"/>
  <c r="N43" i="9" s="1"/>
  <c r="O93" i="9"/>
  <c r="H52" i="9"/>
  <c r="P93" i="9" s="1"/>
  <c r="V28" i="3"/>
  <c r="W28" i="3"/>
  <c r="F6" i="3"/>
  <c r="E6" i="3"/>
  <c r="N44" i="9" s="1"/>
  <c r="F36" i="3"/>
  <c r="C48" i="3"/>
  <c r="F48" i="3" s="1"/>
  <c r="E10" i="3"/>
  <c r="N48" i="9" s="1"/>
  <c r="F10" i="3"/>
  <c r="P20" i="3"/>
  <c r="Q20" i="3" s="1"/>
  <c r="H45" i="9"/>
  <c r="P85" i="9" s="1"/>
  <c r="O85" i="9"/>
  <c r="C31" i="7"/>
  <c r="C36" i="7"/>
  <c r="C32" i="7"/>
  <c r="F27" i="3"/>
  <c r="E27" i="3"/>
  <c r="N60" i="9" s="1"/>
  <c r="H53" i="9"/>
  <c r="P94" i="9" s="1"/>
  <c r="V20" i="3"/>
  <c r="W20" i="3" s="1"/>
  <c r="H50" i="9"/>
  <c r="P90" i="9" s="1"/>
  <c r="C28" i="7"/>
  <c r="M59" i="9"/>
  <c r="L59" i="9"/>
  <c r="G59" i="9"/>
  <c r="O100" i="9" s="1"/>
  <c r="V19" i="3"/>
  <c r="W19" i="3" s="1"/>
  <c r="V6" i="3"/>
  <c r="W6" i="3" s="1"/>
  <c r="H46" i="9"/>
  <c r="P86" i="9" s="1"/>
  <c r="H48" i="9"/>
  <c r="P88" i="9" s="1"/>
  <c r="I58" i="9" l="1"/>
  <c r="K58" i="9" s="1"/>
  <c r="I52" i="9"/>
  <c r="K52" i="9" s="1"/>
  <c r="D13" i="6"/>
  <c r="B87" i="8" s="1"/>
  <c r="K56" i="9"/>
  <c r="K57" i="9"/>
  <c r="F22" i="6"/>
  <c r="B91" i="8"/>
  <c r="E31" i="3"/>
  <c r="F23" i="6"/>
  <c r="B97" i="8"/>
  <c r="D8" i="6"/>
  <c r="I47" i="9"/>
  <c r="K47" i="9" s="1"/>
  <c r="D7" i="6"/>
  <c r="I46" i="9"/>
  <c r="K46" i="9" s="1"/>
  <c r="I45" i="9"/>
  <c r="K45" i="9" s="1"/>
  <c r="D6" i="6"/>
  <c r="H59" i="9"/>
  <c r="P100" i="9" s="1"/>
  <c r="D11" i="6"/>
  <c r="I50" i="9"/>
  <c r="K50" i="9" s="1"/>
  <c r="C41" i="7"/>
  <c r="I59" i="9"/>
  <c r="K59" i="9" s="1"/>
  <c r="D20" i="6"/>
  <c r="D16" i="6"/>
  <c r="I55" i="9"/>
  <c r="K55" i="9" s="1"/>
  <c r="I43" i="9"/>
  <c r="K43" i="9" s="1"/>
  <c r="D4" i="6"/>
  <c r="D3" i="6"/>
  <c r="I42" i="9"/>
  <c r="G4" i="3"/>
  <c r="G5" i="3" s="1"/>
  <c r="G6" i="3" s="1"/>
  <c r="G7" i="3" s="1"/>
  <c r="G8" i="3" s="1"/>
  <c r="G9" i="3" s="1"/>
  <c r="G10" i="3" s="1"/>
  <c r="G11" i="3" s="1"/>
  <c r="G12" i="3" s="1"/>
  <c r="G13" i="3" s="1"/>
  <c r="D96" i="8"/>
  <c r="J96" i="8" s="1"/>
  <c r="E96" i="8"/>
  <c r="P96" i="8" s="1"/>
  <c r="Q96" i="8" s="1"/>
  <c r="F96" i="8"/>
  <c r="I53" i="9"/>
  <c r="K53" i="9" s="1"/>
  <c r="D14" i="6"/>
  <c r="G20" i="3"/>
  <c r="G21" i="3" s="1"/>
  <c r="G22" i="3" s="1"/>
  <c r="G23" i="3" s="1"/>
  <c r="G24" i="3" s="1"/>
  <c r="G25" i="3" s="1"/>
  <c r="G26" i="3" s="1"/>
  <c r="G27" i="3" s="1"/>
  <c r="I64" i="9"/>
  <c r="G36" i="3"/>
  <c r="F2" i="6"/>
  <c r="B76" i="8"/>
  <c r="I44" i="9"/>
  <c r="K44" i="9" s="1"/>
  <c r="D5" i="6"/>
  <c r="I54" i="9"/>
  <c r="K54" i="9" s="1"/>
  <c r="D15" i="6"/>
  <c r="H58" i="9"/>
  <c r="P99" i="9" s="1"/>
  <c r="E14" i="3"/>
  <c r="N42" i="9"/>
  <c r="I48" i="9"/>
  <c r="K48" i="9" s="1"/>
  <c r="D9" i="6"/>
  <c r="I49" i="9"/>
  <c r="K49" i="9" s="1"/>
  <c r="D10" i="6"/>
  <c r="F24" i="6"/>
  <c r="B98" i="8"/>
  <c r="I60" i="9"/>
  <c r="K60" i="9" s="1"/>
  <c r="D21" i="6"/>
  <c r="I51" i="9"/>
  <c r="K51" i="9" s="1"/>
  <c r="D12" i="6"/>
  <c r="B93" i="8"/>
  <c r="B92" i="8"/>
  <c r="C20" i="9" l="1"/>
  <c r="K42" i="9"/>
  <c r="C6" i="9" s="1"/>
  <c r="F98" i="8"/>
  <c r="E98" i="8"/>
  <c r="P98" i="8" s="1"/>
  <c r="Q98" i="8" s="1"/>
  <c r="D98" i="8"/>
  <c r="J98" i="8" s="1"/>
  <c r="B79" i="8"/>
  <c r="B78" i="8"/>
  <c r="B95" i="8"/>
  <c r="B89" i="8"/>
  <c r="F3" i="6"/>
  <c r="F4" i="6" s="1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B77" i="8"/>
  <c r="B82" i="8"/>
  <c r="B94" i="8"/>
  <c r="F97" i="8"/>
  <c r="E97" i="8"/>
  <c r="P97" i="8" s="1"/>
  <c r="Q97" i="8" s="1"/>
  <c r="D97" i="8"/>
  <c r="J97" i="8" s="1"/>
  <c r="C7" i="9"/>
  <c r="F76" i="8"/>
  <c r="E76" i="8"/>
  <c r="P76" i="8" s="1"/>
  <c r="Q76" i="8" s="1"/>
  <c r="D76" i="8"/>
  <c r="J76" i="8" s="1"/>
  <c r="B85" i="8"/>
  <c r="B80" i="8"/>
  <c r="B84" i="8"/>
  <c r="B81" i="8"/>
  <c r="D92" i="8"/>
  <c r="J92" i="8" s="1"/>
  <c r="E92" i="8"/>
  <c r="P92" i="8" s="1"/>
  <c r="Q92" i="8" s="1"/>
  <c r="E87" i="8"/>
  <c r="P87" i="8" s="1"/>
  <c r="Q87" i="8" s="1"/>
  <c r="D87" i="8"/>
  <c r="J87" i="8" s="1"/>
  <c r="B90" i="8"/>
  <c r="B83" i="8"/>
  <c r="D93" i="8"/>
  <c r="J93" i="8" s="1"/>
  <c r="E93" i="8"/>
  <c r="P93" i="8" s="1"/>
  <c r="Q93" i="8" s="1"/>
  <c r="B88" i="8"/>
  <c r="B86" i="8"/>
  <c r="I96" i="8"/>
  <c r="L96" i="8"/>
  <c r="H96" i="8"/>
  <c r="E91" i="8"/>
  <c r="P91" i="8" s="1"/>
  <c r="Q91" i="8" s="1"/>
  <c r="D91" i="8"/>
  <c r="J91" i="8" s="1"/>
  <c r="E84" i="8" l="1"/>
  <c r="P84" i="8" s="1"/>
  <c r="Q84" i="8" s="1"/>
  <c r="D84" i="8"/>
  <c r="J84" i="8" s="1"/>
  <c r="E80" i="8"/>
  <c r="P80" i="8" s="1"/>
  <c r="Q80" i="8" s="1"/>
  <c r="D80" i="8"/>
  <c r="J80" i="8" s="1"/>
  <c r="M55" i="8"/>
  <c r="C9" i="8" s="1"/>
  <c r="I55" i="8"/>
  <c r="F77" i="8"/>
  <c r="F78" i="8" s="1"/>
  <c r="F79" i="8" s="1"/>
  <c r="F80" i="8" s="1"/>
  <c r="D77" i="8"/>
  <c r="J77" i="8" s="1"/>
  <c r="E77" i="8"/>
  <c r="P77" i="8" s="1"/>
  <c r="Q77" i="8" s="1"/>
  <c r="E85" i="8"/>
  <c r="P85" i="8" s="1"/>
  <c r="Q85" i="8" s="1"/>
  <c r="D85" i="8"/>
  <c r="J85" i="8" s="1"/>
  <c r="E94" i="8"/>
  <c r="P94" i="8" s="1"/>
  <c r="Q94" i="8" s="1"/>
  <c r="D94" i="8"/>
  <c r="J94" i="8" s="1"/>
  <c r="E82" i="8"/>
  <c r="P82" i="8" s="1"/>
  <c r="Q82" i="8" s="1"/>
  <c r="D82" i="8"/>
  <c r="J82" i="8" s="1"/>
  <c r="E90" i="8"/>
  <c r="P90" i="8" s="1"/>
  <c r="Q90" i="8" s="1"/>
  <c r="D90" i="8"/>
  <c r="J90" i="8" s="1"/>
  <c r="F95" i="8"/>
  <c r="E95" i="8"/>
  <c r="P95" i="8" s="1"/>
  <c r="Q95" i="8" s="1"/>
  <c r="D95" i="8"/>
  <c r="J95" i="8" s="1"/>
  <c r="D78" i="8"/>
  <c r="J78" i="8" s="1"/>
  <c r="E78" i="8"/>
  <c r="P78" i="8" s="1"/>
  <c r="Q78" i="8" s="1"/>
  <c r="C14" i="9"/>
  <c r="C11" i="1" s="1"/>
  <c r="A12" i="1" s="1"/>
  <c r="N96" i="8"/>
  <c r="M96" i="8"/>
  <c r="E79" i="8"/>
  <c r="P79" i="8" s="1"/>
  <c r="Q79" i="8" s="1"/>
  <c r="D79" i="8"/>
  <c r="J79" i="8" s="1"/>
  <c r="D86" i="8"/>
  <c r="J86" i="8" s="1"/>
  <c r="E86" i="8"/>
  <c r="P86" i="8" s="1"/>
  <c r="Q86" i="8" s="1"/>
  <c r="E83" i="8"/>
  <c r="P83" i="8" s="1"/>
  <c r="Q83" i="8" s="1"/>
  <c r="D83" i="8"/>
  <c r="J83" i="8" s="1"/>
  <c r="E89" i="8"/>
  <c r="P89" i="8" s="1"/>
  <c r="Q89" i="8" s="1"/>
  <c r="D89" i="8"/>
  <c r="J89" i="8" s="1"/>
  <c r="H76" i="8"/>
  <c r="I76" i="8" s="1"/>
  <c r="L76" i="8"/>
  <c r="H97" i="8"/>
  <c r="I97" i="8"/>
  <c r="L97" i="8"/>
  <c r="E88" i="8"/>
  <c r="P88" i="8" s="1"/>
  <c r="Q88" i="8" s="1"/>
  <c r="D88" i="8"/>
  <c r="J88" i="8" s="1"/>
  <c r="D81" i="8"/>
  <c r="J81" i="8" s="1"/>
  <c r="E81" i="8"/>
  <c r="P81" i="8" s="1"/>
  <c r="Q81" i="8" s="1"/>
  <c r="L98" i="8"/>
  <c r="I98" i="8"/>
  <c r="H98" i="8"/>
  <c r="L80" i="8" l="1"/>
  <c r="F81" i="8"/>
  <c r="H95" i="8"/>
  <c r="L95" i="8"/>
  <c r="I95" i="8"/>
  <c r="N76" i="8"/>
  <c r="M76" i="8"/>
  <c r="L78" i="8"/>
  <c r="C22" i="8"/>
  <c r="C30" i="1"/>
  <c r="I45" i="8"/>
  <c r="G45" i="8"/>
  <c r="M98" i="8"/>
  <c r="N98" i="8"/>
  <c r="L77" i="8"/>
  <c r="H77" i="8"/>
  <c r="I77" i="8" s="1"/>
  <c r="C4" i="8"/>
  <c r="C10" i="1"/>
  <c r="N97" i="8"/>
  <c r="M97" i="8"/>
  <c r="L79" i="8"/>
  <c r="C31" i="1" l="1"/>
  <c r="C23" i="8"/>
  <c r="H78" i="8"/>
  <c r="I78" i="8" s="1"/>
  <c r="N79" i="8"/>
  <c r="M79" i="8"/>
  <c r="M78" i="8"/>
  <c r="N78" i="8"/>
  <c r="N95" i="8"/>
  <c r="M95" i="8"/>
  <c r="L81" i="8"/>
  <c r="F82" i="8"/>
  <c r="N77" i="8"/>
  <c r="M77" i="8"/>
  <c r="N80" i="8"/>
  <c r="M80" i="8"/>
  <c r="H79" i="8" l="1"/>
  <c r="H80" i="8" s="1"/>
  <c r="N81" i="8"/>
  <c r="M81" i="8"/>
  <c r="L82" i="8"/>
  <c r="F83" i="8"/>
  <c r="I79" i="8" l="1"/>
  <c r="I80" i="8"/>
  <c r="H81" i="8"/>
  <c r="L83" i="8"/>
  <c r="F84" i="8"/>
  <c r="M82" i="8"/>
  <c r="N82" i="8"/>
  <c r="L84" i="8" l="1"/>
  <c r="F85" i="8"/>
  <c r="N83" i="8"/>
  <c r="M83" i="8"/>
  <c r="I81" i="8"/>
  <c r="H82" i="8"/>
  <c r="I82" i="8" l="1"/>
  <c r="H83" i="8"/>
  <c r="L85" i="8"/>
  <c r="F86" i="8"/>
  <c r="N84" i="8"/>
  <c r="M84" i="8"/>
  <c r="L86" i="8" l="1"/>
  <c r="F87" i="8"/>
  <c r="N85" i="8"/>
  <c r="M85" i="8"/>
  <c r="I83" i="8"/>
  <c r="H84" i="8"/>
  <c r="I84" i="8" l="1"/>
  <c r="H85" i="8"/>
  <c r="L87" i="8"/>
  <c r="F88" i="8"/>
  <c r="N86" i="8"/>
  <c r="M86" i="8"/>
  <c r="N87" i="8" l="1"/>
  <c r="M87" i="8"/>
  <c r="L88" i="8"/>
  <c r="F89" i="8"/>
  <c r="I85" i="8"/>
  <c r="H86" i="8"/>
  <c r="I86" i="8" l="1"/>
  <c r="H87" i="8"/>
  <c r="L89" i="8"/>
  <c r="F90" i="8"/>
  <c r="M88" i="8"/>
  <c r="N88" i="8"/>
  <c r="L90" i="8" l="1"/>
  <c r="F91" i="8"/>
  <c r="M89" i="8"/>
  <c r="N89" i="8"/>
  <c r="I87" i="8"/>
  <c r="H88" i="8"/>
  <c r="I88" i="8" l="1"/>
  <c r="H89" i="8"/>
  <c r="L91" i="8"/>
  <c r="F92" i="8"/>
  <c r="N90" i="8"/>
  <c r="M90" i="8"/>
  <c r="L92" i="8" l="1"/>
  <c r="F93" i="8"/>
  <c r="N91" i="8"/>
  <c r="M91" i="8"/>
  <c r="I89" i="8"/>
  <c r="H90" i="8"/>
  <c r="I90" i="8" l="1"/>
  <c r="H91" i="8"/>
  <c r="L93" i="8"/>
  <c r="F94" i="8"/>
  <c r="N92" i="8"/>
  <c r="M92" i="8"/>
  <c r="L94" i="8" l="1"/>
  <c r="N93" i="8"/>
  <c r="M93" i="8"/>
  <c r="I91" i="8"/>
  <c r="H92" i="8"/>
  <c r="I92" i="8" l="1"/>
  <c r="H93" i="8"/>
  <c r="M94" i="8"/>
  <c r="N94" i="8"/>
  <c r="I93" i="8" l="1"/>
  <c r="H94" i="8"/>
  <c r="I94" i="8" s="1"/>
  <c r="A52" i="8" l="1"/>
  <c r="C8" i="8" s="1"/>
  <c r="C2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00000000-0006-0000-0200-00003A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4" authorId="0" shapeId="0" xr:uid="{00000000-0006-0000-0200-00003C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5" authorId="0" shapeId="0" xr:uid="{00000000-0006-0000-0200-000002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5" authorId="0" shapeId="0" xr:uid="{00000000-0006-0000-0200-000004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6" authorId="0" shapeId="0" xr:uid="{00000000-0006-0000-0200-000013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6" authorId="0" shapeId="0" xr:uid="{00000000-0006-0000-0200-000015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7" authorId="0" shapeId="0" xr:uid="{00000000-0006-0000-0200-000024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7" authorId="0" shapeId="0" xr:uid="{00000000-0006-0000-0200-000026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8" authorId="0" shapeId="0" xr:uid="{00000000-0006-0000-0200-000036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8" authorId="0" shapeId="0" xr:uid="{00000000-0006-0000-0200-000038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9" authorId="0" shapeId="0" xr:uid="{00000000-0006-0000-0200-000048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9" authorId="0" shapeId="0" xr:uid="{00000000-0006-0000-0200-00004A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10" authorId="0" shapeId="0" xr:uid="{00000000-0006-0000-0200-00000F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10" authorId="0" shapeId="0" xr:uid="{00000000-0006-0000-0200-000011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11" authorId="0" shapeId="0" xr:uid="{00000000-0006-0000-0200-000020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11" authorId="0" shapeId="0" xr:uid="{00000000-0006-0000-0200-000022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12" authorId="0" shapeId="0" xr:uid="{00000000-0006-0000-0200-000032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12" authorId="0" shapeId="0" xr:uid="{00000000-0006-0000-0200-000034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13" authorId="0" shapeId="0" xr:uid="{00000000-0006-0000-0200-000044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13" authorId="0" shapeId="0" xr:uid="{00000000-0006-0000-0200-000046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14" authorId="0" shapeId="0" xr:uid="{00000000-0006-0000-0200-00000C000000}">
      <text>
        <r>
          <rPr>
            <sz val="11"/>
            <color rgb="FF000000"/>
            <rFont val="Arial"/>
            <scheme val="minor"/>
          </rPr>
          <t>Rentabilidad simple del periodo con los flujos netos descontados al final: (valor final − capital inicial − aportaciones netas) / capital inicial.</t>
        </r>
      </text>
    </comment>
    <comment ref="B15" authorId="0" shapeId="0" xr:uid="{00000000-0006-0000-0200-00001B000000}">
      <text>
        <r>
          <rPr>
            <sz val="11"/>
            <color rgb="FF000000"/>
            <rFont val="Arial"/>
            <scheme val="minor"/>
          </rPr>
          <t>Volatilidad anualizada con retornos mensuales y √12.</t>
        </r>
      </text>
    </comment>
    <comment ref="F19" authorId="0" shapeId="0" xr:uid="{00000000-0006-0000-0200-00001C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19" authorId="0" shapeId="0" xr:uid="{00000000-0006-0000-0200-00001D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20" authorId="0" shapeId="0" xr:uid="{00000000-0006-0000-0200-00002F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20" authorId="0" shapeId="0" xr:uid="{00000000-0006-0000-0200-000030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21" authorId="0" shapeId="0" xr:uid="{00000000-0006-0000-0200-000041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21" authorId="0" shapeId="0" xr:uid="{00000000-0006-0000-0200-000042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22" authorId="0" shapeId="0" xr:uid="{00000000-0006-0000-0200-000009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22" authorId="0" shapeId="0" xr:uid="{00000000-0006-0000-0200-00000A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23" authorId="0" shapeId="0" xr:uid="{00000000-0006-0000-0200-000019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23" authorId="0" shapeId="0" xr:uid="{00000000-0006-0000-0200-00001A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24" authorId="0" shapeId="0" xr:uid="{00000000-0006-0000-0200-00002C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24" authorId="0" shapeId="0" xr:uid="{00000000-0006-0000-0200-00002D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25" authorId="0" shapeId="0" xr:uid="{00000000-0006-0000-0200-00003F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25" authorId="0" shapeId="0" xr:uid="{00000000-0006-0000-0200-000040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26" authorId="0" shapeId="0" xr:uid="{00000000-0006-0000-0200-000007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26" authorId="0" shapeId="0" xr:uid="{00000000-0006-0000-0200-000008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27" authorId="0" shapeId="0" xr:uid="{00000000-0006-0000-0200-000017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27" authorId="0" shapeId="0" xr:uid="{00000000-0006-0000-0200-000018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28" authorId="0" shapeId="0" xr:uid="{00000000-0006-0000-0200-00002A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28" authorId="0" shapeId="0" xr:uid="{00000000-0006-0000-0200-00002B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29" authorId="0" shapeId="0" xr:uid="{00000000-0006-0000-0200-00003D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29" authorId="0" shapeId="0" xr:uid="{00000000-0006-0000-0200-00003E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30" authorId="0" shapeId="0" xr:uid="{00000000-0006-0000-0200-000005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30" authorId="0" shapeId="0" xr:uid="{00000000-0006-0000-0200-000006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31" authorId="0" shapeId="0" xr:uid="{00000000-0006-0000-0200-000016000000}">
      <text>
        <r>
          <rPr>
            <sz val="11"/>
            <color rgb="FF000000"/>
            <rFont val="Arial"/>
            <scheme val="minor"/>
          </rPr>
          <t>Rentabilidad simple del periodo con los flujos netos descontados al final: (valor final − capital inicial − aportaciones netas) / capital inicial.</t>
        </r>
      </text>
    </comment>
    <comment ref="B32" authorId="0" shapeId="0" xr:uid="{00000000-0006-0000-0200-000027000000}">
      <text>
        <r>
          <rPr>
            <sz val="11"/>
            <color rgb="FF000000"/>
            <rFont val="Arial"/>
            <scheme val="minor"/>
          </rPr>
          <t>Enero–junio: varianza mensual × 12. Desde julio: varianza diaria × 365. Ponderación por tiempo observado.</t>
        </r>
      </text>
    </comment>
    <comment ref="F36" authorId="0" shapeId="0" xr:uid="{00000000-0006-0000-0200-000028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36" authorId="0" shapeId="0" xr:uid="{00000000-0006-0000-0200-000029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37" authorId="0" shapeId="0" xr:uid="{00000000-0006-0000-0200-000039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37" authorId="0" shapeId="0" xr:uid="{00000000-0006-0000-0200-00003B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38" authorId="0" shapeId="0" xr:uid="{00000000-0006-0000-0200-000001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38" authorId="0" shapeId="0" xr:uid="{00000000-0006-0000-0200-000003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39" authorId="0" shapeId="0" xr:uid="{00000000-0006-0000-0200-000012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39" authorId="0" shapeId="0" xr:uid="{00000000-0006-0000-0200-000014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40" authorId="0" shapeId="0" xr:uid="{00000000-0006-0000-0200-000023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40" authorId="0" shapeId="0" xr:uid="{00000000-0006-0000-0200-000025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41" authorId="0" shapeId="0" xr:uid="{00000000-0006-0000-0200-000035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41" authorId="0" shapeId="0" xr:uid="{00000000-0006-0000-0200-000037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42" authorId="0" shapeId="0" xr:uid="{00000000-0006-0000-0200-000047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42" authorId="0" shapeId="0" xr:uid="{00000000-0006-0000-0200-000049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43" authorId="0" shapeId="0" xr:uid="{00000000-0006-0000-0200-00000E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43" authorId="0" shapeId="0" xr:uid="{00000000-0006-0000-0200-000010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44" authorId="0" shapeId="0" xr:uid="{00000000-0006-0000-0200-00001F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44" authorId="0" shapeId="0" xr:uid="{00000000-0006-0000-0200-000021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45" authorId="0" shapeId="0" xr:uid="{00000000-0006-0000-0200-000031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45" authorId="0" shapeId="0" xr:uid="{00000000-0006-0000-0200-000033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46" authorId="0" shapeId="0" xr:uid="{00000000-0006-0000-0200-000043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46" authorId="0" shapeId="0" xr:uid="{00000000-0006-0000-0200-000045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47" authorId="0" shapeId="0" xr:uid="{00000000-0006-0000-0200-00000B000000}">
      <text>
        <r>
          <rPr>
            <sz val="11"/>
            <color rgb="FF000000"/>
            <rFont val="Arial"/>
            <scheme val="minor"/>
          </rPr>
          <t>Rentabilidad mensual sin redondeo interno. Flujos al final del mes.</t>
        </r>
      </text>
    </comment>
    <comment ref="G47" authorId="0" shapeId="0" xr:uid="{00000000-0006-0000-0200-00000D000000}">
      <text>
        <r>
          <rPr>
            <sz val="11"/>
            <color rgb="FF000000"/>
            <rFont val="Arial"/>
            <scheme val="minor"/>
          </rPr>
          <t>TWR acumulado con precisión completa.</t>
        </r>
      </text>
    </comment>
    <comment ref="F48" authorId="0" shapeId="0" xr:uid="{00000000-0006-0000-0200-00001E000000}">
      <text>
        <r>
          <rPr>
            <sz val="11"/>
            <color rgb="FF000000"/>
            <rFont val="Arial"/>
            <scheme val="minor"/>
          </rPr>
          <t>Rentabilidad simple del periodo con los flujos netos descontados al final: (valor final − capital inicial − aportaciones netas) / capital inicial.</t>
        </r>
      </text>
    </comment>
    <comment ref="B49" authorId="0" shapeId="0" xr:uid="{00000000-0006-0000-0200-00002E000000}">
      <text>
        <r>
          <rPr>
            <sz val="11"/>
            <color rgb="FF000000"/>
            <rFont val="Arial"/>
            <scheme val="minor"/>
          </rPr>
          <t>Con 20 días usa volatilidad diaria anualizada con √365; antes usa mensual con √12.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500-000002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4" authorId="0" shapeId="0" xr:uid="{00000000-0006-0000-0500-000001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5" authorId="0" shapeId="0" xr:uid="{00000000-0006-0000-0500-000016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6" authorId="0" shapeId="0" xr:uid="{00000000-0006-0000-0500-000015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7" authorId="0" shapeId="0" xr:uid="{00000000-0006-0000-0500-000014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8" authorId="0" shapeId="0" xr:uid="{00000000-0006-0000-0500-000013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9" authorId="0" shapeId="0" xr:uid="{00000000-0006-0000-0500-000012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10" authorId="0" shapeId="0" xr:uid="{00000000-0006-0000-0500-000011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11" authorId="0" shapeId="0" xr:uid="{00000000-0006-0000-0500-000010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12" authorId="0" shapeId="0" xr:uid="{00000000-0006-0000-0500-00000F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13" authorId="0" shapeId="0" xr:uid="{00000000-0006-0000-0500-00000E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14" authorId="0" shapeId="0" xr:uid="{00000000-0006-0000-0500-00000D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15" authorId="0" shapeId="0" xr:uid="{00000000-0006-0000-0500-00000C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16" authorId="0" shapeId="0" xr:uid="{00000000-0006-0000-0500-00000B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17" authorId="0" shapeId="0" xr:uid="{00000000-0006-0000-0500-00000A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18" authorId="0" shapeId="0" xr:uid="{00000000-0006-0000-0500-000009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19" authorId="0" shapeId="0" xr:uid="{00000000-0006-0000-0500-000008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20" authorId="0" shapeId="0" xr:uid="{00000000-0006-0000-0500-000007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21" authorId="0" shapeId="0" xr:uid="{00000000-0006-0000-0500-000006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22" authorId="0" shapeId="0" xr:uid="{00000000-0006-0000-0500-000005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23" authorId="0" shapeId="0" xr:uid="{00000000-0006-0000-0500-000004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  <comment ref="D24" authorId="0" shapeId="0" xr:uid="{00000000-0006-0000-0500-000003000000}">
      <text>
        <r>
          <rPr>
            <sz val="11"/>
            <color rgb="FF000000"/>
            <rFont val="Arial"/>
            <scheme val="minor"/>
          </rPr>
          <t>Rentabilidad de cartera vinculada a Evolución, donde los flujos mensuales se consideran realizados al final del mes.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9" authorId="0" shapeId="0" xr:uid="{00000000-0006-0000-0700-000001000000}">
      <text>
        <r>
          <rPr>
            <sz val="11"/>
            <color rgb="FF000000"/>
            <rFont val="Arial"/>
            <scheme val="minor"/>
          </rPr>
          <t>Sortino anualizado = media(R mensual − C3/12) / raíz(media(mín(R mensual − C3/12; 0)^2)) × raíz(12). El denominador incluye todos los meses válidos, con cero para los que superan el objetivo. No se usa STDEV de los meses negativos. Muestra: meses completos, excluida la base de febrero de 2025.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8" authorId="0" shapeId="0" xr:uid="{00000000-0006-0000-0900-000027000000}">
      <text>
        <r>
          <rPr>
            <sz val="11"/>
            <color rgb="FF000000"/>
            <rFont val="Arial"/>
            <scheme val="minor"/>
          </rPr>
          <t>01/01/2026</t>
        </r>
      </text>
    </comment>
    <comment ref="E8" authorId="0" shapeId="0" xr:uid="{00000000-0006-0000-0900-000029000000}">
      <text>
        <r>
          <rPr>
            <sz val="11"/>
            <color rgb="FF000000"/>
            <rFont val="Arial"/>
            <scheme val="minor"/>
          </rPr>
          <t>02/01/2026</t>
        </r>
      </text>
    </comment>
    <comment ref="F8" authorId="0" shapeId="0" xr:uid="{00000000-0006-0000-0900-00002B000000}">
      <text>
        <r>
          <rPr>
            <sz val="11"/>
            <color rgb="FF000000"/>
            <rFont val="Arial"/>
            <scheme val="minor"/>
          </rPr>
          <t>03/01/2026</t>
        </r>
      </text>
    </comment>
    <comment ref="G8" authorId="0" shapeId="0" xr:uid="{00000000-0006-0000-0900-00002D000000}">
      <text>
        <r>
          <rPr>
            <sz val="11"/>
            <color rgb="FF000000"/>
            <rFont val="Arial"/>
            <scheme val="minor"/>
          </rPr>
          <t>04/01/2026</t>
        </r>
      </text>
    </comment>
    <comment ref="O8" authorId="0" shapeId="0" xr:uid="{00000000-0006-0000-0900-00002F000000}">
      <text>
        <r>
          <rPr>
            <sz val="11"/>
            <color rgb="FF000000"/>
            <rFont val="Arial"/>
            <scheme val="minor"/>
          </rPr>
          <t>01/02/2026</t>
        </r>
      </text>
    </comment>
    <comment ref="W8" authorId="0" shapeId="0" xr:uid="{00000000-0006-0000-0900-000037000000}">
      <text>
        <r>
          <rPr>
            <sz val="11"/>
            <color rgb="FF000000"/>
            <rFont val="Arial"/>
            <scheme val="minor"/>
          </rPr>
          <t>01/03/2026</t>
        </r>
      </text>
    </comment>
    <comment ref="A10" authorId="0" shapeId="0" xr:uid="{00000000-0006-0000-0900-000069000000}">
      <text>
        <r>
          <rPr>
            <sz val="11"/>
            <color rgb="FF000000"/>
            <rFont val="Arial"/>
            <scheme val="minor"/>
          </rPr>
          <t>05/01/2026</t>
        </r>
      </text>
    </comment>
    <comment ref="B10" authorId="0" shapeId="0" xr:uid="{00000000-0006-0000-0900-00006B000000}">
      <text>
        <r>
          <rPr>
            <sz val="11"/>
            <color rgb="FF000000"/>
            <rFont val="Arial"/>
            <scheme val="minor"/>
          </rPr>
          <t>06/01/2026</t>
        </r>
      </text>
    </comment>
    <comment ref="C10" authorId="0" shapeId="0" xr:uid="{00000000-0006-0000-0900-00006D000000}">
      <text>
        <r>
          <rPr>
            <sz val="11"/>
            <color rgb="FF000000"/>
            <rFont val="Arial"/>
            <scheme val="minor"/>
          </rPr>
          <t>07/01/2026</t>
        </r>
      </text>
    </comment>
    <comment ref="D10" authorId="0" shapeId="0" xr:uid="{00000000-0006-0000-0900-000070000000}">
      <text>
        <r>
          <rPr>
            <sz val="11"/>
            <color rgb="FF000000"/>
            <rFont val="Arial"/>
            <scheme val="minor"/>
          </rPr>
          <t>08/01/2026</t>
        </r>
      </text>
    </comment>
    <comment ref="E10" authorId="0" shapeId="0" xr:uid="{00000000-0006-0000-0900-000072000000}">
      <text>
        <r>
          <rPr>
            <sz val="11"/>
            <color rgb="FF000000"/>
            <rFont val="Arial"/>
            <scheme val="minor"/>
          </rPr>
          <t>09/01/2026</t>
        </r>
      </text>
    </comment>
    <comment ref="F10" authorId="0" shapeId="0" xr:uid="{00000000-0006-0000-0900-000074000000}">
      <text>
        <r>
          <rPr>
            <sz val="11"/>
            <color rgb="FF000000"/>
            <rFont val="Arial"/>
            <scheme val="minor"/>
          </rPr>
          <t>10/01/2026</t>
        </r>
      </text>
    </comment>
    <comment ref="G10" authorId="0" shapeId="0" xr:uid="{00000000-0006-0000-0900-000076000000}">
      <text>
        <r>
          <rPr>
            <sz val="11"/>
            <color rgb="FF000000"/>
            <rFont val="Arial"/>
            <scheme val="minor"/>
          </rPr>
          <t>11/01/2026</t>
        </r>
      </text>
    </comment>
    <comment ref="I10" authorId="0" shapeId="0" xr:uid="{00000000-0006-0000-0900-000078000000}">
      <text>
        <r>
          <rPr>
            <sz val="11"/>
            <color rgb="FF000000"/>
            <rFont val="Arial"/>
            <scheme val="minor"/>
          </rPr>
          <t>02/02/2026</t>
        </r>
      </text>
    </comment>
    <comment ref="J10" authorId="0" shapeId="0" xr:uid="{00000000-0006-0000-0900-000079000000}">
      <text>
        <r>
          <rPr>
            <sz val="11"/>
            <color rgb="FF000000"/>
            <rFont val="Arial"/>
            <scheme val="minor"/>
          </rPr>
          <t>03/02/2026</t>
        </r>
      </text>
    </comment>
    <comment ref="K10" authorId="0" shapeId="0" xr:uid="{00000000-0006-0000-0900-00007A000000}">
      <text>
        <r>
          <rPr>
            <sz val="11"/>
            <color rgb="FF000000"/>
            <rFont val="Arial"/>
            <scheme val="minor"/>
          </rPr>
          <t>04/02/2026</t>
        </r>
      </text>
    </comment>
    <comment ref="L10" authorId="0" shapeId="0" xr:uid="{00000000-0006-0000-0900-00007B000000}">
      <text>
        <r>
          <rPr>
            <sz val="11"/>
            <color rgb="FF000000"/>
            <rFont val="Arial"/>
            <scheme val="minor"/>
          </rPr>
          <t>05/02/2026</t>
        </r>
      </text>
    </comment>
    <comment ref="M10" authorId="0" shapeId="0" xr:uid="{00000000-0006-0000-0900-00007C000000}">
      <text>
        <r>
          <rPr>
            <sz val="11"/>
            <color rgb="FF000000"/>
            <rFont val="Arial"/>
            <scheme val="minor"/>
          </rPr>
          <t>06/02/2026</t>
        </r>
      </text>
    </comment>
    <comment ref="N10" authorId="0" shapeId="0" xr:uid="{00000000-0006-0000-0900-00007D000000}">
      <text>
        <r>
          <rPr>
            <sz val="11"/>
            <color rgb="FF000000"/>
            <rFont val="Arial"/>
            <scheme val="minor"/>
          </rPr>
          <t>07/02/2026</t>
        </r>
      </text>
    </comment>
    <comment ref="O10" authorId="0" shapeId="0" xr:uid="{00000000-0006-0000-0900-00007E000000}">
      <text>
        <r>
          <rPr>
            <sz val="11"/>
            <color rgb="FF000000"/>
            <rFont val="Arial"/>
            <scheme val="minor"/>
          </rPr>
          <t>08/02/2026</t>
        </r>
      </text>
    </comment>
    <comment ref="Q10" authorId="0" shapeId="0" xr:uid="{00000000-0006-0000-0900-000081000000}">
      <text>
        <r>
          <rPr>
            <sz val="11"/>
            <color rgb="FF000000"/>
            <rFont val="Arial"/>
            <scheme val="minor"/>
          </rPr>
          <t>02/03/2026</t>
        </r>
      </text>
    </comment>
    <comment ref="R10" authorId="0" shapeId="0" xr:uid="{00000000-0006-0000-0900-000083000000}">
      <text>
        <r>
          <rPr>
            <sz val="11"/>
            <color rgb="FF000000"/>
            <rFont val="Arial"/>
            <scheme val="minor"/>
          </rPr>
          <t>03/03/2026</t>
        </r>
      </text>
    </comment>
    <comment ref="S10" authorId="0" shapeId="0" xr:uid="{00000000-0006-0000-0900-000085000000}">
      <text>
        <r>
          <rPr>
            <sz val="11"/>
            <color rgb="FF000000"/>
            <rFont val="Arial"/>
            <scheme val="minor"/>
          </rPr>
          <t>04/03/2026</t>
        </r>
      </text>
    </comment>
    <comment ref="T10" authorId="0" shapeId="0" xr:uid="{00000000-0006-0000-0900-000087000000}">
      <text>
        <r>
          <rPr>
            <sz val="11"/>
            <color rgb="FF000000"/>
            <rFont val="Arial"/>
            <scheme val="minor"/>
          </rPr>
          <t>05/03/2026</t>
        </r>
      </text>
    </comment>
    <comment ref="U10" authorId="0" shapeId="0" xr:uid="{00000000-0006-0000-0900-000089000000}">
      <text>
        <r>
          <rPr>
            <sz val="11"/>
            <color rgb="FF000000"/>
            <rFont val="Arial"/>
            <scheme val="minor"/>
          </rPr>
          <t>06/03/2026</t>
        </r>
      </text>
    </comment>
    <comment ref="V10" authorId="0" shapeId="0" xr:uid="{00000000-0006-0000-0900-00008B000000}">
      <text>
        <r>
          <rPr>
            <sz val="11"/>
            <color rgb="FF000000"/>
            <rFont val="Arial"/>
            <scheme val="minor"/>
          </rPr>
          <t>07/03/2026</t>
        </r>
      </text>
    </comment>
    <comment ref="W10" authorId="0" shapeId="0" xr:uid="{00000000-0006-0000-0900-00008C000000}">
      <text>
        <r>
          <rPr>
            <sz val="11"/>
            <color rgb="FF000000"/>
            <rFont val="Arial"/>
            <scheme val="minor"/>
          </rPr>
          <t>08/03/2026</t>
        </r>
      </text>
    </comment>
    <comment ref="A12" authorId="0" shapeId="0" xr:uid="{00000000-0006-0000-0900-0000BE000000}">
      <text>
        <r>
          <rPr>
            <sz val="11"/>
            <color rgb="FF000000"/>
            <rFont val="Arial"/>
            <scheme val="minor"/>
          </rPr>
          <t>12/01/2026</t>
        </r>
      </text>
    </comment>
    <comment ref="B12" authorId="0" shapeId="0" xr:uid="{00000000-0006-0000-0900-0000C0000000}">
      <text>
        <r>
          <rPr>
            <sz val="11"/>
            <color rgb="FF000000"/>
            <rFont val="Arial"/>
            <scheme val="minor"/>
          </rPr>
          <t>13/01/2026</t>
        </r>
      </text>
    </comment>
    <comment ref="C12" authorId="0" shapeId="0" xr:uid="{00000000-0006-0000-0900-0000C2000000}">
      <text>
        <r>
          <rPr>
            <sz val="11"/>
            <color rgb="FF000000"/>
            <rFont val="Arial"/>
            <scheme val="minor"/>
          </rPr>
          <t>14/01/2026</t>
        </r>
      </text>
    </comment>
    <comment ref="D12" authorId="0" shapeId="0" xr:uid="{00000000-0006-0000-0900-0000C4000000}">
      <text>
        <r>
          <rPr>
            <sz val="11"/>
            <color rgb="FF000000"/>
            <rFont val="Arial"/>
            <scheme val="minor"/>
          </rPr>
          <t>15/01/2026</t>
        </r>
      </text>
    </comment>
    <comment ref="E12" authorId="0" shapeId="0" xr:uid="{00000000-0006-0000-0900-0000C6000000}">
      <text>
        <r>
          <rPr>
            <sz val="11"/>
            <color rgb="FF000000"/>
            <rFont val="Arial"/>
            <scheme val="minor"/>
          </rPr>
          <t>16/01/2026</t>
        </r>
      </text>
    </comment>
    <comment ref="F12" authorId="0" shapeId="0" xr:uid="{00000000-0006-0000-0900-0000C8000000}">
      <text>
        <r>
          <rPr>
            <sz val="11"/>
            <color rgb="FF000000"/>
            <rFont val="Arial"/>
            <scheme val="minor"/>
          </rPr>
          <t>17/01/2026</t>
        </r>
      </text>
    </comment>
    <comment ref="G12" authorId="0" shapeId="0" xr:uid="{00000000-0006-0000-0900-0000CA000000}">
      <text>
        <r>
          <rPr>
            <sz val="11"/>
            <color rgb="FF000000"/>
            <rFont val="Arial"/>
            <scheme val="minor"/>
          </rPr>
          <t>18/01/2026</t>
        </r>
      </text>
    </comment>
    <comment ref="I12" authorId="0" shapeId="0" xr:uid="{00000000-0006-0000-0900-0000CC000000}">
      <text>
        <r>
          <rPr>
            <sz val="11"/>
            <color rgb="FF000000"/>
            <rFont val="Arial"/>
            <scheme val="minor"/>
          </rPr>
          <t>09/02/2026</t>
        </r>
      </text>
    </comment>
    <comment ref="J12" authorId="0" shapeId="0" xr:uid="{00000000-0006-0000-0900-0000CD000000}">
      <text>
        <r>
          <rPr>
            <sz val="11"/>
            <color rgb="FF000000"/>
            <rFont val="Arial"/>
            <scheme val="minor"/>
          </rPr>
          <t>10/02/2026</t>
        </r>
      </text>
    </comment>
    <comment ref="K12" authorId="0" shapeId="0" xr:uid="{00000000-0006-0000-0900-0000CE000000}">
      <text>
        <r>
          <rPr>
            <sz val="11"/>
            <color rgb="FF000000"/>
            <rFont val="Arial"/>
            <scheme val="minor"/>
          </rPr>
          <t>11/02/2026</t>
        </r>
      </text>
    </comment>
    <comment ref="L12" authorId="0" shapeId="0" xr:uid="{00000000-0006-0000-0900-0000CF000000}">
      <text>
        <r>
          <rPr>
            <sz val="11"/>
            <color rgb="FF000000"/>
            <rFont val="Arial"/>
            <scheme val="minor"/>
          </rPr>
          <t>12/02/2026</t>
        </r>
      </text>
    </comment>
    <comment ref="M12" authorId="0" shapeId="0" xr:uid="{00000000-0006-0000-0900-0000D0000000}">
      <text>
        <r>
          <rPr>
            <sz val="11"/>
            <color rgb="FF000000"/>
            <rFont val="Arial"/>
            <scheme val="minor"/>
          </rPr>
          <t>13/02/2026</t>
        </r>
      </text>
    </comment>
    <comment ref="N12" authorId="0" shapeId="0" xr:uid="{00000000-0006-0000-0900-0000D1000000}">
      <text>
        <r>
          <rPr>
            <sz val="11"/>
            <color rgb="FF000000"/>
            <rFont val="Arial"/>
            <scheme val="minor"/>
          </rPr>
          <t>14/02/2026</t>
        </r>
      </text>
    </comment>
    <comment ref="O12" authorId="0" shapeId="0" xr:uid="{00000000-0006-0000-0900-0000D2000000}">
      <text>
        <r>
          <rPr>
            <sz val="11"/>
            <color rgb="FF000000"/>
            <rFont val="Arial"/>
            <scheme val="minor"/>
          </rPr>
          <t>15/02/2026</t>
        </r>
      </text>
    </comment>
    <comment ref="Q12" authorId="0" shapeId="0" xr:uid="{00000000-0006-0000-0900-0000D5000000}">
      <text>
        <r>
          <rPr>
            <sz val="11"/>
            <color rgb="FF000000"/>
            <rFont val="Arial"/>
            <scheme val="minor"/>
          </rPr>
          <t>09/03/2026</t>
        </r>
      </text>
    </comment>
    <comment ref="R12" authorId="0" shapeId="0" xr:uid="{00000000-0006-0000-0900-0000D7000000}">
      <text>
        <r>
          <rPr>
            <sz val="11"/>
            <color rgb="FF000000"/>
            <rFont val="Arial"/>
            <scheme val="minor"/>
          </rPr>
          <t>10/03/2026</t>
        </r>
      </text>
    </comment>
    <comment ref="S12" authorId="0" shapeId="0" xr:uid="{00000000-0006-0000-0900-0000D9000000}">
      <text>
        <r>
          <rPr>
            <sz val="11"/>
            <color rgb="FF000000"/>
            <rFont val="Arial"/>
            <scheme val="minor"/>
          </rPr>
          <t>11/03/2026</t>
        </r>
      </text>
    </comment>
    <comment ref="T12" authorId="0" shapeId="0" xr:uid="{00000000-0006-0000-0900-0000DB000000}">
      <text>
        <r>
          <rPr>
            <sz val="11"/>
            <color rgb="FF000000"/>
            <rFont val="Arial"/>
            <scheme val="minor"/>
          </rPr>
          <t>12/03/2026</t>
        </r>
      </text>
    </comment>
    <comment ref="U12" authorId="0" shapeId="0" xr:uid="{00000000-0006-0000-0900-0000DD000000}">
      <text>
        <r>
          <rPr>
            <sz val="11"/>
            <color rgb="FF000000"/>
            <rFont val="Arial"/>
            <scheme val="minor"/>
          </rPr>
          <t>13/03/2026</t>
        </r>
      </text>
    </comment>
    <comment ref="V12" authorId="0" shapeId="0" xr:uid="{00000000-0006-0000-0900-0000DF000000}">
      <text>
        <r>
          <rPr>
            <sz val="11"/>
            <color rgb="FF000000"/>
            <rFont val="Arial"/>
            <scheme val="minor"/>
          </rPr>
          <t>14/03/2026</t>
        </r>
      </text>
    </comment>
    <comment ref="W12" authorId="0" shapeId="0" xr:uid="{00000000-0006-0000-0900-0000E0000000}">
      <text>
        <r>
          <rPr>
            <sz val="11"/>
            <color rgb="FF000000"/>
            <rFont val="Arial"/>
            <scheme val="minor"/>
          </rPr>
          <t>15/03/2026</t>
        </r>
      </text>
    </comment>
    <comment ref="A14" authorId="0" shapeId="0" xr:uid="{00000000-0006-0000-0900-000012010000}">
      <text>
        <r>
          <rPr>
            <sz val="11"/>
            <color rgb="FF000000"/>
            <rFont val="Arial"/>
            <scheme val="minor"/>
          </rPr>
          <t>19/01/2026</t>
        </r>
      </text>
    </comment>
    <comment ref="B14" authorId="0" shapeId="0" xr:uid="{00000000-0006-0000-0900-000014010000}">
      <text>
        <r>
          <rPr>
            <sz val="11"/>
            <color rgb="FF000000"/>
            <rFont val="Arial"/>
            <scheme val="minor"/>
          </rPr>
          <t>20/01/2026</t>
        </r>
      </text>
    </comment>
    <comment ref="C14" authorId="0" shapeId="0" xr:uid="{00000000-0006-0000-0900-000016010000}">
      <text>
        <r>
          <rPr>
            <sz val="11"/>
            <color rgb="FF000000"/>
            <rFont val="Arial"/>
            <scheme val="minor"/>
          </rPr>
          <t>21/01/2026</t>
        </r>
      </text>
    </comment>
    <comment ref="D14" authorId="0" shapeId="0" xr:uid="{00000000-0006-0000-0900-000018010000}">
      <text>
        <r>
          <rPr>
            <sz val="11"/>
            <color rgb="FF000000"/>
            <rFont val="Arial"/>
            <scheme val="minor"/>
          </rPr>
          <t>22/01/2026</t>
        </r>
      </text>
    </comment>
    <comment ref="E14" authorId="0" shapeId="0" xr:uid="{00000000-0006-0000-0900-00001A010000}">
      <text>
        <r>
          <rPr>
            <sz val="11"/>
            <color rgb="FF000000"/>
            <rFont val="Arial"/>
            <scheme val="minor"/>
          </rPr>
          <t>23/01/2026</t>
        </r>
      </text>
    </comment>
    <comment ref="F14" authorId="0" shapeId="0" xr:uid="{00000000-0006-0000-0900-00001C010000}">
      <text>
        <r>
          <rPr>
            <sz val="11"/>
            <color rgb="FF000000"/>
            <rFont val="Arial"/>
            <scheme val="minor"/>
          </rPr>
          <t>24/01/2026</t>
        </r>
      </text>
    </comment>
    <comment ref="G14" authorId="0" shapeId="0" xr:uid="{00000000-0006-0000-0900-00001E010000}">
      <text>
        <r>
          <rPr>
            <sz val="11"/>
            <color rgb="FF000000"/>
            <rFont val="Arial"/>
            <scheme val="minor"/>
          </rPr>
          <t>25/01/2026</t>
        </r>
      </text>
    </comment>
    <comment ref="I14" authorId="0" shapeId="0" xr:uid="{00000000-0006-0000-0900-000020010000}">
      <text>
        <r>
          <rPr>
            <sz val="11"/>
            <color rgb="FF000000"/>
            <rFont val="Arial"/>
            <scheme val="minor"/>
          </rPr>
          <t>16/02/2026</t>
        </r>
      </text>
    </comment>
    <comment ref="J14" authorId="0" shapeId="0" xr:uid="{00000000-0006-0000-0900-000021010000}">
      <text>
        <r>
          <rPr>
            <sz val="11"/>
            <color rgb="FF000000"/>
            <rFont val="Arial"/>
            <scheme val="minor"/>
          </rPr>
          <t>17/02/2026</t>
        </r>
      </text>
    </comment>
    <comment ref="K14" authorId="0" shapeId="0" xr:uid="{00000000-0006-0000-0900-000022010000}">
      <text>
        <r>
          <rPr>
            <sz val="11"/>
            <color rgb="FF000000"/>
            <rFont val="Arial"/>
            <scheme val="minor"/>
          </rPr>
          <t>18/02/2026</t>
        </r>
      </text>
    </comment>
    <comment ref="L14" authorId="0" shapeId="0" xr:uid="{00000000-0006-0000-0900-000023010000}">
      <text>
        <r>
          <rPr>
            <sz val="11"/>
            <color rgb="FF000000"/>
            <rFont val="Arial"/>
            <scheme val="minor"/>
          </rPr>
          <t>19/02/2026</t>
        </r>
      </text>
    </comment>
    <comment ref="M14" authorId="0" shapeId="0" xr:uid="{00000000-0006-0000-0900-000024010000}">
      <text>
        <r>
          <rPr>
            <sz val="11"/>
            <color rgb="FF000000"/>
            <rFont val="Arial"/>
            <scheme val="minor"/>
          </rPr>
          <t>20/02/2026</t>
        </r>
      </text>
    </comment>
    <comment ref="N14" authorId="0" shapeId="0" xr:uid="{00000000-0006-0000-0900-000025010000}">
      <text>
        <r>
          <rPr>
            <sz val="11"/>
            <color rgb="FF000000"/>
            <rFont val="Arial"/>
            <scheme val="minor"/>
          </rPr>
          <t>21/02/2026</t>
        </r>
      </text>
    </comment>
    <comment ref="O14" authorId="0" shapeId="0" xr:uid="{00000000-0006-0000-0900-000026010000}">
      <text>
        <r>
          <rPr>
            <sz val="11"/>
            <color rgb="FF000000"/>
            <rFont val="Arial"/>
            <scheme val="minor"/>
          </rPr>
          <t>22/02/2026</t>
        </r>
      </text>
    </comment>
    <comment ref="Q14" authorId="0" shapeId="0" xr:uid="{00000000-0006-0000-0900-000029010000}">
      <text>
        <r>
          <rPr>
            <sz val="11"/>
            <color rgb="FF000000"/>
            <rFont val="Arial"/>
            <scheme val="minor"/>
          </rPr>
          <t>16/03/2026</t>
        </r>
      </text>
    </comment>
    <comment ref="R14" authorId="0" shapeId="0" xr:uid="{00000000-0006-0000-0900-00002B010000}">
      <text>
        <r>
          <rPr>
            <sz val="11"/>
            <color rgb="FF000000"/>
            <rFont val="Arial"/>
            <scheme val="minor"/>
          </rPr>
          <t>17/03/2026</t>
        </r>
      </text>
    </comment>
    <comment ref="S14" authorId="0" shapeId="0" xr:uid="{00000000-0006-0000-0900-00002D010000}">
      <text>
        <r>
          <rPr>
            <sz val="11"/>
            <color rgb="FF000000"/>
            <rFont val="Arial"/>
            <scheme val="minor"/>
          </rPr>
          <t>18/03/2026</t>
        </r>
      </text>
    </comment>
    <comment ref="T14" authorId="0" shapeId="0" xr:uid="{00000000-0006-0000-0900-00002F010000}">
      <text>
        <r>
          <rPr>
            <sz val="11"/>
            <color rgb="FF000000"/>
            <rFont val="Arial"/>
            <scheme val="minor"/>
          </rPr>
          <t>19/03/2026</t>
        </r>
      </text>
    </comment>
    <comment ref="U14" authorId="0" shapeId="0" xr:uid="{00000000-0006-0000-0900-000031010000}">
      <text>
        <r>
          <rPr>
            <sz val="11"/>
            <color rgb="FF000000"/>
            <rFont val="Arial"/>
            <scheme val="minor"/>
          </rPr>
          <t>20/03/2026</t>
        </r>
      </text>
    </comment>
    <comment ref="V14" authorId="0" shapeId="0" xr:uid="{00000000-0006-0000-0900-000032010000}">
      <text>
        <r>
          <rPr>
            <sz val="11"/>
            <color rgb="FF000000"/>
            <rFont val="Arial"/>
            <scheme val="minor"/>
          </rPr>
          <t>21/03/2026</t>
        </r>
      </text>
    </comment>
    <comment ref="W14" authorId="0" shapeId="0" xr:uid="{00000000-0006-0000-0900-000033010000}">
      <text>
        <r>
          <rPr>
            <sz val="11"/>
            <color rgb="FF000000"/>
            <rFont val="Arial"/>
            <scheme val="minor"/>
          </rPr>
          <t>22/03/2026</t>
        </r>
      </text>
    </comment>
    <comment ref="A16" authorId="0" shapeId="0" xr:uid="{00000000-0006-0000-0900-000059010000}">
      <text>
        <r>
          <rPr>
            <sz val="11"/>
            <color rgb="FF000000"/>
            <rFont val="Arial"/>
            <scheme val="minor"/>
          </rPr>
          <t>26/01/2026</t>
        </r>
      </text>
    </comment>
    <comment ref="B16" authorId="0" shapeId="0" xr:uid="{00000000-0006-0000-0900-00005B010000}">
      <text>
        <r>
          <rPr>
            <sz val="11"/>
            <color rgb="FF000000"/>
            <rFont val="Arial"/>
            <scheme val="minor"/>
          </rPr>
          <t>27/01/2026</t>
        </r>
      </text>
    </comment>
    <comment ref="C16" authorId="0" shapeId="0" xr:uid="{00000000-0006-0000-0900-00005D010000}">
      <text>
        <r>
          <rPr>
            <sz val="11"/>
            <color rgb="FF000000"/>
            <rFont val="Arial"/>
            <scheme val="minor"/>
          </rPr>
          <t>28/01/2026</t>
        </r>
      </text>
    </comment>
    <comment ref="D16" authorId="0" shapeId="0" xr:uid="{00000000-0006-0000-0900-00005E010000}">
      <text>
        <r>
          <rPr>
            <sz val="11"/>
            <color rgb="FF000000"/>
            <rFont val="Arial"/>
            <scheme val="minor"/>
          </rPr>
          <t>29/01/2026</t>
        </r>
      </text>
    </comment>
    <comment ref="E16" authorId="0" shapeId="0" xr:uid="{00000000-0006-0000-0900-00005F010000}">
      <text>
        <r>
          <rPr>
            <sz val="11"/>
            <color rgb="FF000000"/>
            <rFont val="Arial"/>
            <scheme val="minor"/>
          </rPr>
          <t>30/01/2026</t>
        </r>
      </text>
    </comment>
    <comment ref="F16" authorId="0" shapeId="0" xr:uid="{00000000-0006-0000-0900-000060010000}">
      <text>
        <r>
          <rPr>
            <sz val="11"/>
            <color rgb="FF000000"/>
            <rFont val="Arial"/>
            <scheme val="minor"/>
          </rPr>
          <t>31/01/2026</t>
        </r>
      </text>
    </comment>
    <comment ref="I16" authorId="0" shapeId="0" xr:uid="{00000000-0006-0000-0900-000061010000}">
      <text>
        <r>
          <rPr>
            <sz val="11"/>
            <color rgb="FF000000"/>
            <rFont val="Arial"/>
            <scheme val="minor"/>
          </rPr>
          <t>23/02/2026</t>
        </r>
      </text>
    </comment>
    <comment ref="J16" authorId="0" shapeId="0" xr:uid="{00000000-0006-0000-0900-000062010000}">
      <text>
        <r>
          <rPr>
            <sz val="11"/>
            <color rgb="FF000000"/>
            <rFont val="Arial"/>
            <scheme val="minor"/>
          </rPr>
          <t>24/02/2026</t>
        </r>
      </text>
    </comment>
    <comment ref="K16" authorId="0" shapeId="0" xr:uid="{00000000-0006-0000-0900-000063010000}">
      <text>
        <r>
          <rPr>
            <sz val="11"/>
            <color rgb="FF000000"/>
            <rFont val="Arial"/>
            <scheme val="minor"/>
          </rPr>
          <t>25/02/2026</t>
        </r>
      </text>
    </comment>
    <comment ref="L16" authorId="0" shapeId="0" xr:uid="{00000000-0006-0000-0900-000064010000}">
      <text>
        <r>
          <rPr>
            <sz val="11"/>
            <color rgb="FF000000"/>
            <rFont val="Arial"/>
            <scheme val="minor"/>
          </rPr>
          <t>26/02/2026</t>
        </r>
      </text>
    </comment>
    <comment ref="M16" authorId="0" shapeId="0" xr:uid="{00000000-0006-0000-0900-000065010000}">
      <text>
        <r>
          <rPr>
            <sz val="11"/>
            <color rgb="FF000000"/>
            <rFont val="Arial"/>
            <scheme val="minor"/>
          </rPr>
          <t>27/02/2026</t>
        </r>
      </text>
    </comment>
    <comment ref="N16" authorId="0" shapeId="0" xr:uid="{00000000-0006-0000-0900-000066010000}">
      <text>
        <r>
          <rPr>
            <sz val="11"/>
            <color rgb="FF000000"/>
            <rFont val="Arial"/>
            <scheme val="minor"/>
          </rPr>
          <t>28/02/2026</t>
        </r>
      </text>
    </comment>
    <comment ref="Q16" authorId="0" shapeId="0" xr:uid="{00000000-0006-0000-0900-000067010000}">
      <text>
        <r>
          <rPr>
            <sz val="11"/>
            <color rgb="FF000000"/>
            <rFont val="Arial"/>
            <scheme val="minor"/>
          </rPr>
          <t>23/03/2026</t>
        </r>
      </text>
    </comment>
    <comment ref="R16" authorId="0" shapeId="0" xr:uid="{00000000-0006-0000-0900-000068010000}">
      <text>
        <r>
          <rPr>
            <sz val="11"/>
            <color rgb="FF000000"/>
            <rFont val="Arial"/>
            <scheme val="minor"/>
          </rPr>
          <t>24/03/2026</t>
        </r>
      </text>
    </comment>
    <comment ref="S16" authorId="0" shapeId="0" xr:uid="{00000000-0006-0000-0900-000069010000}">
      <text>
        <r>
          <rPr>
            <sz val="11"/>
            <color rgb="FF000000"/>
            <rFont val="Arial"/>
            <scheme val="minor"/>
          </rPr>
          <t>25/03/2026</t>
        </r>
      </text>
    </comment>
    <comment ref="T16" authorId="0" shapeId="0" xr:uid="{00000000-0006-0000-0900-00006B010000}">
      <text>
        <r>
          <rPr>
            <sz val="11"/>
            <color rgb="FF000000"/>
            <rFont val="Arial"/>
            <scheme val="minor"/>
          </rPr>
          <t>26/03/2026</t>
        </r>
      </text>
    </comment>
    <comment ref="U16" authorId="0" shapeId="0" xr:uid="{00000000-0006-0000-0900-00006C010000}">
      <text>
        <r>
          <rPr>
            <sz val="11"/>
            <color rgb="FF000000"/>
            <rFont val="Arial"/>
            <scheme val="minor"/>
          </rPr>
          <t>27/03/2026</t>
        </r>
      </text>
    </comment>
    <comment ref="V16" authorId="0" shapeId="0" xr:uid="{00000000-0006-0000-0900-00006D010000}">
      <text>
        <r>
          <rPr>
            <sz val="11"/>
            <color rgb="FF000000"/>
            <rFont val="Arial"/>
            <scheme val="minor"/>
          </rPr>
          <t>28/03/2026</t>
        </r>
      </text>
    </comment>
    <comment ref="W16" authorId="0" shapeId="0" xr:uid="{00000000-0006-0000-0900-00006E010000}">
      <text>
        <r>
          <rPr>
            <sz val="11"/>
            <color rgb="FF000000"/>
            <rFont val="Arial"/>
            <scheme val="minor"/>
          </rPr>
          <t>29/03/2026</t>
        </r>
      </text>
    </comment>
    <comment ref="E17" authorId="0" shapeId="0" xr:uid="{00000000-0006-0000-0900-000072010000}">
      <text>
        <r>
          <rPr>
            <sz val="11"/>
            <color rgb="FF000000"/>
            <rFont val="Arial"/>
            <scheme val="minor"/>
          </rPr>
          <t>Cierre mensual histórico vinculado a Evolucion. Se excluye de la volatilidad diaria.</t>
        </r>
      </text>
    </comment>
    <comment ref="M17" authorId="0" shapeId="0" xr:uid="{00000000-0006-0000-0900-000074010000}">
      <text>
        <r>
          <rPr>
            <sz val="11"/>
            <color rgb="FF000000"/>
            <rFont val="Arial"/>
            <scheme val="minor"/>
          </rPr>
          <t>Cierre mensual histórico vinculado a Evolucion. Se excluye de la volatilidad diaria.</t>
        </r>
      </text>
    </comment>
    <comment ref="Q18" authorId="0" shapeId="0" xr:uid="{00000000-0006-0000-0900-000001000000}">
      <text>
        <r>
          <rPr>
            <sz val="11"/>
            <color rgb="FF000000"/>
            <rFont val="Arial"/>
            <scheme val="minor"/>
          </rPr>
          <t>30/03/2026</t>
        </r>
      </text>
    </comment>
    <comment ref="R18" authorId="0" shapeId="0" xr:uid="{00000000-0006-0000-0900-000002000000}">
      <text>
        <r>
          <rPr>
            <sz val="11"/>
            <color rgb="FF000000"/>
            <rFont val="Arial"/>
            <scheme val="minor"/>
          </rPr>
          <t>31/03/2026</t>
        </r>
      </text>
    </comment>
    <comment ref="R19" authorId="0" shapeId="0" xr:uid="{00000000-0006-0000-0900-000003000000}">
      <text>
        <r>
          <rPr>
            <sz val="11"/>
            <color rgb="FF000000"/>
            <rFont val="Arial"/>
            <scheme val="minor"/>
          </rPr>
          <t>Cierre mensual histórico vinculado a Evolucion. Se excluye de la volatilidad diaria.</t>
        </r>
      </text>
    </comment>
    <comment ref="C24" authorId="0" shapeId="0" xr:uid="{00000000-0006-0000-0900-000017000000}">
      <text>
        <r>
          <rPr>
            <sz val="11"/>
            <color rgb="FF000000"/>
            <rFont val="Arial"/>
            <scheme val="minor"/>
          </rPr>
          <t>01/04/2026</t>
        </r>
      </text>
    </comment>
    <comment ref="D24" authorId="0" shapeId="0" xr:uid="{00000000-0006-0000-0900-000019000000}">
      <text>
        <r>
          <rPr>
            <sz val="11"/>
            <color rgb="FF000000"/>
            <rFont val="Arial"/>
            <scheme val="minor"/>
          </rPr>
          <t>02/04/2026</t>
        </r>
      </text>
    </comment>
    <comment ref="E24" authorId="0" shapeId="0" xr:uid="{00000000-0006-0000-0900-00001B000000}">
      <text>
        <r>
          <rPr>
            <sz val="11"/>
            <color rgb="FF000000"/>
            <rFont val="Arial"/>
            <scheme val="minor"/>
          </rPr>
          <t>03/04/2026</t>
        </r>
      </text>
    </comment>
    <comment ref="F24" authorId="0" shapeId="0" xr:uid="{00000000-0006-0000-0900-00001D000000}">
      <text>
        <r>
          <rPr>
            <sz val="11"/>
            <color rgb="FF000000"/>
            <rFont val="Arial"/>
            <scheme val="minor"/>
          </rPr>
          <t>04/04/2026</t>
        </r>
      </text>
    </comment>
    <comment ref="G24" authorId="0" shapeId="0" xr:uid="{00000000-0006-0000-0900-00001F000000}">
      <text>
        <r>
          <rPr>
            <sz val="11"/>
            <color rgb="FF000000"/>
            <rFont val="Arial"/>
            <scheme val="minor"/>
          </rPr>
          <t>05/04/2026</t>
        </r>
      </text>
    </comment>
    <comment ref="M24" authorId="0" shapeId="0" xr:uid="{00000000-0006-0000-0900-000021000000}">
      <text>
        <r>
          <rPr>
            <sz val="11"/>
            <color rgb="FF000000"/>
            <rFont val="Arial"/>
            <scheme val="minor"/>
          </rPr>
          <t>01/05/2026</t>
        </r>
      </text>
    </comment>
    <comment ref="N24" authorId="0" shapeId="0" xr:uid="{00000000-0006-0000-0900-000022000000}">
      <text>
        <r>
          <rPr>
            <sz val="11"/>
            <color rgb="FF000000"/>
            <rFont val="Arial"/>
            <scheme val="minor"/>
          </rPr>
          <t>02/05/2026</t>
        </r>
      </text>
    </comment>
    <comment ref="O24" authorId="0" shapeId="0" xr:uid="{00000000-0006-0000-0900-000023000000}">
      <text>
        <r>
          <rPr>
            <sz val="11"/>
            <color rgb="FF000000"/>
            <rFont val="Arial"/>
            <scheme val="minor"/>
          </rPr>
          <t>03/05/2026</t>
        </r>
      </text>
    </comment>
    <comment ref="Q24" authorId="0" shapeId="0" xr:uid="{00000000-0006-0000-0900-000024000000}">
      <text>
        <r>
          <rPr>
            <sz val="11"/>
            <color rgb="FF000000"/>
            <rFont val="Arial"/>
            <scheme val="minor"/>
          </rPr>
          <t>01/06/2026</t>
        </r>
      </text>
    </comment>
    <comment ref="R24" authorId="0" shapeId="0" xr:uid="{00000000-0006-0000-0900-000025000000}">
      <text>
        <r>
          <rPr>
            <sz val="11"/>
            <color rgb="FF000000"/>
            <rFont val="Arial"/>
            <scheme val="minor"/>
          </rPr>
          <t>02/06/2026</t>
        </r>
      </text>
    </comment>
    <comment ref="S24" authorId="0" shapeId="0" xr:uid="{00000000-0006-0000-0900-000026000000}">
      <text>
        <r>
          <rPr>
            <sz val="11"/>
            <color rgb="FF000000"/>
            <rFont val="Arial"/>
            <scheme val="minor"/>
          </rPr>
          <t>03/06/2026</t>
        </r>
      </text>
    </comment>
    <comment ref="T24" authorId="0" shapeId="0" xr:uid="{00000000-0006-0000-0900-000028000000}">
      <text>
        <r>
          <rPr>
            <sz val="11"/>
            <color rgb="FF000000"/>
            <rFont val="Arial"/>
            <scheme val="minor"/>
          </rPr>
          <t>04/06/2026</t>
        </r>
      </text>
    </comment>
    <comment ref="U24" authorId="0" shapeId="0" xr:uid="{00000000-0006-0000-0900-00002A000000}">
      <text>
        <r>
          <rPr>
            <sz val="11"/>
            <color rgb="FF000000"/>
            <rFont val="Arial"/>
            <scheme val="minor"/>
          </rPr>
          <t>05/06/2026</t>
        </r>
      </text>
    </comment>
    <comment ref="V24" authorId="0" shapeId="0" xr:uid="{00000000-0006-0000-0900-00002C000000}">
      <text>
        <r>
          <rPr>
            <sz val="11"/>
            <color rgb="FF000000"/>
            <rFont val="Arial"/>
            <scheme val="minor"/>
          </rPr>
          <t>06/06/2026</t>
        </r>
      </text>
    </comment>
    <comment ref="W24" authorId="0" shapeId="0" xr:uid="{00000000-0006-0000-0900-00002E000000}">
      <text>
        <r>
          <rPr>
            <sz val="11"/>
            <color rgb="FF000000"/>
            <rFont val="Arial"/>
            <scheme val="minor"/>
          </rPr>
          <t>07/06/2026</t>
        </r>
      </text>
    </comment>
    <comment ref="A26" authorId="0" shapeId="0" xr:uid="{00000000-0006-0000-0900-000054000000}">
      <text>
        <r>
          <rPr>
            <sz val="11"/>
            <color rgb="FF000000"/>
            <rFont val="Arial"/>
            <scheme val="minor"/>
          </rPr>
          <t>06/04/2026</t>
        </r>
      </text>
    </comment>
    <comment ref="B26" authorId="0" shapeId="0" xr:uid="{00000000-0006-0000-0900-000056000000}">
      <text>
        <r>
          <rPr>
            <sz val="11"/>
            <color rgb="FF000000"/>
            <rFont val="Arial"/>
            <scheme val="minor"/>
          </rPr>
          <t>07/04/2026</t>
        </r>
      </text>
    </comment>
    <comment ref="C26" authorId="0" shapeId="0" xr:uid="{00000000-0006-0000-0900-000058000000}">
      <text>
        <r>
          <rPr>
            <sz val="11"/>
            <color rgb="FF000000"/>
            <rFont val="Arial"/>
            <scheme val="minor"/>
          </rPr>
          <t>08/04/2026</t>
        </r>
      </text>
    </comment>
    <comment ref="D26" authorId="0" shapeId="0" xr:uid="{00000000-0006-0000-0900-00005A000000}">
      <text>
        <r>
          <rPr>
            <sz val="11"/>
            <color rgb="FF000000"/>
            <rFont val="Arial"/>
            <scheme val="minor"/>
          </rPr>
          <t>09/04/2026</t>
        </r>
      </text>
    </comment>
    <comment ref="E26" authorId="0" shapeId="0" xr:uid="{00000000-0006-0000-0900-00005C000000}">
      <text>
        <r>
          <rPr>
            <sz val="11"/>
            <color rgb="FF000000"/>
            <rFont val="Arial"/>
            <scheme val="minor"/>
          </rPr>
          <t>10/04/2026</t>
        </r>
      </text>
    </comment>
    <comment ref="F26" authorId="0" shapeId="0" xr:uid="{00000000-0006-0000-0900-00005E000000}">
      <text>
        <r>
          <rPr>
            <sz val="11"/>
            <color rgb="FF000000"/>
            <rFont val="Arial"/>
            <scheme val="minor"/>
          </rPr>
          <t>11/04/2026</t>
        </r>
      </text>
    </comment>
    <comment ref="G26" authorId="0" shapeId="0" xr:uid="{00000000-0006-0000-0900-000060000000}">
      <text>
        <r>
          <rPr>
            <sz val="11"/>
            <color rgb="FF000000"/>
            <rFont val="Arial"/>
            <scheme val="minor"/>
          </rPr>
          <t>12/04/2026</t>
        </r>
      </text>
    </comment>
    <comment ref="I26" authorId="0" shapeId="0" xr:uid="{00000000-0006-0000-0900-000062000000}">
      <text>
        <r>
          <rPr>
            <sz val="11"/>
            <color rgb="FF000000"/>
            <rFont val="Arial"/>
            <scheme val="minor"/>
          </rPr>
          <t>04/05/2026</t>
        </r>
      </text>
    </comment>
    <comment ref="J26" authorId="0" shapeId="0" xr:uid="{00000000-0006-0000-0900-000063000000}">
      <text>
        <r>
          <rPr>
            <sz val="11"/>
            <color rgb="FF000000"/>
            <rFont val="Arial"/>
            <scheme val="minor"/>
          </rPr>
          <t>05/05/2026</t>
        </r>
      </text>
    </comment>
    <comment ref="K26" authorId="0" shapeId="0" xr:uid="{00000000-0006-0000-0900-000064000000}">
      <text>
        <r>
          <rPr>
            <sz val="11"/>
            <color rgb="FF000000"/>
            <rFont val="Arial"/>
            <scheme val="minor"/>
          </rPr>
          <t>06/05/2026</t>
        </r>
      </text>
    </comment>
    <comment ref="L26" authorId="0" shapeId="0" xr:uid="{00000000-0006-0000-0900-000065000000}">
      <text>
        <r>
          <rPr>
            <sz val="11"/>
            <color rgb="FF000000"/>
            <rFont val="Arial"/>
            <scheme val="minor"/>
          </rPr>
          <t>07/05/2026</t>
        </r>
      </text>
    </comment>
    <comment ref="M26" authorId="0" shapeId="0" xr:uid="{00000000-0006-0000-0900-000066000000}">
      <text>
        <r>
          <rPr>
            <sz val="11"/>
            <color rgb="FF000000"/>
            <rFont val="Arial"/>
            <scheme val="minor"/>
          </rPr>
          <t>08/05/2026</t>
        </r>
      </text>
    </comment>
    <comment ref="N26" authorId="0" shapeId="0" xr:uid="{00000000-0006-0000-0900-000067000000}">
      <text>
        <r>
          <rPr>
            <sz val="11"/>
            <color rgb="FF000000"/>
            <rFont val="Arial"/>
            <scheme val="minor"/>
          </rPr>
          <t>09/05/2026</t>
        </r>
      </text>
    </comment>
    <comment ref="O26" authorId="0" shapeId="0" xr:uid="{00000000-0006-0000-0900-000068000000}">
      <text>
        <r>
          <rPr>
            <sz val="11"/>
            <color rgb="FF000000"/>
            <rFont val="Arial"/>
            <scheme val="minor"/>
          </rPr>
          <t>10/05/2026</t>
        </r>
      </text>
    </comment>
    <comment ref="Q26" authorId="0" shapeId="0" xr:uid="{00000000-0006-0000-0900-00006A000000}">
      <text>
        <r>
          <rPr>
            <sz val="11"/>
            <color rgb="FF000000"/>
            <rFont val="Arial"/>
            <scheme val="minor"/>
          </rPr>
          <t>08/06/2026</t>
        </r>
      </text>
    </comment>
    <comment ref="R26" authorId="0" shapeId="0" xr:uid="{00000000-0006-0000-0900-00006C000000}">
      <text>
        <r>
          <rPr>
            <sz val="11"/>
            <color rgb="FF000000"/>
            <rFont val="Arial"/>
            <scheme val="minor"/>
          </rPr>
          <t>09/06/2026</t>
        </r>
      </text>
    </comment>
    <comment ref="S26" authorId="0" shapeId="0" xr:uid="{00000000-0006-0000-0900-00006E000000}">
      <text>
        <r>
          <rPr>
            <sz val="11"/>
            <color rgb="FF000000"/>
            <rFont val="Arial"/>
            <scheme val="minor"/>
          </rPr>
          <t>10/06/2026</t>
        </r>
      </text>
    </comment>
    <comment ref="T26" authorId="0" shapeId="0" xr:uid="{00000000-0006-0000-0900-000071000000}">
      <text>
        <r>
          <rPr>
            <sz val="11"/>
            <color rgb="FF000000"/>
            <rFont val="Arial"/>
            <scheme val="minor"/>
          </rPr>
          <t>11/06/2026</t>
        </r>
      </text>
    </comment>
    <comment ref="U26" authorId="0" shapeId="0" xr:uid="{00000000-0006-0000-0900-000073000000}">
      <text>
        <r>
          <rPr>
            <sz val="11"/>
            <color rgb="FF000000"/>
            <rFont val="Arial"/>
            <scheme val="minor"/>
          </rPr>
          <t>12/06/2026</t>
        </r>
      </text>
    </comment>
    <comment ref="V26" authorId="0" shapeId="0" xr:uid="{00000000-0006-0000-0900-000075000000}">
      <text>
        <r>
          <rPr>
            <sz val="11"/>
            <color rgb="FF000000"/>
            <rFont val="Arial"/>
            <scheme val="minor"/>
          </rPr>
          <t>13/06/2026</t>
        </r>
      </text>
    </comment>
    <comment ref="W26" authorId="0" shapeId="0" xr:uid="{00000000-0006-0000-0900-000077000000}">
      <text>
        <r>
          <rPr>
            <sz val="11"/>
            <color rgb="FF000000"/>
            <rFont val="Arial"/>
            <scheme val="minor"/>
          </rPr>
          <t>14/06/2026</t>
        </r>
      </text>
    </comment>
    <comment ref="A28" authorId="0" shapeId="0" xr:uid="{00000000-0006-0000-0900-0000A9000000}">
      <text>
        <r>
          <rPr>
            <sz val="11"/>
            <color rgb="FF000000"/>
            <rFont val="Arial"/>
            <scheme val="minor"/>
          </rPr>
          <t>13/04/2026</t>
        </r>
      </text>
    </comment>
    <comment ref="B28" authorId="0" shapeId="0" xr:uid="{00000000-0006-0000-0900-0000AB000000}">
      <text>
        <r>
          <rPr>
            <sz val="11"/>
            <color rgb="FF000000"/>
            <rFont val="Arial"/>
            <scheme val="minor"/>
          </rPr>
          <t>14/04/2026</t>
        </r>
      </text>
    </comment>
    <comment ref="C28" authorId="0" shapeId="0" xr:uid="{00000000-0006-0000-0900-0000AD000000}">
      <text>
        <r>
          <rPr>
            <sz val="11"/>
            <color rgb="FF000000"/>
            <rFont val="Arial"/>
            <scheme val="minor"/>
          </rPr>
          <t>15/04/2026</t>
        </r>
      </text>
    </comment>
    <comment ref="D28" authorId="0" shapeId="0" xr:uid="{00000000-0006-0000-0900-0000AF000000}">
      <text>
        <r>
          <rPr>
            <sz val="11"/>
            <color rgb="FF000000"/>
            <rFont val="Arial"/>
            <scheme val="minor"/>
          </rPr>
          <t>16/04/2026</t>
        </r>
      </text>
    </comment>
    <comment ref="E28" authorId="0" shapeId="0" xr:uid="{00000000-0006-0000-0900-0000B1000000}">
      <text>
        <r>
          <rPr>
            <sz val="11"/>
            <color rgb="FF000000"/>
            <rFont val="Arial"/>
            <scheme val="minor"/>
          </rPr>
          <t>17/04/2026</t>
        </r>
      </text>
    </comment>
    <comment ref="F28" authorId="0" shapeId="0" xr:uid="{00000000-0006-0000-0900-0000B3000000}">
      <text>
        <r>
          <rPr>
            <sz val="11"/>
            <color rgb="FF000000"/>
            <rFont val="Arial"/>
            <scheme val="minor"/>
          </rPr>
          <t>18/04/2026</t>
        </r>
      </text>
    </comment>
    <comment ref="G28" authorId="0" shapeId="0" xr:uid="{00000000-0006-0000-0900-0000B5000000}">
      <text>
        <r>
          <rPr>
            <sz val="11"/>
            <color rgb="FF000000"/>
            <rFont val="Arial"/>
            <scheme val="minor"/>
          </rPr>
          <t>19/04/2026</t>
        </r>
      </text>
    </comment>
    <comment ref="I28" authorId="0" shapeId="0" xr:uid="{00000000-0006-0000-0900-0000B7000000}">
      <text>
        <r>
          <rPr>
            <sz val="11"/>
            <color rgb="FF000000"/>
            <rFont val="Arial"/>
            <scheme val="minor"/>
          </rPr>
          <t>11/05/2026</t>
        </r>
      </text>
    </comment>
    <comment ref="J28" authorId="0" shapeId="0" xr:uid="{00000000-0006-0000-0900-0000B8000000}">
      <text>
        <r>
          <rPr>
            <sz val="11"/>
            <color rgb="FF000000"/>
            <rFont val="Arial"/>
            <scheme val="minor"/>
          </rPr>
          <t>12/05/2026</t>
        </r>
      </text>
    </comment>
    <comment ref="K28" authorId="0" shapeId="0" xr:uid="{00000000-0006-0000-0900-0000B9000000}">
      <text>
        <r>
          <rPr>
            <sz val="11"/>
            <color rgb="FF000000"/>
            <rFont val="Arial"/>
            <scheme val="minor"/>
          </rPr>
          <t>13/05/2026</t>
        </r>
      </text>
    </comment>
    <comment ref="L28" authorId="0" shapeId="0" xr:uid="{00000000-0006-0000-0900-0000BA000000}">
      <text>
        <r>
          <rPr>
            <sz val="11"/>
            <color rgb="FF000000"/>
            <rFont val="Arial"/>
            <scheme val="minor"/>
          </rPr>
          <t>14/05/2026</t>
        </r>
      </text>
    </comment>
    <comment ref="M28" authorId="0" shapeId="0" xr:uid="{00000000-0006-0000-0900-0000BB000000}">
      <text>
        <r>
          <rPr>
            <sz val="11"/>
            <color rgb="FF000000"/>
            <rFont val="Arial"/>
            <scheme val="minor"/>
          </rPr>
          <t>15/05/2026</t>
        </r>
      </text>
    </comment>
    <comment ref="N28" authorId="0" shapeId="0" xr:uid="{00000000-0006-0000-0900-0000BC000000}">
      <text>
        <r>
          <rPr>
            <sz val="11"/>
            <color rgb="FF000000"/>
            <rFont val="Arial"/>
            <scheme val="minor"/>
          </rPr>
          <t>16/05/2026</t>
        </r>
      </text>
    </comment>
    <comment ref="O28" authorId="0" shapeId="0" xr:uid="{00000000-0006-0000-0900-0000BD000000}">
      <text>
        <r>
          <rPr>
            <sz val="11"/>
            <color rgb="FF000000"/>
            <rFont val="Arial"/>
            <scheme val="minor"/>
          </rPr>
          <t>17/05/2026</t>
        </r>
      </text>
    </comment>
    <comment ref="Q28" authorId="0" shapeId="0" xr:uid="{00000000-0006-0000-0900-0000BF000000}">
      <text>
        <r>
          <rPr>
            <sz val="11"/>
            <color rgb="FF000000"/>
            <rFont val="Arial"/>
            <scheme val="minor"/>
          </rPr>
          <t>15/06/2026</t>
        </r>
      </text>
    </comment>
    <comment ref="R28" authorId="0" shapeId="0" xr:uid="{00000000-0006-0000-0900-0000C1000000}">
      <text>
        <r>
          <rPr>
            <sz val="11"/>
            <color rgb="FF000000"/>
            <rFont val="Arial"/>
            <scheme val="minor"/>
          </rPr>
          <t>16/06/2026</t>
        </r>
      </text>
    </comment>
    <comment ref="S28" authorId="0" shapeId="0" xr:uid="{00000000-0006-0000-0900-0000C3000000}">
      <text>
        <r>
          <rPr>
            <sz val="11"/>
            <color rgb="FF000000"/>
            <rFont val="Arial"/>
            <scheme val="minor"/>
          </rPr>
          <t>17/06/2026</t>
        </r>
      </text>
    </comment>
    <comment ref="T28" authorId="0" shapeId="0" xr:uid="{00000000-0006-0000-0900-0000C5000000}">
      <text>
        <r>
          <rPr>
            <sz val="11"/>
            <color rgb="FF000000"/>
            <rFont val="Arial"/>
            <scheme val="minor"/>
          </rPr>
          <t>18/06/2026</t>
        </r>
      </text>
    </comment>
    <comment ref="U28" authorId="0" shapeId="0" xr:uid="{00000000-0006-0000-0900-0000C7000000}">
      <text>
        <r>
          <rPr>
            <sz val="11"/>
            <color rgb="FF000000"/>
            <rFont val="Arial"/>
            <scheme val="minor"/>
          </rPr>
          <t>19/06/2026</t>
        </r>
      </text>
    </comment>
    <comment ref="V28" authorId="0" shapeId="0" xr:uid="{00000000-0006-0000-0900-0000C9000000}">
      <text>
        <r>
          <rPr>
            <sz val="11"/>
            <color rgb="FF000000"/>
            <rFont val="Arial"/>
            <scheme val="minor"/>
          </rPr>
          <t>20/06/2026</t>
        </r>
      </text>
    </comment>
    <comment ref="W28" authorId="0" shapeId="0" xr:uid="{00000000-0006-0000-0900-0000CB000000}">
      <text>
        <r>
          <rPr>
            <sz val="11"/>
            <color rgb="FF000000"/>
            <rFont val="Arial"/>
            <scheme val="minor"/>
          </rPr>
          <t>21/06/2026</t>
        </r>
      </text>
    </comment>
    <comment ref="A30" authorId="0" shapeId="0" xr:uid="{00000000-0006-0000-0900-0000FD000000}">
      <text>
        <r>
          <rPr>
            <sz val="11"/>
            <color rgb="FF000000"/>
            <rFont val="Arial"/>
            <scheme val="minor"/>
          </rPr>
          <t>20/04/2026</t>
        </r>
      </text>
    </comment>
    <comment ref="B30" authorId="0" shapeId="0" xr:uid="{00000000-0006-0000-0900-0000FF000000}">
      <text>
        <r>
          <rPr>
            <sz val="11"/>
            <color rgb="FF000000"/>
            <rFont val="Arial"/>
            <scheme val="minor"/>
          </rPr>
          <t>21/04/2026</t>
        </r>
      </text>
    </comment>
    <comment ref="C30" authorId="0" shapeId="0" xr:uid="{00000000-0006-0000-0900-000001010000}">
      <text>
        <r>
          <rPr>
            <sz val="11"/>
            <color rgb="FF000000"/>
            <rFont val="Arial"/>
            <scheme val="minor"/>
          </rPr>
          <t>22/04/2026</t>
        </r>
      </text>
    </comment>
    <comment ref="D30" authorId="0" shapeId="0" xr:uid="{00000000-0006-0000-0900-000003010000}">
      <text>
        <r>
          <rPr>
            <sz val="11"/>
            <color rgb="FF000000"/>
            <rFont val="Arial"/>
            <scheme val="minor"/>
          </rPr>
          <t>23/04/2026</t>
        </r>
      </text>
    </comment>
    <comment ref="E30" authorId="0" shapeId="0" xr:uid="{00000000-0006-0000-0900-000005010000}">
      <text>
        <r>
          <rPr>
            <sz val="11"/>
            <color rgb="FF000000"/>
            <rFont val="Arial"/>
            <scheme val="minor"/>
          </rPr>
          <t>24/04/2026</t>
        </r>
      </text>
    </comment>
    <comment ref="F30" authorId="0" shapeId="0" xr:uid="{00000000-0006-0000-0900-000007010000}">
      <text>
        <r>
          <rPr>
            <sz val="11"/>
            <color rgb="FF000000"/>
            <rFont val="Arial"/>
            <scheme val="minor"/>
          </rPr>
          <t>25/04/2026</t>
        </r>
      </text>
    </comment>
    <comment ref="G30" authorId="0" shapeId="0" xr:uid="{00000000-0006-0000-0900-000009010000}">
      <text>
        <r>
          <rPr>
            <sz val="11"/>
            <color rgb="FF000000"/>
            <rFont val="Arial"/>
            <scheme val="minor"/>
          </rPr>
          <t>26/04/2026</t>
        </r>
      </text>
    </comment>
    <comment ref="I30" authorId="0" shapeId="0" xr:uid="{00000000-0006-0000-0900-00000B010000}">
      <text>
        <r>
          <rPr>
            <sz val="11"/>
            <color rgb="FF000000"/>
            <rFont val="Arial"/>
            <scheme val="minor"/>
          </rPr>
          <t>18/05/2026</t>
        </r>
      </text>
    </comment>
    <comment ref="J30" authorId="0" shapeId="0" xr:uid="{00000000-0006-0000-0900-00000C010000}">
      <text>
        <r>
          <rPr>
            <sz val="11"/>
            <color rgb="FF000000"/>
            <rFont val="Arial"/>
            <scheme val="minor"/>
          </rPr>
          <t>19/05/2026</t>
        </r>
      </text>
    </comment>
    <comment ref="K30" authorId="0" shapeId="0" xr:uid="{00000000-0006-0000-0900-00000D010000}">
      <text>
        <r>
          <rPr>
            <sz val="11"/>
            <color rgb="FF000000"/>
            <rFont val="Arial"/>
            <scheme val="minor"/>
          </rPr>
          <t>20/05/2026</t>
        </r>
      </text>
    </comment>
    <comment ref="L30" authorId="0" shapeId="0" xr:uid="{00000000-0006-0000-0900-00000E010000}">
      <text>
        <r>
          <rPr>
            <sz val="11"/>
            <color rgb="FF000000"/>
            <rFont val="Arial"/>
            <scheme val="minor"/>
          </rPr>
          <t>21/05/2026</t>
        </r>
      </text>
    </comment>
    <comment ref="M30" authorId="0" shapeId="0" xr:uid="{00000000-0006-0000-0900-00000F010000}">
      <text>
        <r>
          <rPr>
            <sz val="11"/>
            <color rgb="FF000000"/>
            <rFont val="Arial"/>
            <scheme val="minor"/>
          </rPr>
          <t>22/05/2026</t>
        </r>
      </text>
    </comment>
    <comment ref="N30" authorId="0" shapeId="0" xr:uid="{00000000-0006-0000-0900-000010010000}">
      <text>
        <r>
          <rPr>
            <sz val="11"/>
            <color rgb="FF000000"/>
            <rFont val="Arial"/>
            <scheme val="minor"/>
          </rPr>
          <t>23/05/2026</t>
        </r>
      </text>
    </comment>
    <comment ref="O30" authorId="0" shapeId="0" xr:uid="{00000000-0006-0000-0900-000011010000}">
      <text>
        <r>
          <rPr>
            <sz val="11"/>
            <color rgb="FF000000"/>
            <rFont val="Arial"/>
            <scheme val="minor"/>
          </rPr>
          <t>24/05/2026</t>
        </r>
      </text>
    </comment>
    <comment ref="Q30" authorId="0" shapeId="0" xr:uid="{00000000-0006-0000-0900-000013010000}">
      <text>
        <r>
          <rPr>
            <sz val="11"/>
            <color rgb="FF000000"/>
            <rFont val="Arial"/>
            <scheme val="minor"/>
          </rPr>
          <t>22/06/2026</t>
        </r>
      </text>
    </comment>
    <comment ref="R30" authorId="0" shapeId="0" xr:uid="{00000000-0006-0000-0900-000015010000}">
      <text>
        <r>
          <rPr>
            <sz val="11"/>
            <color rgb="FF000000"/>
            <rFont val="Arial"/>
            <scheme val="minor"/>
          </rPr>
          <t>23/06/2026</t>
        </r>
      </text>
    </comment>
    <comment ref="S30" authorId="0" shapeId="0" xr:uid="{00000000-0006-0000-0900-000017010000}">
      <text>
        <r>
          <rPr>
            <sz val="11"/>
            <color rgb="FF000000"/>
            <rFont val="Arial"/>
            <scheme val="minor"/>
          </rPr>
          <t>24/06/2026</t>
        </r>
      </text>
    </comment>
    <comment ref="T30" authorId="0" shapeId="0" xr:uid="{00000000-0006-0000-0900-000019010000}">
      <text>
        <r>
          <rPr>
            <sz val="11"/>
            <color rgb="FF000000"/>
            <rFont val="Arial"/>
            <scheme val="minor"/>
          </rPr>
          <t>25/06/2026</t>
        </r>
      </text>
    </comment>
    <comment ref="U30" authorId="0" shapeId="0" xr:uid="{00000000-0006-0000-0900-00001B010000}">
      <text>
        <r>
          <rPr>
            <sz val="11"/>
            <color rgb="FF000000"/>
            <rFont val="Arial"/>
            <scheme val="minor"/>
          </rPr>
          <t>26/06/2026</t>
        </r>
      </text>
    </comment>
    <comment ref="V30" authorId="0" shapeId="0" xr:uid="{00000000-0006-0000-0900-00001D010000}">
      <text>
        <r>
          <rPr>
            <sz val="11"/>
            <color rgb="FF000000"/>
            <rFont val="Arial"/>
            <scheme val="minor"/>
          </rPr>
          <t>27/06/2026</t>
        </r>
      </text>
    </comment>
    <comment ref="W30" authorId="0" shapeId="0" xr:uid="{00000000-0006-0000-0900-00001F010000}">
      <text>
        <r>
          <rPr>
            <sz val="11"/>
            <color rgb="FF000000"/>
            <rFont val="Arial"/>
            <scheme val="minor"/>
          </rPr>
          <t>28/06/2026</t>
        </r>
      </text>
    </comment>
    <comment ref="A32" authorId="0" shapeId="0" xr:uid="{00000000-0006-0000-0900-00004B010000}">
      <text>
        <r>
          <rPr>
            <sz val="11"/>
            <color rgb="FF000000"/>
            <rFont val="Arial"/>
            <scheme val="minor"/>
          </rPr>
          <t>27/04/2026</t>
        </r>
      </text>
    </comment>
    <comment ref="B32" authorId="0" shapeId="0" xr:uid="{00000000-0006-0000-0900-00004D010000}">
      <text>
        <r>
          <rPr>
            <sz val="11"/>
            <color rgb="FF000000"/>
            <rFont val="Arial"/>
            <scheme val="minor"/>
          </rPr>
          <t>28/04/2026</t>
        </r>
      </text>
    </comment>
    <comment ref="C32" authorId="0" shapeId="0" xr:uid="{00000000-0006-0000-0900-00004F010000}">
      <text>
        <r>
          <rPr>
            <sz val="11"/>
            <color rgb="FF000000"/>
            <rFont val="Arial"/>
            <scheme val="minor"/>
          </rPr>
          <t>29/04/2026</t>
        </r>
      </text>
    </comment>
    <comment ref="D32" authorId="0" shapeId="0" xr:uid="{00000000-0006-0000-0900-000051010000}">
      <text>
        <r>
          <rPr>
            <sz val="11"/>
            <color rgb="FF000000"/>
            <rFont val="Arial"/>
            <scheme val="minor"/>
          </rPr>
          <t>30/04/2026</t>
        </r>
      </text>
    </comment>
    <comment ref="I32" authorId="0" shapeId="0" xr:uid="{00000000-0006-0000-0900-000052010000}">
      <text>
        <r>
          <rPr>
            <sz val="11"/>
            <color rgb="FF000000"/>
            <rFont val="Arial"/>
            <scheme val="minor"/>
          </rPr>
          <t>25/05/2026</t>
        </r>
      </text>
    </comment>
    <comment ref="J32" authorId="0" shapeId="0" xr:uid="{00000000-0006-0000-0900-000053010000}">
      <text>
        <r>
          <rPr>
            <sz val="11"/>
            <color rgb="FF000000"/>
            <rFont val="Arial"/>
            <scheme val="minor"/>
          </rPr>
          <t>26/05/2026</t>
        </r>
      </text>
    </comment>
    <comment ref="K32" authorId="0" shapeId="0" xr:uid="{00000000-0006-0000-0900-000054010000}">
      <text>
        <r>
          <rPr>
            <sz val="11"/>
            <color rgb="FF000000"/>
            <rFont val="Arial"/>
            <scheme val="minor"/>
          </rPr>
          <t>27/05/2026</t>
        </r>
      </text>
    </comment>
    <comment ref="L32" authorId="0" shapeId="0" xr:uid="{00000000-0006-0000-0900-000055010000}">
      <text>
        <r>
          <rPr>
            <sz val="11"/>
            <color rgb="FF000000"/>
            <rFont val="Arial"/>
            <scheme val="minor"/>
          </rPr>
          <t>28/05/2026</t>
        </r>
      </text>
    </comment>
    <comment ref="M32" authorId="0" shapeId="0" xr:uid="{00000000-0006-0000-0900-000056010000}">
      <text>
        <r>
          <rPr>
            <sz val="11"/>
            <color rgb="FF000000"/>
            <rFont val="Arial"/>
            <scheme val="minor"/>
          </rPr>
          <t>29/05/2026</t>
        </r>
      </text>
    </comment>
    <comment ref="N32" authorId="0" shapeId="0" xr:uid="{00000000-0006-0000-0900-000057010000}">
      <text>
        <r>
          <rPr>
            <sz val="11"/>
            <color rgb="FF000000"/>
            <rFont val="Arial"/>
            <scheme val="minor"/>
          </rPr>
          <t>30/05/2026</t>
        </r>
      </text>
    </comment>
    <comment ref="O32" authorId="0" shapeId="0" xr:uid="{00000000-0006-0000-0900-000058010000}">
      <text>
        <r>
          <rPr>
            <sz val="11"/>
            <color rgb="FF000000"/>
            <rFont val="Arial"/>
            <scheme val="minor"/>
          </rPr>
          <t>31/05/2026</t>
        </r>
      </text>
    </comment>
    <comment ref="Q32" authorId="0" shapeId="0" xr:uid="{00000000-0006-0000-0900-00005A010000}">
      <text>
        <r>
          <rPr>
            <sz val="11"/>
            <color rgb="FF000000"/>
            <rFont val="Arial"/>
            <scheme val="minor"/>
          </rPr>
          <t>29/06/2026</t>
        </r>
      </text>
    </comment>
    <comment ref="R32" authorId="0" shapeId="0" xr:uid="{00000000-0006-0000-0900-00005C010000}">
      <text>
        <r>
          <rPr>
            <sz val="11"/>
            <color rgb="FF000000"/>
            <rFont val="Arial"/>
            <scheme val="minor"/>
          </rPr>
          <t>30/06/2026</t>
        </r>
      </text>
    </comment>
    <comment ref="D33" authorId="0" shapeId="0" xr:uid="{00000000-0006-0000-0900-00006A010000}">
      <text>
        <r>
          <rPr>
            <sz val="11"/>
            <color rgb="FF000000"/>
            <rFont val="Arial"/>
            <scheme val="minor"/>
          </rPr>
          <t>Cierre mensual histórico vinculado a Evolucion. Se excluye de la volatilidad diaria.</t>
        </r>
      </text>
    </comment>
    <comment ref="M33" authorId="0" shapeId="0" xr:uid="{00000000-0006-0000-0900-000070010000}">
      <text>
        <r>
          <rPr>
            <sz val="11"/>
            <color rgb="FF000000"/>
            <rFont val="Arial"/>
            <scheme val="minor"/>
          </rPr>
          <t>Cierre mensual histórico vinculado a Evolucion. Se excluye de la volatilidad diaria.</t>
        </r>
      </text>
    </comment>
    <comment ref="R33" authorId="0" shapeId="0" xr:uid="{00000000-0006-0000-0900-000071010000}">
      <text>
        <r>
          <rPr>
            <sz val="11"/>
            <color rgb="FF000000"/>
            <rFont val="Arial"/>
            <scheme val="minor"/>
          </rPr>
          <t>Cierre mensual histórico vinculado a Evolucion. Se excluye de la volatilidad diaria.</t>
        </r>
      </text>
    </comment>
    <comment ref="C40" authorId="0" shapeId="0" xr:uid="{00000000-0006-0000-0900-00000A000000}">
      <text>
        <r>
          <rPr>
            <sz val="11"/>
            <color rgb="FF000000"/>
            <rFont val="Arial"/>
            <scheme val="minor"/>
          </rPr>
          <t>01/07/2026</t>
        </r>
      </text>
    </comment>
    <comment ref="D40" authorId="0" shapeId="0" xr:uid="{00000000-0006-0000-0900-00000C000000}">
      <text>
        <r>
          <rPr>
            <sz val="11"/>
            <color rgb="FF000000"/>
            <rFont val="Arial"/>
            <scheme val="minor"/>
          </rPr>
          <t>02/07/2026</t>
        </r>
      </text>
    </comment>
    <comment ref="E40" authorId="0" shapeId="0" xr:uid="{00000000-0006-0000-0900-00000E000000}">
      <text>
        <r>
          <rPr>
            <sz val="11"/>
            <color rgb="FF000000"/>
            <rFont val="Arial"/>
            <scheme val="minor"/>
          </rPr>
          <t>03/07/2026</t>
        </r>
      </text>
    </comment>
    <comment ref="F40" authorId="0" shapeId="0" xr:uid="{00000000-0006-0000-0900-000010000000}">
      <text>
        <r>
          <rPr>
            <sz val="11"/>
            <color rgb="FF000000"/>
            <rFont val="Arial"/>
            <scheme val="minor"/>
          </rPr>
          <t>04/07/2026</t>
        </r>
      </text>
    </comment>
    <comment ref="G40" authorId="0" shapeId="0" xr:uid="{00000000-0006-0000-0900-000012000000}">
      <text>
        <r>
          <rPr>
            <sz val="11"/>
            <color rgb="FF000000"/>
            <rFont val="Arial"/>
            <scheme val="minor"/>
          </rPr>
          <t>05/07/2026</t>
        </r>
      </text>
    </comment>
    <comment ref="N40" authorId="0" shapeId="0" xr:uid="{00000000-0006-0000-0900-000014000000}">
      <text>
        <r>
          <rPr>
            <sz val="11"/>
            <color rgb="FF000000"/>
            <rFont val="Arial"/>
            <scheme val="minor"/>
          </rPr>
          <t>01/08/2026</t>
        </r>
      </text>
    </comment>
    <comment ref="O40" authorId="0" shapeId="0" xr:uid="{00000000-0006-0000-0900-000015000000}">
      <text>
        <r>
          <rPr>
            <sz val="11"/>
            <color rgb="FF000000"/>
            <rFont val="Arial"/>
            <scheme val="minor"/>
          </rPr>
          <t>02/08/2026</t>
        </r>
      </text>
    </comment>
    <comment ref="R40" authorId="0" shapeId="0" xr:uid="{00000000-0006-0000-0900-000016000000}">
      <text>
        <r>
          <rPr>
            <sz val="11"/>
            <color rgb="FF000000"/>
            <rFont val="Arial"/>
            <scheme val="minor"/>
          </rPr>
          <t>01/09/2026</t>
        </r>
      </text>
    </comment>
    <comment ref="S40" authorId="0" shapeId="0" xr:uid="{00000000-0006-0000-0900-000018000000}">
      <text>
        <r>
          <rPr>
            <sz val="11"/>
            <color rgb="FF000000"/>
            <rFont val="Arial"/>
            <scheme val="minor"/>
          </rPr>
          <t>02/09/2026</t>
        </r>
      </text>
    </comment>
    <comment ref="T40" authorId="0" shapeId="0" xr:uid="{00000000-0006-0000-0900-00001A000000}">
      <text>
        <r>
          <rPr>
            <sz val="11"/>
            <color rgb="FF000000"/>
            <rFont val="Arial"/>
            <scheme val="minor"/>
          </rPr>
          <t>03/09/2026</t>
        </r>
      </text>
    </comment>
    <comment ref="U40" authorId="0" shapeId="0" xr:uid="{00000000-0006-0000-0900-00001C000000}">
      <text>
        <r>
          <rPr>
            <sz val="11"/>
            <color rgb="FF000000"/>
            <rFont val="Arial"/>
            <scheme val="minor"/>
          </rPr>
          <t>04/09/2026</t>
        </r>
      </text>
    </comment>
    <comment ref="V40" authorId="0" shapeId="0" xr:uid="{00000000-0006-0000-0900-00001E000000}">
      <text>
        <r>
          <rPr>
            <sz val="11"/>
            <color rgb="FF000000"/>
            <rFont val="Arial"/>
            <scheme val="minor"/>
          </rPr>
          <t>05/09/2026</t>
        </r>
      </text>
    </comment>
    <comment ref="W40" authorId="0" shapeId="0" xr:uid="{00000000-0006-0000-0900-000020000000}">
      <text>
        <r>
          <rPr>
            <sz val="11"/>
            <color rgb="FF000000"/>
            <rFont val="Arial"/>
            <scheme val="minor"/>
          </rPr>
          <t>06/09/2026</t>
        </r>
      </text>
    </comment>
    <comment ref="A42" authorId="0" shapeId="0" xr:uid="{00000000-0006-0000-0900-00003F000000}">
      <text>
        <r>
          <rPr>
            <sz val="11"/>
            <color rgb="FF000000"/>
            <rFont val="Arial"/>
            <scheme val="minor"/>
          </rPr>
          <t>06/07/2026</t>
        </r>
      </text>
    </comment>
    <comment ref="B42" authorId="0" shapeId="0" xr:uid="{00000000-0006-0000-0900-000041000000}">
      <text>
        <r>
          <rPr>
            <sz val="11"/>
            <color rgb="FF000000"/>
            <rFont val="Arial"/>
            <scheme val="minor"/>
          </rPr>
          <t>07/07/2026</t>
        </r>
      </text>
    </comment>
    <comment ref="C42" authorId="0" shapeId="0" xr:uid="{00000000-0006-0000-0900-000043000000}">
      <text>
        <r>
          <rPr>
            <sz val="11"/>
            <color rgb="FF000000"/>
            <rFont val="Arial"/>
            <scheme val="minor"/>
          </rPr>
          <t>08/07/2026</t>
        </r>
      </text>
    </comment>
    <comment ref="D42" authorId="0" shapeId="0" xr:uid="{00000000-0006-0000-0900-000045000000}">
      <text>
        <r>
          <rPr>
            <sz val="11"/>
            <color rgb="FF000000"/>
            <rFont val="Arial"/>
            <scheme val="minor"/>
          </rPr>
          <t>09/07/2026</t>
        </r>
      </text>
    </comment>
    <comment ref="E42" authorId="0" shapeId="0" xr:uid="{00000000-0006-0000-0900-000047000000}">
      <text>
        <r>
          <rPr>
            <sz val="11"/>
            <color rgb="FF000000"/>
            <rFont val="Arial"/>
            <scheme val="minor"/>
          </rPr>
          <t>10/07/2026</t>
        </r>
      </text>
    </comment>
    <comment ref="F42" authorId="0" shapeId="0" xr:uid="{00000000-0006-0000-0900-000049000000}">
      <text>
        <r>
          <rPr>
            <sz val="11"/>
            <color rgb="FF000000"/>
            <rFont val="Arial"/>
            <scheme val="minor"/>
          </rPr>
          <t>11/07/2026</t>
        </r>
      </text>
    </comment>
    <comment ref="G42" authorId="0" shapeId="0" xr:uid="{00000000-0006-0000-0900-00004B000000}">
      <text>
        <r>
          <rPr>
            <sz val="11"/>
            <color rgb="FF000000"/>
            <rFont val="Arial"/>
            <scheme val="minor"/>
          </rPr>
          <t>12/07/2026</t>
        </r>
      </text>
    </comment>
    <comment ref="I42" authorId="0" shapeId="0" xr:uid="{00000000-0006-0000-0900-00004D000000}">
      <text>
        <r>
          <rPr>
            <sz val="11"/>
            <color rgb="FF000000"/>
            <rFont val="Arial"/>
            <scheme val="minor"/>
          </rPr>
          <t>03/08/2026</t>
        </r>
      </text>
    </comment>
    <comment ref="J42" authorId="0" shapeId="0" xr:uid="{00000000-0006-0000-0900-00004E000000}">
      <text>
        <r>
          <rPr>
            <sz val="11"/>
            <color rgb="FF000000"/>
            <rFont val="Arial"/>
            <scheme val="minor"/>
          </rPr>
          <t>04/08/2026</t>
        </r>
      </text>
    </comment>
    <comment ref="K42" authorId="0" shapeId="0" xr:uid="{00000000-0006-0000-0900-00004F000000}">
      <text>
        <r>
          <rPr>
            <sz val="11"/>
            <color rgb="FF000000"/>
            <rFont val="Arial"/>
            <scheme val="minor"/>
          </rPr>
          <t>05/08/2026</t>
        </r>
      </text>
    </comment>
    <comment ref="L42" authorId="0" shapeId="0" xr:uid="{00000000-0006-0000-0900-000050000000}">
      <text>
        <r>
          <rPr>
            <sz val="11"/>
            <color rgb="FF000000"/>
            <rFont val="Arial"/>
            <scheme val="minor"/>
          </rPr>
          <t>06/08/2026</t>
        </r>
      </text>
    </comment>
    <comment ref="M42" authorId="0" shapeId="0" xr:uid="{00000000-0006-0000-0900-000051000000}">
      <text>
        <r>
          <rPr>
            <sz val="11"/>
            <color rgb="FF000000"/>
            <rFont val="Arial"/>
            <scheme val="minor"/>
          </rPr>
          <t>07/08/2026</t>
        </r>
      </text>
    </comment>
    <comment ref="N42" authorId="0" shapeId="0" xr:uid="{00000000-0006-0000-0900-000052000000}">
      <text>
        <r>
          <rPr>
            <sz val="11"/>
            <color rgb="FF000000"/>
            <rFont val="Arial"/>
            <scheme val="minor"/>
          </rPr>
          <t>08/08/2026</t>
        </r>
      </text>
    </comment>
    <comment ref="O42" authorId="0" shapeId="0" xr:uid="{00000000-0006-0000-0900-000053000000}">
      <text>
        <r>
          <rPr>
            <sz val="11"/>
            <color rgb="FF000000"/>
            <rFont val="Arial"/>
            <scheme val="minor"/>
          </rPr>
          <t>09/08/2026</t>
        </r>
      </text>
    </comment>
    <comment ref="Q42" authorId="0" shapeId="0" xr:uid="{00000000-0006-0000-0900-000055000000}">
      <text>
        <r>
          <rPr>
            <sz val="11"/>
            <color rgb="FF000000"/>
            <rFont val="Arial"/>
            <scheme val="minor"/>
          </rPr>
          <t>07/09/2026</t>
        </r>
      </text>
    </comment>
    <comment ref="R42" authorId="0" shapeId="0" xr:uid="{00000000-0006-0000-0900-000057000000}">
      <text>
        <r>
          <rPr>
            <sz val="11"/>
            <color rgb="FF000000"/>
            <rFont val="Arial"/>
            <scheme val="minor"/>
          </rPr>
          <t>08/09/2026</t>
        </r>
      </text>
    </comment>
    <comment ref="S42" authorId="0" shapeId="0" xr:uid="{00000000-0006-0000-0900-000059000000}">
      <text>
        <r>
          <rPr>
            <sz val="11"/>
            <color rgb="FF000000"/>
            <rFont val="Arial"/>
            <scheme val="minor"/>
          </rPr>
          <t>09/09/2026</t>
        </r>
      </text>
    </comment>
    <comment ref="T42" authorId="0" shapeId="0" xr:uid="{00000000-0006-0000-0900-00005B000000}">
      <text>
        <r>
          <rPr>
            <sz val="11"/>
            <color rgb="FF000000"/>
            <rFont val="Arial"/>
            <scheme val="minor"/>
          </rPr>
          <t>10/09/2026</t>
        </r>
      </text>
    </comment>
    <comment ref="U42" authorId="0" shapeId="0" xr:uid="{00000000-0006-0000-0900-00005D000000}">
      <text>
        <r>
          <rPr>
            <sz val="11"/>
            <color rgb="FF000000"/>
            <rFont val="Arial"/>
            <scheme val="minor"/>
          </rPr>
          <t>11/09/2026</t>
        </r>
      </text>
    </comment>
    <comment ref="V42" authorId="0" shapeId="0" xr:uid="{00000000-0006-0000-0900-00005F000000}">
      <text>
        <r>
          <rPr>
            <sz val="11"/>
            <color rgb="FF000000"/>
            <rFont val="Arial"/>
            <scheme val="minor"/>
          </rPr>
          <t>12/09/2026</t>
        </r>
      </text>
    </comment>
    <comment ref="W42" authorId="0" shapeId="0" xr:uid="{00000000-0006-0000-0900-000061000000}">
      <text>
        <r>
          <rPr>
            <sz val="11"/>
            <color rgb="FF000000"/>
            <rFont val="Arial"/>
            <scheme val="minor"/>
          </rPr>
          <t>13/09/2026</t>
        </r>
      </text>
    </comment>
    <comment ref="D43" authorId="0" shapeId="0" xr:uid="{00000000-0006-0000-0900-00006F000000}">
      <text>
        <r>
          <rPr>
            <sz val="11"/>
            <color rgb="FF000000"/>
            <rFont val="Arial"/>
            <scheme val="minor"/>
          </rPr>
          <t>Base inicial de la serie diaria · 09/07/2026. A partir del 10/07, introduce el valor diario en las celdas amarillas.</t>
        </r>
      </text>
    </comment>
    <comment ref="A44" authorId="0" shapeId="0" xr:uid="{00000000-0006-0000-0900-000094000000}">
      <text>
        <r>
          <rPr>
            <sz val="11"/>
            <color rgb="FF000000"/>
            <rFont val="Arial"/>
            <scheme val="minor"/>
          </rPr>
          <t>13/07/2026</t>
        </r>
      </text>
    </comment>
    <comment ref="B44" authorId="0" shapeId="0" xr:uid="{00000000-0006-0000-0900-000096000000}">
      <text>
        <r>
          <rPr>
            <sz val="11"/>
            <color rgb="FF000000"/>
            <rFont val="Arial"/>
            <scheme val="minor"/>
          </rPr>
          <t>14/07/2026</t>
        </r>
      </text>
    </comment>
    <comment ref="C44" authorId="0" shapeId="0" xr:uid="{00000000-0006-0000-0900-000098000000}">
      <text>
        <r>
          <rPr>
            <sz val="11"/>
            <color rgb="FF000000"/>
            <rFont val="Arial"/>
            <scheme val="minor"/>
          </rPr>
          <t>15/07/2026</t>
        </r>
      </text>
    </comment>
    <comment ref="D44" authorId="0" shapeId="0" xr:uid="{00000000-0006-0000-0900-00009A000000}">
      <text>
        <r>
          <rPr>
            <sz val="11"/>
            <color rgb="FF000000"/>
            <rFont val="Arial"/>
            <scheme val="minor"/>
          </rPr>
          <t>16/07/2026</t>
        </r>
      </text>
    </comment>
    <comment ref="E44" authorId="0" shapeId="0" xr:uid="{00000000-0006-0000-0900-00009C000000}">
      <text>
        <r>
          <rPr>
            <sz val="11"/>
            <color rgb="FF000000"/>
            <rFont val="Arial"/>
            <scheme val="minor"/>
          </rPr>
          <t>17/07/2026</t>
        </r>
      </text>
    </comment>
    <comment ref="F44" authorId="0" shapeId="0" xr:uid="{00000000-0006-0000-0900-00009E000000}">
      <text>
        <r>
          <rPr>
            <sz val="11"/>
            <color rgb="FF000000"/>
            <rFont val="Arial"/>
            <scheme val="minor"/>
          </rPr>
          <t>18/07/2026</t>
        </r>
      </text>
    </comment>
    <comment ref="G44" authorId="0" shapeId="0" xr:uid="{00000000-0006-0000-0900-0000A0000000}">
      <text>
        <r>
          <rPr>
            <sz val="11"/>
            <color rgb="FF000000"/>
            <rFont val="Arial"/>
            <scheme val="minor"/>
          </rPr>
          <t>19/07/2026</t>
        </r>
      </text>
    </comment>
    <comment ref="I44" authorId="0" shapeId="0" xr:uid="{00000000-0006-0000-0900-0000A2000000}">
      <text>
        <r>
          <rPr>
            <sz val="11"/>
            <color rgb="FF000000"/>
            <rFont val="Arial"/>
            <scheme val="minor"/>
          </rPr>
          <t>10/08/2026</t>
        </r>
      </text>
    </comment>
    <comment ref="J44" authorId="0" shapeId="0" xr:uid="{00000000-0006-0000-0900-0000A3000000}">
      <text>
        <r>
          <rPr>
            <sz val="11"/>
            <color rgb="FF000000"/>
            <rFont val="Arial"/>
            <scheme val="minor"/>
          </rPr>
          <t>11/08/2026</t>
        </r>
      </text>
    </comment>
    <comment ref="K44" authorId="0" shapeId="0" xr:uid="{00000000-0006-0000-0900-0000A4000000}">
      <text>
        <r>
          <rPr>
            <sz val="11"/>
            <color rgb="FF000000"/>
            <rFont val="Arial"/>
            <scheme val="minor"/>
          </rPr>
          <t>12/08/2026</t>
        </r>
      </text>
    </comment>
    <comment ref="L44" authorId="0" shapeId="0" xr:uid="{00000000-0006-0000-0900-0000A5000000}">
      <text>
        <r>
          <rPr>
            <sz val="11"/>
            <color rgb="FF000000"/>
            <rFont val="Arial"/>
            <scheme val="minor"/>
          </rPr>
          <t>13/08/2026</t>
        </r>
      </text>
    </comment>
    <comment ref="M44" authorId="0" shapeId="0" xr:uid="{00000000-0006-0000-0900-0000A6000000}">
      <text>
        <r>
          <rPr>
            <sz val="11"/>
            <color rgb="FF000000"/>
            <rFont val="Arial"/>
            <scheme val="minor"/>
          </rPr>
          <t>14/08/2026</t>
        </r>
      </text>
    </comment>
    <comment ref="N44" authorId="0" shapeId="0" xr:uid="{00000000-0006-0000-0900-0000A7000000}">
      <text>
        <r>
          <rPr>
            <sz val="11"/>
            <color rgb="FF000000"/>
            <rFont val="Arial"/>
            <scheme val="minor"/>
          </rPr>
          <t>15/08/2026</t>
        </r>
      </text>
    </comment>
    <comment ref="O44" authorId="0" shapeId="0" xr:uid="{00000000-0006-0000-0900-0000A8000000}">
      <text>
        <r>
          <rPr>
            <sz val="11"/>
            <color rgb="FF000000"/>
            <rFont val="Arial"/>
            <scheme val="minor"/>
          </rPr>
          <t>16/08/2026</t>
        </r>
      </text>
    </comment>
    <comment ref="Q44" authorId="0" shapeId="0" xr:uid="{00000000-0006-0000-0900-0000AA000000}">
      <text>
        <r>
          <rPr>
            <sz val="11"/>
            <color rgb="FF000000"/>
            <rFont val="Arial"/>
            <scheme val="minor"/>
          </rPr>
          <t>14/09/2026</t>
        </r>
      </text>
    </comment>
    <comment ref="R44" authorId="0" shapeId="0" xr:uid="{00000000-0006-0000-0900-0000AC000000}">
      <text>
        <r>
          <rPr>
            <sz val="11"/>
            <color rgb="FF000000"/>
            <rFont val="Arial"/>
            <scheme val="minor"/>
          </rPr>
          <t>15/09/2026</t>
        </r>
      </text>
    </comment>
    <comment ref="S44" authorId="0" shapeId="0" xr:uid="{00000000-0006-0000-0900-0000AE000000}">
      <text>
        <r>
          <rPr>
            <sz val="11"/>
            <color rgb="FF000000"/>
            <rFont val="Arial"/>
            <scheme val="minor"/>
          </rPr>
          <t>16/09/2026</t>
        </r>
      </text>
    </comment>
    <comment ref="T44" authorId="0" shapeId="0" xr:uid="{00000000-0006-0000-0900-0000B0000000}">
      <text>
        <r>
          <rPr>
            <sz val="11"/>
            <color rgb="FF000000"/>
            <rFont val="Arial"/>
            <scheme val="minor"/>
          </rPr>
          <t>17/09/2026</t>
        </r>
      </text>
    </comment>
    <comment ref="U44" authorId="0" shapeId="0" xr:uid="{00000000-0006-0000-0900-0000B2000000}">
      <text>
        <r>
          <rPr>
            <sz val="11"/>
            <color rgb="FF000000"/>
            <rFont val="Arial"/>
            <scheme val="minor"/>
          </rPr>
          <t>18/09/2026</t>
        </r>
      </text>
    </comment>
    <comment ref="V44" authorId="0" shapeId="0" xr:uid="{00000000-0006-0000-0900-0000B4000000}">
      <text>
        <r>
          <rPr>
            <sz val="11"/>
            <color rgb="FF000000"/>
            <rFont val="Arial"/>
            <scheme val="minor"/>
          </rPr>
          <t>19/09/2026</t>
        </r>
      </text>
    </comment>
    <comment ref="W44" authorId="0" shapeId="0" xr:uid="{00000000-0006-0000-0900-0000B6000000}">
      <text>
        <r>
          <rPr>
            <sz val="11"/>
            <color rgb="FF000000"/>
            <rFont val="Arial"/>
            <scheme val="minor"/>
          </rPr>
          <t>20/09/2026</t>
        </r>
      </text>
    </comment>
    <comment ref="A46" authorId="0" shapeId="0" xr:uid="{00000000-0006-0000-0900-0000E8000000}">
      <text>
        <r>
          <rPr>
            <sz val="11"/>
            <color rgb="FF000000"/>
            <rFont val="Arial"/>
            <scheme val="minor"/>
          </rPr>
          <t>20/07/2026</t>
        </r>
      </text>
    </comment>
    <comment ref="B46" authorId="0" shapeId="0" xr:uid="{00000000-0006-0000-0900-0000EA000000}">
      <text>
        <r>
          <rPr>
            <sz val="11"/>
            <color rgb="FF000000"/>
            <rFont val="Arial"/>
            <scheme val="minor"/>
          </rPr>
          <t>21/07/2026</t>
        </r>
      </text>
    </comment>
    <comment ref="C46" authorId="0" shapeId="0" xr:uid="{00000000-0006-0000-0900-0000EC000000}">
      <text>
        <r>
          <rPr>
            <sz val="11"/>
            <color rgb="FF000000"/>
            <rFont val="Arial"/>
            <scheme val="minor"/>
          </rPr>
          <t>22/07/2026</t>
        </r>
      </text>
    </comment>
    <comment ref="D46" authorId="0" shapeId="0" xr:uid="{00000000-0006-0000-0900-0000EE000000}">
      <text>
        <r>
          <rPr>
            <sz val="11"/>
            <color rgb="FF000000"/>
            <rFont val="Arial"/>
            <scheme val="minor"/>
          </rPr>
          <t>23/07/2026</t>
        </r>
      </text>
    </comment>
    <comment ref="E46" authorId="0" shapeId="0" xr:uid="{00000000-0006-0000-0900-0000F0000000}">
      <text>
        <r>
          <rPr>
            <sz val="11"/>
            <color rgb="FF000000"/>
            <rFont val="Arial"/>
            <scheme val="minor"/>
          </rPr>
          <t>24/07/2026</t>
        </r>
      </text>
    </comment>
    <comment ref="F46" authorId="0" shapeId="0" xr:uid="{00000000-0006-0000-0900-0000F2000000}">
      <text>
        <r>
          <rPr>
            <sz val="11"/>
            <color rgb="FF000000"/>
            <rFont val="Arial"/>
            <scheme val="minor"/>
          </rPr>
          <t>25/07/2026</t>
        </r>
      </text>
    </comment>
    <comment ref="G46" authorId="0" shapeId="0" xr:uid="{00000000-0006-0000-0900-0000F4000000}">
      <text>
        <r>
          <rPr>
            <sz val="11"/>
            <color rgb="FF000000"/>
            <rFont val="Arial"/>
            <scheme val="minor"/>
          </rPr>
          <t>26/07/2026</t>
        </r>
      </text>
    </comment>
    <comment ref="I46" authorId="0" shapeId="0" xr:uid="{00000000-0006-0000-0900-0000F6000000}">
      <text>
        <r>
          <rPr>
            <sz val="11"/>
            <color rgb="FF000000"/>
            <rFont val="Arial"/>
            <scheme val="minor"/>
          </rPr>
          <t>17/08/2026</t>
        </r>
      </text>
    </comment>
    <comment ref="J46" authorId="0" shapeId="0" xr:uid="{00000000-0006-0000-0900-0000F7000000}">
      <text>
        <r>
          <rPr>
            <sz val="11"/>
            <color rgb="FF000000"/>
            <rFont val="Arial"/>
            <scheme val="minor"/>
          </rPr>
          <t>18/08/2026</t>
        </r>
      </text>
    </comment>
    <comment ref="K46" authorId="0" shapeId="0" xr:uid="{00000000-0006-0000-0900-0000F8000000}">
      <text>
        <r>
          <rPr>
            <sz val="11"/>
            <color rgb="FF000000"/>
            <rFont val="Arial"/>
            <scheme val="minor"/>
          </rPr>
          <t>19/08/2026</t>
        </r>
      </text>
    </comment>
    <comment ref="L46" authorId="0" shapeId="0" xr:uid="{00000000-0006-0000-0900-0000F9000000}">
      <text>
        <r>
          <rPr>
            <sz val="11"/>
            <color rgb="FF000000"/>
            <rFont val="Arial"/>
            <scheme val="minor"/>
          </rPr>
          <t>20/08/2026</t>
        </r>
      </text>
    </comment>
    <comment ref="M46" authorId="0" shapeId="0" xr:uid="{00000000-0006-0000-0900-0000FA000000}">
      <text>
        <r>
          <rPr>
            <sz val="11"/>
            <color rgb="FF000000"/>
            <rFont val="Arial"/>
            <scheme val="minor"/>
          </rPr>
          <t>21/08/2026</t>
        </r>
      </text>
    </comment>
    <comment ref="N46" authorId="0" shapeId="0" xr:uid="{00000000-0006-0000-0900-0000FB000000}">
      <text>
        <r>
          <rPr>
            <sz val="11"/>
            <color rgb="FF000000"/>
            <rFont val="Arial"/>
            <scheme val="minor"/>
          </rPr>
          <t>22/08/2026</t>
        </r>
      </text>
    </comment>
    <comment ref="O46" authorId="0" shapeId="0" xr:uid="{00000000-0006-0000-0900-0000FC000000}">
      <text>
        <r>
          <rPr>
            <sz val="11"/>
            <color rgb="FF000000"/>
            <rFont val="Arial"/>
            <scheme val="minor"/>
          </rPr>
          <t>23/08/2026</t>
        </r>
      </text>
    </comment>
    <comment ref="Q46" authorId="0" shapeId="0" xr:uid="{00000000-0006-0000-0900-0000FE000000}">
      <text>
        <r>
          <rPr>
            <sz val="11"/>
            <color rgb="FF000000"/>
            <rFont val="Arial"/>
            <scheme val="minor"/>
          </rPr>
          <t>21/09/2026</t>
        </r>
      </text>
    </comment>
    <comment ref="R46" authorId="0" shapeId="0" xr:uid="{00000000-0006-0000-0900-000000010000}">
      <text>
        <r>
          <rPr>
            <sz val="11"/>
            <color rgb="FF000000"/>
            <rFont val="Arial"/>
            <scheme val="minor"/>
          </rPr>
          <t>22/09/2026</t>
        </r>
      </text>
    </comment>
    <comment ref="S46" authorId="0" shapeId="0" xr:uid="{00000000-0006-0000-0900-000002010000}">
      <text>
        <r>
          <rPr>
            <sz val="11"/>
            <color rgb="FF000000"/>
            <rFont val="Arial"/>
            <scheme val="minor"/>
          </rPr>
          <t>23/09/2026</t>
        </r>
      </text>
    </comment>
    <comment ref="T46" authorId="0" shapeId="0" xr:uid="{00000000-0006-0000-0900-000004010000}">
      <text>
        <r>
          <rPr>
            <sz val="11"/>
            <color rgb="FF000000"/>
            <rFont val="Arial"/>
            <scheme val="minor"/>
          </rPr>
          <t>24/09/2026</t>
        </r>
      </text>
    </comment>
    <comment ref="U46" authorId="0" shapeId="0" xr:uid="{00000000-0006-0000-0900-000006010000}">
      <text>
        <r>
          <rPr>
            <sz val="11"/>
            <color rgb="FF000000"/>
            <rFont val="Arial"/>
            <scheme val="minor"/>
          </rPr>
          <t>25/09/2026</t>
        </r>
      </text>
    </comment>
    <comment ref="V46" authorId="0" shapeId="0" xr:uid="{00000000-0006-0000-0900-000008010000}">
      <text>
        <r>
          <rPr>
            <sz val="11"/>
            <color rgb="FF000000"/>
            <rFont val="Arial"/>
            <scheme val="minor"/>
          </rPr>
          <t>26/09/2026</t>
        </r>
      </text>
    </comment>
    <comment ref="W46" authorId="0" shapeId="0" xr:uid="{00000000-0006-0000-0900-00000A010000}">
      <text>
        <r>
          <rPr>
            <sz val="11"/>
            <color rgb="FF000000"/>
            <rFont val="Arial"/>
            <scheme val="minor"/>
          </rPr>
          <t>27/09/2026</t>
        </r>
      </text>
    </comment>
    <comment ref="A48" authorId="0" shapeId="0" xr:uid="{00000000-0006-0000-0900-00003B010000}">
      <text>
        <r>
          <rPr>
            <sz val="11"/>
            <color rgb="FF000000"/>
            <rFont val="Arial"/>
            <scheme val="minor"/>
          </rPr>
          <t>27/07/2026</t>
        </r>
      </text>
    </comment>
    <comment ref="B48" authorId="0" shapeId="0" xr:uid="{00000000-0006-0000-0900-00003D010000}">
      <text>
        <r>
          <rPr>
            <sz val="11"/>
            <color rgb="FF000000"/>
            <rFont val="Arial"/>
            <scheme val="minor"/>
          </rPr>
          <t>28/07/2026</t>
        </r>
      </text>
    </comment>
    <comment ref="C48" authorId="0" shapeId="0" xr:uid="{00000000-0006-0000-0900-00003F010000}">
      <text>
        <r>
          <rPr>
            <sz val="11"/>
            <color rgb="FF000000"/>
            <rFont val="Arial"/>
            <scheme val="minor"/>
          </rPr>
          <t>29/07/2026</t>
        </r>
      </text>
    </comment>
    <comment ref="D48" authorId="0" shapeId="0" xr:uid="{00000000-0006-0000-0900-000041010000}">
      <text>
        <r>
          <rPr>
            <sz val="11"/>
            <color rgb="FF000000"/>
            <rFont val="Arial"/>
            <scheme val="minor"/>
          </rPr>
          <t>30/07/2026</t>
        </r>
      </text>
    </comment>
    <comment ref="E48" authorId="0" shapeId="0" xr:uid="{00000000-0006-0000-0900-000043010000}">
      <text>
        <r>
          <rPr>
            <sz val="11"/>
            <color rgb="FF000000"/>
            <rFont val="Arial"/>
            <scheme val="minor"/>
          </rPr>
          <t>31/07/2026</t>
        </r>
      </text>
    </comment>
    <comment ref="I48" authorId="0" shapeId="0" xr:uid="{00000000-0006-0000-0900-000044010000}">
      <text>
        <r>
          <rPr>
            <sz val="11"/>
            <color rgb="FF000000"/>
            <rFont val="Arial"/>
            <scheme val="minor"/>
          </rPr>
          <t>24/08/2026</t>
        </r>
      </text>
    </comment>
    <comment ref="J48" authorId="0" shapeId="0" xr:uid="{00000000-0006-0000-0900-000045010000}">
      <text>
        <r>
          <rPr>
            <sz val="11"/>
            <color rgb="FF000000"/>
            <rFont val="Arial"/>
            <scheme val="minor"/>
          </rPr>
          <t>25/08/2026</t>
        </r>
      </text>
    </comment>
    <comment ref="K48" authorId="0" shapeId="0" xr:uid="{00000000-0006-0000-0900-000046010000}">
      <text>
        <r>
          <rPr>
            <sz val="11"/>
            <color rgb="FF000000"/>
            <rFont val="Arial"/>
            <scheme val="minor"/>
          </rPr>
          <t>26/08/2026</t>
        </r>
      </text>
    </comment>
    <comment ref="L48" authorId="0" shapeId="0" xr:uid="{00000000-0006-0000-0900-000047010000}">
      <text>
        <r>
          <rPr>
            <sz val="11"/>
            <color rgb="FF000000"/>
            <rFont val="Arial"/>
            <scheme val="minor"/>
          </rPr>
          <t>27/08/2026</t>
        </r>
      </text>
    </comment>
    <comment ref="M48" authorId="0" shapeId="0" xr:uid="{00000000-0006-0000-0900-000048010000}">
      <text>
        <r>
          <rPr>
            <sz val="11"/>
            <color rgb="FF000000"/>
            <rFont val="Arial"/>
            <scheme val="minor"/>
          </rPr>
          <t>28/08/2026</t>
        </r>
      </text>
    </comment>
    <comment ref="N48" authorId="0" shapeId="0" xr:uid="{00000000-0006-0000-0900-000049010000}">
      <text>
        <r>
          <rPr>
            <sz val="11"/>
            <color rgb="FF000000"/>
            <rFont val="Arial"/>
            <scheme val="minor"/>
          </rPr>
          <t>29/08/2026</t>
        </r>
      </text>
    </comment>
    <comment ref="O48" authorId="0" shapeId="0" xr:uid="{00000000-0006-0000-0900-00004A010000}">
      <text>
        <r>
          <rPr>
            <sz val="11"/>
            <color rgb="FF000000"/>
            <rFont val="Arial"/>
            <scheme val="minor"/>
          </rPr>
          <t>30/08/2026</t>
        </r>
      </text>
    </comment>
    <comment ref="Q48" authorId="0" shapeId="0" xr:uid="{00000000-0006-0000-0900-00004C010000}">
      <text>
        <r>
          <rPr>
            <sz val="11"/>
            <color rgb="FF000000"/>
            <rFont val="Arial"/>
            <scheme val="minor"/>
          </rPr>
          <t>28/09/2026</t>
        </r>
      </text>
    </comment>
    <comment ref="R48" authorId="0" shapeId="0" xr:uid="{00000000-0006-0000-0900-00004E010000}">
      <text>
        <r>
          <rPr>
            <sz val="11"/>
            <color rgb="FF000000"/>
            <rFont val="Arial"/>
            <scheme val="minor"/>
          </rPr>
          <t>29/09/2026</t>
        </r>
      </text>
    </comment>
    <comment ref="S48" authorId="0" shapeId="0" xr:uid="{00000000-0006-0000-0900-000050010000}">
      <text>
        <r>
          <rPr>
            <sz val="11"/>
            <color rgb="FF000000"/>
            <rFont val="Arial"/>
            <scheme val="minor"/>
          </rPr>
          <t>30/09/2026</t>
        </r>
      </text>
    </comment>
    <comment ref="I50" authorId="0" shapeId="0" xr:uid="{00000000-0006-0000-0900-000073010000}">
      <text>
        <r>
          <rPr>
            <sz val="11"/>
            <color rgb="FF000000"/>
            <rFont val="Arial"/>
            <scheme val="minor"/>
          </rPr>
          <t>31/08/2026</t>
        </r>
      </text>
    </comment>
    <comment ref="D56" authorId="0" shapeId="0" xr:uid="{00000000-0006-0000-0900-000004000000}">
      <text>
        <r>
          <rPr>
            <sz val="11"/>
            <color rgb="FF000000"/>
            <rFont val="Arial"/>
            <scheme val="minor"/>
          </rPr>
          <t>01/10/2026</t>
        </r>
      </text>
    </comment>
    <comment ref="E56" authorId="0" shapeId="0" xr:uid="{00000000-0006-0000-0900-000005000000}">
      <text>
        <r>
          <rPr>
            <sz val="11"/>
            <color rgb="FF000000"/>
            <rFont val="Arial"/>
            <scheme val="minor"/>
          </rPr>
          <t>02/10/2026</t>
        </r>
      </text>
    </comment>
    <comment ref="F56" authorId="0" shapeId="0" xr:uid="{00000000-0006-0000-0900-000006000000}">
      <text>
        <r>
          <rPr>
            <sz val="11"/>
            <color rgb="FF000000"/>
            <rFont val="Arial"/>
            <scheme val="minor"/>
          </rPr>
          <t>03/10/2026</t>
        </r>
      </text>
    </comment>
    <comment ref="G56" authorId="0" shapeId="0" xr:uid="{00000000-0006-0000-0900-000007000000}">
      <text>
        <r>
          <rPr>
            <sz val="11"/>
            <color rgb="FF000000"/>
            <rFont val="Arial"/>
            <scheme val="minor"/>
          </rPr>
          <t>04/10/2026</t>
        </r>
      </text>
    </comment>
    <comment ref="O56" authorId="0" shapeId="0" xr:uid="{00000000-0006-0000-0900-000008000000}">
      <text>
        <r>
          <rPr>
            <sz val="11"/>
            <color rgb="FF000000"/>
            <rFont val="Arial"/>
            <scheme val="minor"/>
          </rPr>
          <t>01/11/2026</t>
        </r>
      </text>
    </comment>
    <comment ref="R56" authorId="0" shapeId="0" xr:uid="{00000000-0006-0000-0900-000009000000}">
      <text>
        <r>
          <rPr>
            <sz val="11"/>
            <color rgb="FF000000"/>
            <rFont val="Arial"/>
            <scheme val="minor"/>
          </rPr>
          <t>01/12/2026</t>
        </r>
      </text>
    </comment>
    <comment ref="S56" authorId="0" shapeId="0" xr:uid="{00000000-0006-0000-0900-00000B000000}">
      <text>
        <r>
          <rPr>
            <sz val="11"/>
            <color rgb="FF000000"/>
            <rFont val="Arial"/>
            <scheme val="minor"/>
          </rPr>
          <t>02/12/2026</t>
        </r>
      </text>
    </comment>
    <comment ref="T56" authorId="0" shapeId="0" xr:uid="{00000000-0006-0000-0900-00000D000000}">
      <text>
        <r>
          <rPr>
            <sz val="11"/>
            <color rgb="FF000000"/>
            <rFont val="Arial"/>
            <scheme val="minor"/>
          </rPr>
          <t>03/12/2026</t>
        </r>
      </text>
    </comment>
    <comment ref="U56" authorId="0" shapeId="0" xr:uid="{00000000-0006-0000-0900-00000F000000}">
      <text>
        <r>
          <rPr>
            <sz val="11"/>
            <color rgb="FF000000"/>
            <rFont val="Arial"/>
            <scheme val="minor"/>
          </rPr>
          <t>04/12/2026</t>
        </r>
      </text>
    </comment>
    <comment ref="V56" authorId="0" shapeId="0" xr:uid="{00000000-0006-0000-0900-000011000000}">
      <text>
        <r>
          <rPr>
            <sz val="11"/>
            <color rgb="FF000000"/>
            <rFont val="Arial"/>
            <scheme val="minor"/>
          </rPr>
          <t>05/12/2026</t>
        </r>
      </text>
    </comment>
    <comment ref="W56" authorId="0" shapeId="0" xr:uid="{00000000-0006-0000-0900-000013000000}">
      <text>
        <r>
          <rPr>
            <sz val="11"/>
            <color rgb="FF000000"/>
            <rFont val="Arial"/>
            <scheme val="minor"/>
          </rPr>
          <t>06/12/2026</t>
        </r>
      </text>
    </comment>
    <comment ref="A58" authorId="0" shapeId="0" xr:uid="{00000000-0006-0000-0900-000030000000}">
      <text>
        <r>
          <rPr>
            <sz val="11"/>
            <color rgb="FF000000"/>
            <rFont val="Arial"/>
            <scheme val="minor"/>
          </rPr>
          <t>05/10/2026</t>
        </r>
      </text>
    </comment>
    <comment ref="B58" authorId="0" shapeId="0" xr:uid="{00000000-0006-0000-0900-000031000000}">
      <text>
        <r>
          <rPr>
            <sz val="11"/>
            <color rgb="FF000000"/>
            <rFont val="Arial"/>
            <scheme val="minor"/>
          </rPr>
          <t>06/10/2026</t>
        </r>
      </text>
    </comment>
    <comment ref="C58" authorId="0" shapeId="0" xr:uid="{00000000-0006-0000-0900-000032000000}">
      <text>
        <r>
          <rPr>
            <sz val="11"/>
            <color rgb="FF000000"/>
            <rFont val="Arial"/>
            <scheme val="minor"/>
          </rPr>
          <t>07/10/2026</t>
        </r>
      </text>
    </comment>
    <comment ref="D58" authorId="0" shapeId="0" xr:uid="{00000000-0006-0000-0900-000033000000}">
      <text>
        <r>
          <rPr>
            <sz val="11"/>
            <color rgb="FF000000"/>
            <rFont val="Arial"/>
            <scheme val="minor"/>
          </rPr>
          <t>08/10/2026</t>
        </r>
      </text>
    </comment>
    <comment ref="E58" authorId="0" shapeId="0" xr:uid="{00000000-0006-0000-0900-000034000000}">
      <text>
        <r>
          <rPr>
            <sz val="11"/>
            <color rgb="FF000000"/>
            <rFont val="Arial"/>
            <scheme val="minor"/>
          </rPr>
          <t>09/10/2026</t>
        </r>
      </text>
    </comment>
    <comment ref="F58" authorId="0" shapeId="0" xr:uid="{00000000-0006-0000-0900-000035000000}">
      <text>
        <r>
          <rPr>
            <sz val="11"/>
            <color rgb="FF000000"/>
            <rFont val="Arial"/>
            <scheme val="minor"/>
          </rPr>
          <t>10/10/2026</t>
        </r>
      </text>
    </comment>
    <comment ref="G58" authorId="0" shapeId="0" xr:uid="{00000000-0006-0000-0900-000036000000}">
      <text>
        <r>
          <rPr>
            <sz val="11"/>
            <color rgb="FF000000"/>
            <rFont val="Arial"/>
            <scheme val="minor"/>
          </rPr>
          <t>11/10/2026</t>
        </r>
      </text>
    </comment>
    <comment ref="I58" authorId="0" shapeId="0" xr:uid="{00000000-0006-0000-0900-000038000000}">
      <text>
        <r>
          <rPr>
            <sz val="11"/>
            <color rgb="FF000000"/>
            <rFont val="Arial"/>
            <scheme val="minor"/>
          </rPr>
          <t>02/11/2026</t>
        </r>
      </text>
    </comment>
    <comment ref="J58" authorId="0" shapeId="0" xr:uid="{00000000-0006-0000-0900-000039000000}">
      <text>
        <r>
          <rPr>
            <sz val="11"/>
            <color rgb="FF000000"/>
            <rFont val="Arial"/>
            <scheme val="minor"/>
          </rPr>
          <t>03/11/2026</t>
        </r>
      </text>
    </comment>
    <comment ref="K58" authorId="0" shapeId="0" xr:uid="{00000000-0006-0000-0900-00003A000000}">
      <text>
        <r>
          <rPr>
            <sz val="11"/>
            <color rgb="FF000000"/>
            <rFont val="Arial"/>
            <scheme val="minor"/>
          </rPr>
          <t>04/11/2026</t>
        </r>
      </text>
    </comment>
    <comment ref="L58" authorId="0" shapeId="0" xr:uid="{00000000-0006-0000-0900-00003B000000}">
      <text>
        <r>
          <rPr>
            <sz val="11"/>
            <color rgb="FF000000"/>
            <rFont val="Arial"/>
            <scheme val="minor"/>
          </rPr>
          <t>05/11/2026</t>
        </r>
      </text>
    </comment>
    <comment ref="M58" authorId="0" shapeId="0" xr:uid="{00000000-0006-0000-0900-00003C000000}">
      <text>
        <r>
          <rPr>
            <sz val="11"/>
            <color rgb="FF000000"/>
            <rFont val="Arial"/>
            <scheme val="minor"/>
          </rPr>
          <t>06/11/2026</t>
        </r>
      </text>
    </comment>
    <comment ref="N58" authorId="0" shapeId="0" xr:uid="{00000000-0006-0000-0900-00003D000000}">
      <text>
        <r>
          <rPr>
            <sz val="11"/>
            <color rgb="FF000000"/>
            <rFont val="Arial"/>
            <scheme val="minor"/>
          </rPr>
          <t>07/11/2026</t>
        </r>
      </text>
    </comment>
    <comment ref="O58" authorId="0" shapeId="0" xr:uid="{00000000-0006-0000-0900-00003E000000}">
      <text>
        <r>
          <rPr>
            <sz val="11"/>
            <color rgb="FF000000"/>
            <rFont val="Arial"/>
            <scheme val="minor"/>
          </rPr>
          <t>08/11/2026</t>
        </r>
      </text>
    </comment>
    <comment ref="Q58" authorId="0" shapeId="0" xr:uid="{00000000-0006-0000-0900-000040000000}">
      <text>
        <r>
          <rPr>
            <sz val="11"/>
            <color rgb="FF000000"/>
            <rFont val="Arial"/>
            <scheme val="minor"/>
          </rPr>
          <t>07/12/2026</t>
        </r>
      </text>
    </comment>
    <comment ref="R58" authorId="0" shapeId="0" xr:uid="{00000000-0006-0000-0900-000042000000}">
      <text>
        <r>
          <rPr>
            <sz val="11"/>
            <color rgb="FF000000"/>
            <rFont val="Arial"/>
            <scheme val="minor"/>
          </rPr>
          <t>08/12/2026</t>
        </r>
      </text>
    </comment>
    <comment ref="S58" authorId="0" shapeId="0" xr:uid="{00000000-0006-0000-0900-000044000000}">
      <text>
        <r>
          <rPr>
            <sz val="11"/>
            <color rgb="FF000000"/>
            <rFont val="Arial"/>
            <scheme val="minor"/>
          </rPr>
          <t>09/12/2026</t>
        </r>
      </text>
    </comment>
    <comment ref="T58" authorId="0" shapeId="0" xr:uid="{00000000-0006-0000-0900-000046000000}">
      <text>
        <r>
          <rPr>
            <sz val="11"/>
            <color rgb="FF000000"/>
            <rFont val="Arial"/>
            <scheme val="minor"/>
          </rPr>
          <t>10/12/2026</t>
        </r>
      </text>
    </comment>
    <comment ref="U58" authorId="0" shapeId="0" xr:uid="{00000000-0006-0000-0900-000048000000}">
      <text>
        <r>
          <rPr>
            <sz val="11"/>
            <color rgb="FF000000"/>
            <rFont val="Arial"/>
            <scheme val="minor"/>
          </rPr>
          <t>11/12/2026</t>
        </r>
      </text>
    </comment>
    <comment ref="V58" authorId="0" shapeId="0" xr:uid="{00000000-0006-0000-0900-00004A000000}">
      <text>
        <r>
          <rPr>
            <sz val="11"/>
            <color rgb="FF000000"/>
            <rFont val="Arial"/>
            <scheme val="minor"/>
          </rPr>
          <t>12/12/2026</t>
        </r>
      </text>
    </comment>
    <comment ref="W58" authorId="0" shapeId="0" xr:uid="{00000000-0006-0000-0900-00004C000000}">
      <text>
        <r>
          <rPr>
            <sz val="11"/>
            <color rgb="FF000000"/>
            <rFont val="Arial"/>
            <scheme val="minor"/>
          </rPr>
          <t>13/12/2026</t>
        </r>
      </text>
    </comment>
    <comment ref="A60" authorId="0" shapeId="0" xr:uid="{00000000-0006-0000-0900-00007F000000}">
      <text>
        <r>
          <rPr>
            <sz val="11"/>
            <color rgb="FF000000"/>
            <rFont val="Arial"/>
            <scheme val="minor"/>
          </rPr>
          <t>12/10/2026</t>
        </r>
      </text>
    </comment>
    <comment ref="B60" authorId="0" shapeId="0" xr:uid="{00000000-0006-0000-0900-000080000000}">
      <text>
        <r>
          <rPr>
            <sz val="11"/>
            <color rgb="FF000000"/>
            <rFont val="Arial"/>
            <scheme val="minor"/>
          </rPr>
          <t>13/10/2026</t>
        </r>
      </text>
    </comment>
    <comment ref="C60" authorId="0" shapeId="0" xr:uid="{00000000-0006-0000-0900-000082000000}">
      <text>
        <r>
          <rPr>
            <sz val="11"/>
            <color rgb="FF000000"/>
            <rFont val="Arial"/>
            <scheme val="minor"/>
          </rPr>
          <t>14/10/2026</t>
        </r>
      </text>
    </comment>
    <comment ref="D60" authorId="0" shapeId="0" xr:uid="{00000000-0006-0000-0900-000084000000}">
      <text>
        <r>
          <rPr>
            <sz val="11"/>
            <color rgb="FF000000"/>
            <rFont val="Arial"/>
            <scheme val="minor"/>
          </rPr>
          <t>15/10/2026</t>
        </r>
      </text>
    </comment>
    <comment ref="E60" authorId="0" shapeId="0" xr:uid="{00000000-0006-0000-0900-000086000000}">
      <text>
        <r>
          <rPr>
            <sz val="11"/>
            <color rgb="FF000000"/>
            <rFont val="Arial"/>
            <scheme val="minor"/>
          </rPr>
          <t>16/10/2026</t>
        </r>
      </text>
    </comment>
    <comment ref="F60" authorId="0" shapeId="0" xr:uid="{00000000-0006-0000-0900-000088000000}">
      <text>
        <r>
          <rPr>
            <sz val="11"/>
            <color rgb="FF000000"/>
            <rFont val="Arial"/>
            <scheme val="minor"/>
          </rPr>
          <t>17/10/2026</t>
        </r>
      </text>
    </comment>
    <comment ref="G60" authorId="0" shapeId="0" xr:uid="{00000000-0006-0000-0900-00008A000000}">
      <text>
        <r>
          <rPr>
            <sz val="11"/>
            <color rgb="FF000000"/>
            <rFont val="Arial"/>
            <scheme val="minor"/>
          </rPr>
          <t>18/10/2026</t>
        </r>
      </text>
    </comment>
    <comment ref="I60" authorId="0" shapeId="0" xr:uid="{00000000-0006-0000-0900-00008D000000}">
      <text>
        <r>
          <rPr>
            <sz val="11"/>
            <color rgb="FF000000"/>
            <rFont val="Arial"/>
            <scheme val="minor"/>
          </rPr>
          <t>09/11/2026</t>
        </r>
      </text>
    </comment>
    <comment ref="J60" authorId="0" shapeId="0" xr:uid="{00000000-0006-0000-0900-00008E000000}">
      <text>
        <r>
          <rPr>
            <sz val="11"/>
            <color rgb="FF000000"/>
            <rFont val="Arial"/>
            <scheme val="minor"/>
          </rPr>
          <t>10/11/2026</t>
        </r>
      </text>
    </comment>
    <comment ref="K60" authorId="0" shapeId="0" xr:uid="{00000000-0006-0000-0900-00008F000000}">
      <text>
        <r>
          <rPr>
            <sz val="11"/>
            <color rgb="FF000000"/>
            <rFont val="Arial"/>
            <scheme val="minor"/>
          </rPr>
          <t>11/11/2026</t>
        </r>
      </text>
    </comment>
    <comment ref="L60" authorId="0" shapeId="0" xr:uid="{00000000-0006-0000-0900-000090000000}">
      <text>
        <r>
          <rPr>
            <sz val="11"/>
            <color rgb="FF000000"/>
            <rFont val="Arial"/>
            <scheme val="minor"/>
          </rPr>
          <t>12/11/2026</t>
        </r>
      </text>
    </comment>
    <comment ref="M60" authorId="0" shapeId="0" xr:uid="{00000000-0006-0000-0900-000091000000}">
      <text>
        <r>
          <rPr>
            <sz val="11"/>
            <color rgb="FF000000"/>
            <rFont val="Arial"/>
            <scheme val="minor"/>
          </rPr>
          <t>13/11/2026</t>
        </r>
      </text>
    </comment>
    <comment ref="N60" authorId="0" shapeId="0" xr:uid="{00000000-0006-0000-0900-000092000000}">
      <text>
        <r>
          <rPr>
            <sz val="11"/>
            <color rgb="FF000000"/>
            <rFont val="Arial"/>
            <scheme val="minor"/>
          </rPr>
          <t>14/11/2026</t>
        </r>
      </text>
    </comment>
    <comment ref="O60" authorId="0" shapeId="0" xr:uid="{00000000-0006-0000-0900-000093000000}">
      <text>
        <r>
          <rPr>
            <sz val="11"/>
            <color rgb="FF000000"/>
            <rFont val="Arial"/>
            <scheme val="minor"/>
          </rPr>
          <t>15/11/2026</t>
        </r>
      </text>
    </comment>
    <comment ref="Q60" authorId="0" shapeId="0" xr:uid="{00000000-0006-0000-0900-000095000000}">
      <text>
        <r>
          <rPr>
            <sz val="11"/>
            <color rgb="FF000000"/>
            <rFont val="Arial"/>
            <scheme val="minor"/>
          </rPr>
          <t>14/12/2026</t>
        </r>
      </text>
    </comment>
    <comment ref="R60" authorId="0" shapeId="0" xr:uid="{00000000-0006-0000-0900-000097000000}">
      <text>
        <r>
          <rPr>
            <sz val="11"/>
            <color rgb="FF000000"/>
            <rFont val="Arial"/>
            <scheme val="minor"/>
          </rPr>
          <t>15/12/2026</t>
        </r>
      </text>
    </comment>
    <comment ref="S60" authorId="0" shapeId="0" xr:uid="{00000000-0006-0000-0900-000099000000}">
      <text>
        <r>
          <rPr>
            <sz val="11"/>
            <color rgb="FF000000"/>
            <rFont val="Arial"/>
            <scheme val="minor"/>
          </rPr>
          <t>16/12/2026</t>
        </r>
      </text>
    </comment>
    <comment ref="T60" authorId="0" shapeId="0" xr:uid="{00000000-0006-0000-0900-00009B000000}">
      <text>
        <r>
          <rPr>
            <sz val="11"/>
            <color rgb="FF000000"/>
            <rFont val="Arial"/>
            <scheme val="minor"/>
          </rPr>
          <t>17/12/2026</t>
        </r>
      </text>
    </comment>
    <comment ref="U60" authorId="0" shapeId="0" xr:uid="{00000000-0006-0000-0900-00009D000000}">
      <text>
        <r>
          <rPr>
            <sz val="11"/>
            <color rgb="FF000000"/>
            <rFont val="Arial"/>
            <scheme val="minor"/>
          </rPr>
          <t>18/12/2026</t>
        </r>
      </text>
    </comment>
    <comment ref="V60" authorId="0" shapeId="0" xr:uid="{00000000-0006-0000-0900-00009F000000}">
      <text>
        <r>
          <rPr>
            <sz val="11"/>
            <color rgb="FF000000"/>
            <rFont val="Arial"/>
            <scheme val="minor"/>
          </rPr>
          <t>19/12/2026</t>
        </r>
      </text>
    </comment>
    <comment ref="W60" authorId="0" shapeId="0" xr:uid="{00000000-0006-0000-0900-0000A1000000}">
      <text>
        <r>
          <rPr>
            <sz val="11"/>
            <color rgb="FF000000"/>
            <rFont val="Arial"/>
            <scheme val="minor"/>
          </rPr>
          <t>20/12/2026</t>
        </r>
      </text>
    </comment>
    <comment ref="A62" authorId="0" shapeId="0" xr:uid="{00000000-0006-0000-0900-0000D3000000}">
      <text>
        <r>
          <rPr>
            <sz val="11"/>
            <color rgb="FF000000"/>
            <rFont val="Arial"/>
            <scheme val="minor"/>
          </rPr>
          <t>19/10/2026</t>
        </r>
      </text>
    </comment>
    <comment ref="B62" authorId="0" shapeId="0" xr:uid="{00000000-0006-0000-0900-0000D4000000}">
      <text>
        <r>
          <rPr>
            <sz val="11"/>
            <color rgb="FF000000"/>
            <rFont val="Arial"/>
            <scheme val="minor"/>
          </rPr>
          <t>20/10/2026</t>
        </r>
      </text>
    </comment>
    <comment ref="C62" authorId="0" shapeId="0" xr:uid="{00000000-0006-0000-0900-0000D6000000}">
      <text>
        <r>
          <rPr>
            <sz val="11"/>
            <color rgb="FF000000"/>
            <rFont val="Arial"/>
            <scheme val="minor"/>
          </rPr>
          <t>21/10/2026</t>
        </r>
      </text>
    </comment>
    <comment ref="D62" authorId="0" shapeId="0" xr:uid="{00000000-0006-0000-0900-0000D8000000}">
      <text>
        <r>
          <rPr>
            <sz val="11"/>
            <color rgb="FF000000"/>
            <rFont val="Arial"/>
            <scheme val="minor"/>
          </rPr>
          <t>22/10/2026</t>
        </r>
      </text>
    </comment>
    <comment ref="E62" authorId="0" shapeId="0" xr:uid="{00000000-0006-0000-0900-0000DA000000}">
      <text>
        <r>
          <rPr>
            <sz val="11"/>
            <color rgb="FF000000"/>
            <rFont val="Arial"/>
            <scheme val="minor"/>
          </rPr>
          <t>23/10/2026</t>
        </r>
      </text>
    </comment>
    <comment ref="F62" authorId="0" shapeId="0" xr:uid="{00000000-0006-0000-0900-0000DC000000}">
      <text>
        <r>
          <rPr>
            <sz val="11"/>
            <color rgb="FF000000"/>
            <rFont val="Arial"/>
            <scheme val="minor"/>
          </rPr>
          <t>24/10/2026</t>
        </r>
      </text>
    </comment>
    <comment ref="G62" authorId="0" shapeId="0" xr:uid="{00000000-0006-0000-0900-0000DE000000}">
      <text>
        <r>
          <rPr>
            <sz val="11"/>
            <color rgb="FF000000"/>
            <rFont val="Arial"/>
            <scheme val="minor"/>
          </rPr>
          <t>25/10/2026</t>
        </r>
      </text>
    </comment>
    <comment ref="I62" authorId="0" shapeId="0" xr:uid="{00000000-0006-0000-0900-0000E1000000}">
      <text>
        <r>
          <rPr>
            <sz val="11"/>
            <color rgb="FF000000"/>
            <rFont val="Arial"/>
            <scheme val="minor"/>
          </rPr>
          <t>16/11/2026</t>
        </r>
      </text>
    </comment>
    <comment ref="J62" authorId="0" shapeId="0" xr:uid="{00000000-0006-0000-0900-0000E2000000}">
      <text>
        <r>
          <rPr>
            <sz val="11"/>
            <color rgb="FF000000"/>
            <rFont val="Arial"/>
            <scheme val="minor"/>
          </rPr>
          <t>17/11/2026</t>
        </r>
      </text>
    </comment>
    <comment ref="K62" authorId="0" shapeId="0" xr:uid="{00000000-0006-0000-0900-0000E3000000}">
      <text>
        <r>
          <rPr>
            <sz val="11"/>
            <color rgb="FF000000"/>
            <rFont val="Arial"/>
            <scheme val="minor"/>
          </rPr>
          <t>18/11/2026</t>
        </r>
      </text>
    </comment>
    <comment ref="L62" authorId="0" shapeId="0" xr:uid="{00000000-0006-0000-0900-0000E4000000}">
      <text>
        <r>
          <rPr>
            <sz val="11"/>
            <color rgb="FF000000"/>
            <rFont val="Arial"/>
            <scheme val="minor"/>
          </rPr>
          <t>19/11/2026</t>
        </r>
      </text>
    </comment>
    <comment ref="M62" authorId="0" shapeId="0" xr:uid="{00000000-0006-0000-0900-0000E5000000}">
      <text>
        <r>
          <rPr>
            <sz val="11"/>
            <color rgb="FF000000"/>
            <rFont val="Arial"/>
            <scheme val="minor"/>
          </rPr>
          <t>20/11/2026</t>
        </r>
      </text>
    </comment>
    <comment ref="N62" authorId="0" shapeId="0" xr:uid="{00000000-0006-0000-0900-0000E6000000}">
      <text>
        <r>
          <rPr>
            <sz val="11"/>
            <color rgb="FF000000"/>
            <rFont val="Arial"/>
            <scheme val="minor"/>
          </rPr>
          <t>21/11/2026</t>
        </r>
      </text>
    </comment>
    <comment ref="O62" authorId="0" shapeId="0" xr:uid="{00000000-0006-0000-0900-0000E7000000}">
      <text>
        <r>
          <rPr>
            <sz val="11"/>
            <color rgb="FF000000"/>
            <rFont val="Arial"/>
            <scheme val="minor"/>
          </rPr>
          <t>22/11/2026</t>
        </r>
      </text>
    </comment>
    <comment ref="Q62" authorId="0" shapeId="0" xr:uid="{00000000-0006-0000-0900-0000E9000000}">
      <text>
        <r>
          <rPr>
            <sz val="11"/>
            <color rgb="FF000000"/>
            <rFont val="Arial"/>
            <scheme val="minor"/>
          </rPr>
          <t>21/12/2026</t>
        </r>
      </text>
    </comment>
    <comment ref="R62" authorId="0" shapeId="0" xr:uid="{00000000-0006-0000-0900-0000EB000000}">
      <text>
        <r>
          <rPr>
            <sz val="11"/>
            <color rgb="FF000000"/>
            <rFont val="Arial"/>
            <scheme val="minor"/>
          </rPr>
          <t>22/12/2026</t>
        </r>
      </text>
    </comment>
    <comment ref="S62" authorId="0" shapeId="0" xr:uid="{00000000-0006-0000-0900-0000ED000000}">
      <text>
        <r>
          <rPr>
            <sz val="11"/>
            <color rgb="FF000000"/>
            <rFont val="Arial"/>
            <scheme val="minor"/>
          </rPr>
          <t>23/12/2026</t>
        </r>
      </text>
    </comment>
    <comment ref="T62" authorId="0" shapeId="0" xr:uid="{00000000-0006-0000-0900-0000EF000000}">
      <text>
        <r>
          <rPr>
            <sz val="11"/>
            <color rgb="FF000000"/>
            <rFont val="Arial"/>
            <scheme val="minor"/>
          </rPr>
          <t>24/12/2026</t>
        </r>
      </text>
    </comment>
    <comment ref="U62" authorId="0" shapeId="0" xr:uid="{00000000-0006-0000-0900-0000F1000000}">
      <text>
        <r>
          <rPr>
            <sz val="11"/>
            <color rgb="FF000000"/>
            <rFont val="Arial"/>
            <scheme val="minor"/>
          </rPr>
          <t>25/12/2026</t>
        </r>
      </text>
    </comment>
    <comment ref="V62" authorId="0" shapeId="0" xr:uid="{00000000-0006-0000-0900-0000F3000000}">
      <text>
        <r>
          <rPr>
            <sz val="11"/>
            <color rgb="FF000000"/>
            <rFont val="Arial"/>
            <scheme val="minor"/>
          </rPr>
          <t>26/12/2026</t>
        </r>
      </text>
    </comment>
    <comment ref="W62" authorId="0" shapeId="0" xr:uid="{00000000-0006-0000-0900-0000F5000000}">
      <text>
        <r>
          <rPr>
            <sz val="11"/>
            <color rgb="FF000000"/>
            <rFont val="Arial"/>
            <scheme val="minor"/>
          </rPr>
          <t>27/12/2026</t>
        </r>
      </text>
    </comment>
    <comment ref="A64" authorId="0" shapeId="0" xr:uid="{00000000-0006-0000-0900-000027010000}">
      <text>
        <r>
          <rPr>
            <sz val="11"/>
            <color rgb="FF000000"/>
            <rFont val="Arial"/>
            <scheme val="minor"/>
          </rPr>
          <t>26/10/2026</t>
        </r>
      </text>
    </comment>
    <comment ref="B64" authorId="0" shapeId="0" xr:uid="{00000000-0006-0000-0900-000028010000}">
      <text>
        <r>
          <rPr>
            <sz val="11"/>
            <color rgb="FF000000"/>
            <rFont val="Arial"/>
            <scheme val="minor"/>
          </rPr>
          <t>27/10/2026</t>
        </r>
      </text>
    </comment>
    <comment ref="C64" authorId="0" shapeId="0" xr:uid="{00000000-0006-0000-0900-00002A010000}">
      <text>
        <r>
          <rPr>
            <sz val="11"/>
            <color rgb="FF000000"/>
            <rFont val="Arial"/>
            <scheme val="minor"/>
          </rPr>
          <t>28/10/2026</t>
        </r>
      </text>
    </comment>
    <comment ref="D64" authorId="0" shapeId="0" xr:uid="{00000000-0006-0000-0900-00002C010000}">
      <text>
        <r>
          <rPr>
            <sz val="11"/>
            <color rgb="FF000000"/>
            <rFont val="Arial"/>
            <scheme val="minor"/>
          </rPr>
          <t>29/10/2026</t>
        </r>
      </text>
    </comment>
    <comment ref="E64" authorId="0" shapeId="0" xr:uid="{00000000-0006-0000-0900-00002E010000}">
      <text>
        <r>
          <rPr>
            <sz val="11"/>
            <color rgb="FF000000"/>
            <rFont val="Arial"/>
            <scheme val="minor"/>
          </rPr>
          <t>30/10/2026</t>
        </r>
      </text>
    </comment>
    <comment ref="F64" authorId="0" shapeId="0" xr:uid="{00000000-0006-0000-0900-000030010000}">
      <text>
        <r>
          <rPr>
            <sz val="11"/>
            <color rgb="FF000000"/>
            <rFont val="Arial"/>
            <scheme val="minor"/>
          </rPr>
          <t>31/10/2026</t>
        </r>
      </text>
    </comment>
    <comment ref="I64" authorId="0" shapeId="0" xr:uid="{00000000-0006-0000-0900-000034010000}">
      <text>
        <r>
          <rPr>
            <sz val="11"/>
            <color rgb="FF000000"/>
            <rFont val="Arial"/>
            <scheme val="minor"/>
          </rPr>
          <t>23/11/2026</t>
        </r>
      </text>
    </comment>
    <comment ref="J64" authorId="0" shapeId="0" xr:uid="{00000000-0006-0000-0900-000035010000}">
      <text>
        <r>
          <rPr>
            <sz val="11"/>
            <color rgb="FF000000"/>
            <rFont val="Arial"/>
            <scheme val="minor"/>
          </rPr>
          <t>24/11/2026</t>
        </r>
      </text>
    </comment>
    <comment ref="K64" authorId="0" shapeId="0" xr:uid="{00000000-0006-0000-0900-000036010000}">
      <text>
        <r>
          <rPr>
            <sz val="11"/>
            <color rgb="FF000000"/>
            <rFont val="Arial"/>
            <scheme val="minor"/>
          </rPr>
          <t>25/11/2026</t>
        </r>
      </text>
    </comment>
    <comment ref="L64" authorId="0" shapeId="0" xr:uid="{00000000-0006-0000-0900-000037010000}">
      <text>
        <r>
          <rPr>
            <sz val="11"/>
            <color rgb="FF000000"/>
            <rFont val="Arial"/>
            <scheme val="minor"/>
          </rPr>
          <t>26/11/2026</t>
        </r>
      </text>
    </comment>
    <comment ref="M64" authorId="0" shapeId="0" xr:uid="{00000000-0006-0000-0900-000038010000}">
      <text>
        <r>
          <rPr>
            <sz val="11"/>
            <color rgb="FF000000"/>
            <rFont val="Arial"/>
            <scheme val="minor"/>
          </rPr>
          <t>27/11/2026</t>
        </r>
      </text>
    </comment>
    <comment ref="N64" authorId="0" shapeId="0" xr:uid="{00000000-0006-0000-0900-000039010000}">
      <text>
        <r>
          <rPr>
            <sz val="11"/>
            <color rgb="FF000000"/>
            <rFont val="Arial"/>
            <scheme val="minor"/>
          </rPr>
          <t>28/11/2026</t>
        </r>
      </text>
    </comment>
    <comment ref="O64" authorId="0" shapeId="0" xr:uid="{00000000-0006-0000-0900-00003A010000}">
      <text>
        <r>
          <rPr>
            <sz val="11"/>
            <color rgb="FF000000"/>
            <rFont val="Arial"/>
            <scheme val="minor"/>
          </rPr>
          <t>29/11/2026</t>
        </r>
      </text>
    </comment>
    <comment ref="Q64" authorId="0" shapeId="0" xr:uid="{00000000-0006-0000-0900-00003C010000}">
      <text>
        <r>
          <rPr>
            <sz val="11"/>
            <color rgb="FF000000"/>
            <rFont val="Arial"/>
            <scheme val="minor"/>
          </rPr>
          <t>28/12/2026</t>
        </r>
      </text>
    </comment>
    <comment ref="R64" authorId="0" shapeId="0" xr:uid="{00000000-0006-0000-0900-00003E010000}">
      <text>
        <r>
          <rPr>
            <sz val="11"/>
            <color rgb="FF000000"/>
            <rFont val="Arial"/>
            <scheme val="minor"/>
          </rPr>
          <t>29/12/2026</t>
        </r>
      </text>
    </comment>
    <comment ref="S64" authorId="0" shapeId="0" xr:uid="{00000000-0006-0000-0900-000040010000}">
      <text>
        <r>
          <rPr>
            <sz val="11"/>
            <color rgb="FF000000"/>
            <rFont val="Arial"/>
            <scheme val="minor"/>
          </rPr>
          <t>30/12/2026</t>
        </r>
      </text>
    </comment>
    <comment ref="T64" authorId="0" shapeId="0" xr:uid="{00000000-0006-0000-0900-000042010000}">
      <text>
        <r>
          <rPr>
            <sz val="11"/>
            <color rgb="FF000000"/>
            <rFont val="Arial"/>
            <scheme val="minor"/>
          </rPr>
          <t>31/12/2026</t>
        </r>
      </text>
    </comment>
    <comment ref="I66" authorId="0" shapeId="0" xr:uid="{00000000-0006-0000-0900-00006F010000}">
      <text>
        <r>
          <rPr>
            <sz val="11"/>
            <color rgb="FF000000"/>
            <rFont val="Arial"/>
            <scheme val="minor"/>
          </rPr>
          <t>30/11/2026</t>
        </r>
      </text>
    </comment>
  </commentList>
</comments>
</file>

<file path=xl/sharedStrings.xml><?xml version="1.0" encoding="utf-8"?>
<sst xmlns="http://schemas.openxmlformats.org/spreadsheetml/2006/main" count="412" uniqueCount="209">
  <si>
    <t>DIARIO · 2026</t>
  </si>
  <si>
    <t>Introduce el valor total de la cartera en amarillo.</t>
  </si>
  <si>
    <t>Movimientos de dinero → pestaña Movimientos.</t>
  </si>
  <si>
    <t>Verde: cierre histórico. Gris: fin de semana.</t>
  </si>
  <si>
    <t>Fecha</t>
  </si>
  <si>
    <t>Valor €</t>
  </si>
  <si>
    <t>Estado</t>
  </si>
  <si>
    <t>Activo</t>
  </si>
  <si>
    <t>Importe (€)</t>
  </si>
  <si>
    <t>Peso %</t>
  </si>
  <si>
    <t>Cartera por posiciones</t>
  </si>
  <si>
    <t>Último valor del diario</t>
  </si>
  <si>
    <t>Capital neto desde la base</t>
  </si>
  <si>
    <t>Bitcoin</t>
  </si>
  <si>
    <t>TOTAL</t>
  </si>
  <si>
    <t>Último registro</t>
  </si>
  <si>
    <t>2025</t>
  </si>
  <si>
    <t>Ganancia desde la base</t>
  </si>
  <si>
    <t>Mes abierto (provisional)</t>
  </si>
  <si>
    <t>Último mes en estadísticas</t>
  </si>
  <si>
    <t>Meses completos</t>
  </si>
  <si>
    <t>Mes</t>
  </si>
  <si>
    <t>Valor Total</t>
  </si>
  <si>
    <t>Capital Inicial</t>
  </si>
  <si>
    <t>Capital Aportado</t>
  </si>
  <si>
    <t>Plusvalías</t>
  </si>
  <si>
    <t>Control de datos</t>
  </si>
  <si>
    <t>% mes / simple YTD</t>
  </si>
  <si>
    <t>TWR acumulado</t>
  </si>
  <si>
    <t>Periodo</t>
  </si>
  <si>
    <t>Capital invertido estimado</t>
  </si>
  <si>
    <t>Plusvalía estimada</t>
  </si>
  <si>
    <t>Capital invertido</t>
  </si>
  <si>
    <t>Plusvalías acumuladas</t>
  </si>
  <si>
    <t>Feb</t>
  </si>
  <si>
    <t>ESTADÍSTICAS · MESES COMPLETOS</t>
  </si>
  <si>
    <t>Sortino</t>
  </si>
  <si>
    <t>Sharpe</t>
  </si>
  <si>
    <t>Beta vs MSCI World</t>
  </si>
  <si>
    <t>Tracking error anual</t>
  </si>
  <si>
    <t>Information ratio</t>
  </si>
  <si>
    <t>Treynor</t>
  </si>
  <si>
    <t>Alpha anual</t>
  </si>
  <si>
    <t>Rentabilidad anualizada</t>
  </si>
  <si>
    <t>Volatilidad anualizada</t>
  </si>
  <si>
    <t>Máximo drawdown mensual</t>
  </si>
  <si>
    <t>Correlación</t>
  </si>
  <si>
    <t>Objetivo anual de Sortino</t>
  </si>
  <si>
    <t>Meses por debajo del objetivo</t>
  </si>
  <si>
    <t>Proporción bajo objetivo</t>
  </si>
  <si>
    <t>Muestra corta: los ratios pueden variar mucho.</t>
  </si>
  <si>
    <t>AHORRO Y GANANCIA · DESDE FEB 2025</t>
  </si>
  <si>
    <t>Mar</t>
  </si>
  <si>
    <t>MOVIMIENTOS</t>
  </si>
  <si>
    <t>Fecha real o mes AAAA-MM; ingresos +, retiradas −.</t>
  </si>
  <si>
    <t>Histórico mensual: sustituye el total al detallar sus fechas.</t>
  </si>
  <si>
    <t>Fecha / mes</t>
  </si>
  <si>
    <t>Importe €</t>
  </si>
  <si>
    <t>Concepto</t>
  </si>
  <si>
    <t>Fecha contable</t>
  </si>
  <si>
    <t>Fecha exacta</t>
  </si>
  <si>
    <t>Abr</t>
  </si>
  <si>
    <t>May</t>
  </si>
  <si>
    <t>Jun</t>
  </si>
  <si>
    <t>Jul</t>
  </si>
  <si>
    <t>Año</t>
  </si>
  <si>
    <t>Rentabilidad Cartera (%)</t>
  </si>
  <si>
    <t>Rentabilidad MSCI World (%)</t>
  </si>
  <si>
    <t>Cartera Acum (%)</t>
  </si>
  <si>
    <t>MSCI Acum (%)</t>
  </si>
  <si>
    <t>Ago</t>
  </si>
  <si>
    <t>Sep</t>
  </si>
  <si>
    <t>Oct</t>
  </si>
  <si>
    <t>Nov</t>
  </si>
  <si>
    <t>Dic</t>
  </si>
  <si>
    <t>YTD 2025</t>
  </si>
  <si>
    <t>Volatilidad mensual</t>
  </si>
  <si>
    <t>Ene</t>
  </si>
  <si>
    <t>2026</t>
  </si>
  <si>
    <t>OBJETIVOS Y APORTACIONES</t>
  </si>
  <si>
    <t>Referencia inicial = pesos actuales; edita tus objetivos.</t>
  </si>
  <si>
    <t>Próxima aportación €</t>
  </si>
  <si>
    <t>Reparto proporcional al déficit, sin vender posiciones.</t>
  </si>
  <si>
    <t/>
  </si>
  <si>
    <t>Actual</t>
  </si>
  <si>
    <t>Objetivo</t>
  </si>
  <si>
    <t>Cambia el importe de C3 para simular una aportación.</t>
  </si>
  <si>
    <t>Falta €</t>
  </si>
  <si>
    <t>Aportar €</t>
  </si>
  <si>
    <t>Reparto teórico: los importes se muestran redondeados.</t>
  </si>
  <si>
    <t>ESTADÍSTICAS AVANZADAS</t>
  </si>
  <si>
    <t>CONTROL DE DATOS</t>
  </si>
  <si>
    <t>Avisos automáticos; revisa los marcados REVISAR.</t>
  </si>
  <si>
    <t>Rentabilidades mensuales · solo meses completos</t>
  </si>
  <si>
    <t>Pesos de cartera</t>
  </si>
  <si>
    <t>€STR anual / objetivo Sortino</t>
  </si>
  <si>
    <t>Meses analizados</t>
  </si>
  <si>
    <t>RENTABILIDAD Y RIESGO</t>
  </si>
  <si>
    <t>Total de cartera</t>
  </si>
  <si>
    <t>Mejor mes</t>
  </si>
  <si>
    <t>Objetivos suman 100 %</t>
  </si>
  <si>
    <t>RENTABILIDAD AJUSTADA AL RIESGO</t>
  </si>
  <si>
    <t>Cuadre mensual</t>
  </si>
  <si>
    <t>Falta MSCI en mes cerrado</t>
  </si>
  <si>
    <t>YTD 2026</t>
  </si>
  <si>
    <t>COMPARACIÓN CON MSCI WORLD</t>
  </si>
  <si>
    <t>Meses cerrados sin cartera</t>
  </si>
  <si>
    <t>Beta</t>
  </si>
  <si>
    <t>Alpha de Jensen anual</t>
  </si>
  <si>
    <t>Movimientos incompletos</t>
  </si>
  <si>
    <t>Volatilidad híbrida</t>
  </si>
  <si>
    <t>CONTEXTO DEL SORTINO</t>
  </si>
  <si>
    <t>Posibles duplicados</t>
  </si>
  <si>
    <t>Objetivo mensual</t>
  </si>
  <si>
    <t>2027</t>
  </si>
  <si>
    <t>Meses bajo objetivo</t>
  </si>
  <si>
    <t>Históricos sin fecha utilizable</t>
  </si>
  <si>
    <t>Cartera − último diario €</t>
  </si>
  <si>
    <t>El drawdown utiliza cierres mensuales.</t>
  </si>
  <si>
    <t>La diferencia puede deberse a fechas de actualización.</t>
  </si>
  <si>
    <t>€STR constante; no reproduce su evolución histórica.</t>
  </si>
  <si>
    <t>Estado general</t>
  </si>
  <si>
    <t>EVOLUCIÓN FRENTE AL BENCHMARK</t>
  </si>
  <si>
    <t>Supuestos</t>
  </si>
  <si>
    <t>Mensual: flujos al final del mes.</t>
  </si>
  <si>
    <t>Diario: días naturales consecutivos; fechas exactas o inferidas identificadas.</t>
  </si>
  <si>
    <t>€STR constante editable; no es una serie histórica.</t>
  </si>
  <si>
    <t>Ganancia acumulada desde la base de febrero de 2025.</t>
  </si>
  <si>
    <t>Comparativa vs Evolución</t>
  </si>
  <si>
    <t>Meses con total y detalle</t>
  </si>
  <si>
    <t>ESTADÍSTICAS AVANZADAS · PORTFOLIO</t>
  </si>
  <si>
    <t>€STR anual (tasa libre de riesgo)</t>
  </si>
  <si>
    <t>Fecha diaria más reciente</t>
  </si>
  <si>
    <t>Objetivo Sortino</t>
  </si>
  <si>
    <t>Datos diarios con fecha futura</t>
  </si>
  <si>
    <t>Patrimonio</t>
  </si>
  <si>
    <t>Capital neto</t>
  </si>
  <si>
    <t>Ganancia</t>
  </si>
  <si>
    <t>Retorno</t>
  </si>
  <si>
    <t>MSCI</t>
  </si>
  <si>
    <t>Coherencia</t>
  </si>
  <si>
    <t>Inicial</t>
  </si>
  <si>
    <t>Flujo neto</t>
  </si>
  <si>
    <t>Plusvalía mes</t>
  </si>
  <si>
    <t>Retornos mensuales en decimales, solo meses completos desde marzo de 2025. Febrero es la base. €STR constante de C3, convertido a mensual como C3/12. Ratios anualizados; drawdown entre cierres mensuales.</t>
  </si>
  <si>
    <t>Ratio Sharpe</t>
  </si>
  <si>
    <t>Ratio Sortino</t>
  </si>
  <si>
    <t>Máximo drawdown</t>
  </si>
  <si>
    <t>Ratio Treynor</t>
  </si>
  <si>
    <t>DETALLE DE CÁLCULO · RENTABILIDADES MENSUALES</t>
  </si>
  <si>
    <t>YTD 2027</t>
  </si>
  <si>
    <t>Volatilidad</t>
  </si>
  <si>
    <t>CALENDARIO DEL PORTFOLIO · 2026</t>
  </si>
  <si>
    <t>Vista anual de consulta. Introduce los valores en Diario y las aportaciones o retiradas en Movimientos. Amarillo: valores diarios · Verde: cierres históricos.</t>
  </si>
  <si>
    <t>VOLATILIDAD DIARIA</t>
  </si>
  <si>
    <t>MÉTODO ACTIVO</t>
  </si>
  <si>
    <t>OBSERVACIONES DIARIAS</t>
  </si>
  <si>
    <t>ÚLTIMO DATO</t>
  </si>
  <si>
    <t>LEYENDA · Verde: cierre mensual/base · Amarillo: entrada diaria · Gris: fin de semana</t>
  </si>
  <si>
    <t>ENERO</t>
  </si>
  <si>
    <t>FEBRERO</t>
  </si>
  <si>
    <t>MARZO</t>
  </si>
  <si>
    <t>L</t>
  </si>
  <si>
    <t>M</t>
  </si>
  <si>
    <t>X</t>
  </si>
  <si>
    <t>J</t>
  </si>
  <si>
    <t>V</t>
  </si>
  <si>
    <t>S</t>
  </si>
  <si>
    <t>D</t>
  </si>
  <si>
    <t>ABRIL</t>
  </si>
  <si>
    <t>MAYO</t>
  </si>
  <si>
    <t>JUNIO</t>
  </si>
  <si>
    <t>Valor portfolio</t>
  </si>
  <si>
    <t>Retorno diario (%)</t>
  </si>
  <si>
    <t>Tipo de dato</t>
  </si>
  <si>
    <t>JULIO</t>
  </si>
  <si>
    <t>AGOSTO</t>
  </si>
  <si>
    <t>SEPTIEMBRE</t>
  </si>
  <si>
    <t>Fecha 2025</t>
  </si>
  <si>
    <t>Fecha 2026</t>
  </si>
  <si>
    <t>Fecha comparativa</t>
  </si>
  <si>
    <t>OCTUBRE</t>
  </si>
  <si>
    <t>NOVIEMBRE</t>
  </si>
  <si>
    <t>DICIEMBRE</t>
  </si>
  <si>
    <t>MOVIMIENTOS → REGISTRO ÚNICO</t>
  </si>
  <si>
    <t>Usa Movimientos: cada entrada se registra una sola vez.</t>
  </si>
  <si>
    <t>ETF Global Desarrollado</t>
  </si>
  <si>
    <t>ETF Mercados Emergentes</t>
  </si>
  <si>
    <t>Fondo Asia Pacífico</t>
  </si>
  <si>
    <t>Fondo Value Global</t>
  </si>
  <si>
    <t>Fondo Internacional A</t>
  </si>
  <si>
    <t>Fondo Internacional B</t>
  </si>
  <si>
    <t>Fondo Crédito Flexible</t>
  </si>
  <si>
    <t>Fondo Mixto Defensivo</t>
  </si>
  <si>
    <t>Fondo Retorno Absoluto</t>
  </si>
  <si>
    <t>Cuenta de efectivo</t>
  </si>
  <si>
    <t>Acción tecnológica</t>
  </si>
  <si>
    <t>Acción industrial</t>
  </si>
  <si>
    <t>Acción de infraestructuras</t>
  </si>
  <si>
    <t>Fondo de tipo flotante</t>
  </si>
  <si>
    <t>Aportación demo</t>
  </si>
  <si>
    <t>Retirada demo</t>
  </si>
  <si>
    <t>MI CARTERA · DEMO</t>
  </si>
  <si>
    <t>Datos ficticios de ejemplo · importes en euros</t>
  </si>
  <si>
    <t>Registra el valor de hoy en Diario</t>
  </si>
  <si>
    <t>Añade aportaciones o retiradas en Movimientos</t>
  </si>
  <si>
    <t>Ajusta pesos y próxima aportación en Objetivos</t>
  </si>
  <si>
    <t>Revisa la calidad de los datos en Control</t>
  </si>
  <si>
    <t>Datos ficticios: una sola entrada por movimiento.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</si>
</sst>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ddd\ dd/mm"/>
    <numFmt numFmtId="165" formatCode="#,##0&quot; €&quot;"/>
    <numFmt numFmtId="166" formatCode="#,##0\ \€"/>
    <numFmt numFmtId="167" formatCode="0.00&quot;%&quot;"/>
    <numFmt numFmtId="168" formatCode="dd/mm/yy"/>
    <numFmt numFmtId="169" formatCode="#,##0.00&quot; €&quot;;\-#,##0.00&quot; €&quot;"/>
    <numFmt numFmtId="170" formatCode="#,##0.00&quot; €&quot;"/>
    <numFmt numFmtId="171" formatCode="0.0%"/>
    <numFmt numFmtId="172" formatCode="mmm\ yy"/>
    <numFmt numFmtId="173" formatCode="0.0000"/>
    <numFmt numFmtId="174" formatCode="0.0000&quot;%&quot;"/>
  </numFmts>
  <fonts count="36" x14ac:knownFonts="1">
    <font>
      <sz val="11"/>
      <color rgb="FF000000"/>
      <name val="Arial"/>
      <scheme val="minor"/>
    </font>
    <font>
      <b/>
      <sz val="13"/>
      <color rgb="FF343B55"/>
      <name val="Arial"/>
    </font>
    <font>
      <sz val="13"/>
      <color rgb="FF343B55"/>
      <name val="Arial"/>
    </font>
    <font>
      <sz val="11"/>
      <color rgb="FF000000"/>
      <name val="Arial"/>
    </font>
    <font>
      <sz val="13"/>
      <color rgb="FF303A3D"/>
      <name val="Arial"/>
    </font>
    <font>
      <sz val="11"/>
      <name val="Arial"/>
    </font>
    <font>
      <b/>
      <sz val="11"/>
      <color rgb="FF303A3D"/>
      <name val="Arial"/>
    </font>
    <font>
      <sz val="11"/>
      <color rgb="FF303A3D"/>
      <name val="Arial"/>
    </font>
    <font>
      <sz val="11"/>
      <color rgb="FF303A3D"/>
      <name val="Arial"/>
    </font>
    <font>
      <b/>
      <sz val="11"/>
      <color rgb="FF343B55"/>
      <name val="Arial"/>
    </font>
    <font>
      <sz val="11"/>
      <color rgb="FF343B55"/>
      <name val="Arial"/>
    </font>
    <font>
      <sz val="12"/>
      <color rgb="FF343B55"/>
      <name val="Arial"/>
    </font>
    <font>
      <b/>
      <u/>
      <sz val="13"/>
      <color rgb="FF343B55"/>
      <name val="Arial"/>
    </font>
    <font>
      <b/>
      <u/>
      <sz val="13"/>
      <color rgb="FF343B55"/>
      <name val="Arial"/>
    </font>
    <font>
      <b/>
      <u/>
      <sz val="13"/>
      <color rgb="FF343B55"/>
      <name val="Arial"/>
    </font>
    <font>
      <b/>
      <u/>
      <sz val="13"/>
      <color rgb="FF343B55"/>
      <name val="Arial"/>
    </font>
    <font>
      <sz val="11"/>
      <color theme="1"/>
      <name val="Arial"/>
      <scheme val="minor"/>
    </font>
    <font>
      <b/>
      <sz val="11"/>
      <color rgb="FF343B55"/>
      <name val="Arial"/>
    </font>
    <font>
      <sz val="11"/>
      <color rgb="FF343B55"/>
      <name val="Arial"/>
    </font>
    <font>
      <b/>
      <sz val="16"/>
      <color rgb="FF343B55"/>
      <name val="Arial"/>
    </font>
    <font>
      <b/>
      <sz val="11"/>
      <color rgb="FF303A3D"/>
      <name val="Arial"/>
    </font>
    <font>
      <b/>
      <sz val="12"/>
      <color rgb="FF343B55"/>
      <name val="Arial"/>
    </font>
    <font>
      <i/>
      <sz val="10"/>
      <color rgb="FF343B55"/>
      <name val="Arial"/>
    </font>
    <font>
      <b/>
      <sz val="10"/>
      <color rgb="FF343B55"/>
      <name val="Arial"/>
    </font>
    <font>
      <b/>
      <sz val="15"/>
      <color rgb="FF343B55"/>
      <name val="Arial"/>
    </font>
    <font>
      <sz val="9"/>
      <color rgb="FF303A3D"/>
      <name val="Arial"/>
    </font>
    <font>
      <sz val="10"/>
      <color rgb="FF343B55"/>
      <name val="Arial"/>
    </font>
    <font>
      <b/>
      <sz val="9"/>
      <color rgb="FF343B55"/>
      <name val="Arial"/>
    </font>
    <font>
      <b/>
      <sz val="9"/>
      <color rgb="FF303A3D"/>
      <name val="Arial"/>
    </font>
    <font>
      <b/>
      <sz val="8"/>
      <color rgb="FF303A3D"/>
      <name val="Arial"/>
    </font>
    <font>
      <sz val="8"/>
      <color rgb="FF303A3D"/>
      <name val="Arial"/>
    </font>
    <font>
      <b/>
      <sz val="8"/>
      <color rgb="FF343B55"/>
      <name val="Arial"/>
    </font>
    <font>
      <sz val="8"/>
      <color rgb="FF343B55"/>
      <name val="Arial"/>
    </font>
    <font>
      <b/>
      <u/>
      <sz val="9"/>
      <color rgb="FF343B55"/>
      <name val="Arial"/>
    </font>
    <font>
      <sz val="9"/>
      <color rgb="FF343B55"/>
      <name val="Arial"/>
    </font>
    <font>
      <sz val="11"/>
      <color theme="1"/>
      <name val="Arial"/>
    </font>
  </fonts>
  <fills count="18">
    <fill>
      <patternFill patternType="none"/>
    </fill>
    <fill>
      <patternFill patternType="gray125"/>
    </fill>
    <fill>
      <patternFill patternType="solid">
        <fgColor rgb="FFD9D1F0"/>
        <bgColor rgb="FFD9D1F0"/>
      </patternFill>
    </fill>
    <fill>
      <patternFill patternType="solid">
        <fgColor rgb="FFFAFBFF"/>
        <bgColor rgb="FFFAFBFF"/>
      </patternFill>
    </fill>
    <fill>
      <patternFill patternType="solid">
        <fgColor rgb="FFBFDDED"/>
        <bgColor rgb="FFBFDDED"/>
      </patternFill>
    </fill>
    <fill>
      <patternFill patternType="solid">
        <fgColor rgb="FFFFF0BA"/>
        <bgColor rgb="FFFFF0BA"/>
      </patternFill>
    </fill>
    <fill>
      <patternFill patternType="solid">
        <fgColor rgb="FFEDF5FF"/>
        <bgColor rgb="FFEDF5FF"/>
      </patternFill>
    </fill>
    <fill>
      <patternFill patternType="solid">
        <fgColor rgb="FFFFF4CE"/>
        <bgColor rgb="FFFFF4CE"/>
      </patternFill>
    </fill>
    <fill>
      <patternFill patternType="solid">
        <fgColor rgb="FFD4E7FB"/>
        <bgColor rgb="FFD4E7FB"/>
      </patternFill>
    </fill>
    <fill>
      <patternFill patternType="solid">
        <fgColor rgb="FFF9DADD"/>
        <bgColor rgb="FFF9DADD"/>
      </patternFill>
    </fill>
    <fill>
      <patternFill patternType="solid">
        <fgColor rgb="FFD7EFDF"/>
        <bgColor rgb="FFD7EFDF"/>
      </patternFill>
    </fill>
    <fill>
      <patternFill patternType="solid">
        <fgColor rgb="FFE6DCF5"/>
        <bgColor rgb="FFE6DCF5"/>
      </patternFill>
    </fill>
    <fill>
      <patternFill patternType="solid">
        <fgColor rgb="FFF7F8F5"/>
        <bgColor rgb="FFF7F8F5"/>
      </patternFill>
    </fill>
    <fill>
      <patternFill patternType="solid">
        <fgColor rgb="FFE9EEFB"/>
        <bgColor rgb="FFE9EEFB"/>
      </patternFill>
    </fill>
    <fill>
      <patternFill patternType="solid">
        <fgColor rgb="FFD5E9F4"/>
        <bgColor rgb="FFD5E9F4"/>
      </patternFill>
    </fill>
    <fill>
      <patternFill patternType="solid">
        <fgColor rgb="FFF1F3F5"/>
        <bgColor rgb="FFF1F3F5"/>
      </patternFill>
    </fill>
    <fill>
      <patternFill patternType="solid">
        <fgColor rgb="FFFFFFFF"/>
        <bgColor rgb="FFFFFFFF"/>
      </patternFill>
    </fill>
    <fill>
      <patternFill patternType="solid">
        <fgColor rgb="FFCCEBD7"/>
        <bgColor rgb="FFCCEBD7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2EA"/>
      </bottom>
      <diagonal/>
    </border>
    <border>
      <left/>
      <right/>
      <top style="thick">
        <color rgb="FF17365D"/>
      </top>
      <bottom style="medium">
        <color rgb="FF1F4E78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 style="medium">
        <color rgb="FF1F4E78"/>
      </top>
      <bottom style="thin">
        <color rgb="FFD9E2EA"/>
      </bottom>
      <diagonal/>
    </border>
    <border>
      <left/>
      <right/>
      <top style="thin">
        <color rgb="FFD9E2EA"/>
      </top>
      <bottom style="thin">
        <color rgb="FFD9E2EA"/>
      </bottom>
      <diagonal/>
    </border>
    <border>
      <left style="thin">
        <color rgb="FFCAD6E2"/>
      </left>
      <right/>
      <top style="thin">
        <color rgb="FFCAD6E2"/>
      </top>
      <bottom/>
      <diagonal/>
    </border>
    <border>
      <left/>
      <right/>
      <top style="thin">
        <color rgb="FFCAD6E2"/>
      </top>
      <bottom/>
      <diagonal/>
    </border>
    <border>
      <left/>
      <right style="thin">
        <color rgb="FFCAD6E2"/>
      </right>
      <top style="thin">
        <color rgb="FFCAD6E2"/>
      </top>
      <bottom/>
      <diagonal/>
    </border>
    <border>
      <left/>
      <right/>
      <top/>
      <bottom style="thin">
        <color rgb="FFCAD6E2"/>
      </bottom>
      <diagonal/>
    </border>
    <border>
      <left style="thin">
        <color rgb="FFCAD6E2"/>
      </left>
      <right/>
      <top/>
      <bottom/>
      <diagonal/>
    </border>
    <border>
      <left/>
      <right style="thin">
        <color rgb="FFCAD6E2"/>
      </right>
      <top/>
      <bottom/>
      <diagonal/>
    </border>
    <border>
      <left style="thin">
        <color rgb="FFCAD6E2"/>
      </left>
      <right/>
      <top/>
      <bottom style="thin">
        <color rgb="FFCAD6E2"/>
      </bottom>
      <diagonal/>
    </border>
    <border>
      <left/>
      <right style="thin">
        <color rgb="FFCAD6E2"/>
      </right>
      <top/>
      <bottom style="thin">
        <color rgb="FFCAD6E2"/>
      </bottom>
      <diagonal/>
    </border>
    <border>
      <left style="thin">
        <color rgb="FFCAD6E2"/>
      </left>
      <right style="thin">
        <color rgb="FFCAD6E2"/>
      </right>
      <top style="thin">
        <color rgb="FFCAD6E2"/>
      </top>
      <bottom/>
      <diagonal/>
    </border>
    <border>
      <left style="thin">
        <color rgb="FFCAD6E2"/>
      </left>
      <right style="thin">
        <color rgb="FFCAD6E2"/>
      </right>
      <top/>
      <bottom style="thin">
        <color rgb="FFCAD6E2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164" fontId="2" fillId="3" borderId="0" xfId="0" applyNumberFormat="1" applyFont="1" applyFill="1" applyAlignment="1">
      <alignment vertical="center" wrapText="1"/>
    </xf>
    <xf numFmtId="165" fontId="2" fillId="5" borderId="0" xfId="0" applyNumberFormat="1" applyFont="1" applyFill="1" applyAlignment="1">
      <alignment horizontal="righ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5" borderId="2" xfId="0" applyFont="1" applyFill="1" applyBorder="1" applyAlignment="1">
      <alignment horizontal="left" vertical="center" wrapText="1"/>
    </xf>
    <xf numFmtId="166" fontId="2" fillId="5" borderId="2" xfId="0" applyNumberFormat="1" applyFont="1" applyFill="1" applyBorder="1" applyAlignment="1">
      <alignment horizontal="right" vertical="center" wrapText="1"/>
    </xf>
    <xf numFmtId="10" fontId="4" fillId="0" borderId="2" xfId="0" applyNumberFormat="1" applyFont="1" applyBorder="1" applyAlignment="1">
      <alignment horizontal="right"/>
    </xf>
    <xf numFmtId="165" fontId="2" fillId="3" borderId="0" xfId="0" applyNumberFormat="1" applyFont="1" applyFill="1" applyAlignment="1">
      <alignment horizontal="right" vertical="center" wrapText="1"/>
    </xf>
    <xf numFmtId="10" fontId="2" fillId="6" borderId="2" xfId="0" applyNumberFormat="1" applyFont="1" applyFill="1" applyBorder="1" applyAlignment="1">
      <alignment horizontal="right"/>
    </xf>
    <xf numFmtId="0" fontId="1" fillId="4" borderId="3" xfId="0" applyFont="1" applyFill="1" applyBorder="1" applyAlignment="1">
      <alignment horizontal="center" vertical="center"/>
    </xf>
    <xf numFmtId="166" fontId="1" fillId="4" borderId="3" xfId="0" applyNumberFormat="1" applyFont="1" applyFill="1" applyBorder="1" applyAlignment="1">
      <alignment horizontal="center" vertical="center"/>
    </xf>
    <xf numFmtId="14" fontId="2" fillId="3" borderId="0" xfId="0" applyNumberFormat="1" applyFont="1" applyFill="1" applyAlignment="1">
      <alignment horizontal="righ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166" fontId="9" fillId="4" borderId="0" xfId="0" applyNumberFormat="1" applyFont="1" applyFill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" fontId="2" fillId="3" borderId="0" xfId="0" applyNumberFormat="1" applyFont="1" applyFill="1" applyAlignment="1">
      <alignment horizontal="right" vertical="center" wrapText="1"/>
    </xf>
    <xf numFmtId="0" fontId="8" fillId="0" borderId="2" xfId="0" applyFont="1" applyBorder="1" applyAlignment="1">
      <alignment horizontal="left"/>
    </xf>
    <xf numFmtId="166" fontId="10" fillId="5" borderId="2" xfId="0" applyNumberFormat="1" applyFont="1" applyFill="1" applyBorder="1" applyAlignment="1">
      <alignment horizontal="right"/>
    </xf>
    <xf numFmtId="166" fontId="8" fillId="0" borderId="2" xfId="0" applyNumberFormat="1" applyFont="1" applyBorder="1" applyAlignment="1">
      <alignment horizontal="right"/>
    </xf>
    <xf numFmtId="167" fontId="7" fillId="0" borderId="2" xfId="0" applyNumberFormat="1" applyFont="1" applyBorder="1" applyAlignment="1">
      <alignment horizontal="right"/>
    </xf>
    <xf numFmtId="2" fontId="2" fillId="3" borderId="0" xfId="0" applyNumberFormat="1" applyFont="1" applyFill="1" applyAlignment="1">
      <alignment horizontal="right" vertical="center" wrapText="1"/>
    </xf>
    <xf numFmtId="0" fontId="8" fillId="0" borderId="2" xfId="0" applyFont="1" applyBorder="1" applyAlignment="1">
      <alignment horizontal="center" vertical="center"/>
    </xf>
    <xf numFmtId="166" fontId="8" fillId="0" borderId="2" xfId="0" applyNumberFormat="1" applyFont="1" applyBorder="1" applyAlignment="1">
      <alignment horizontal="right" vertical="center"/>
    </xf>
    <xf numFmtId="10" fontId="2" fillId="3" borderId="0" xfId="0" applyNumberFormat="1" applyFont="1" applyFill="1" applyAlignment="1">
      <alignment horizontal="right" vertical="center" wrapText="1"/>
    </xf>
    <xf numFmtId="166" fontId="8" fillId="0" borderId="0" xfId="0" applyNumberFormat="1" applyFont="1"/>
    <xf numFmtId="0" fontId="7" fillId="12" borderId="0" xfId="0" applyFont="1" applyFill="1" applyAlignment="1">
      <alignment vertical="center" wrapText="1"/>
    </xf>
    <xf numFmtId="0" fontId="10" fillId="6" borderId="2" xfId="0" applyFont="1" applyFill="1" applyBorder="1" applyAlignment="1">
      <alignment horizontal="left"/>
    </xf>
    <xf numFmtId="166" fontId="10" fillId="6" borderId="2" xfId="0" applyNumberFormat="1" applyFont="1" applyFill="1" applyBorder="1" applyAlignment="1">
      <alignment horizontal="right"/>
    </xf>
    <xf numFmtId="167" fontId="10" fillId="6" borderId="2" xfId="0" applyNumberFormat="1" applyFont="1" applyFill="1" applyBorder="1" applyAlignment="1">
      <alignment horizontal="right"/>
    </xf>
    <xf numFmtId="0" fontId="16" fillId="0" borderId="0" xfId="0" applyFont="1"/>
    <xf numFmtId="169" fontId="2" fillId="5" borderId="0" xfId="0" applyNumberFormat="1" applyFont="1" applyFill="1" applyAlignment="1">
      <alignment vertical="center" wrapText="1"/>
    </xf>
    <xf numFmtId="0" fontId="10" fillId="6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166" fontId="10" fillId="6" borderId="2" xfId="0" applyNumberFormat="1" applyFont="1" applyFill="1" applyBorder="1" applyAlignment="1">
      <alignment horizontal="right" vertical="center"/>
    </xf>
    <xf numFmtId="167" fontId="8" fillId="0" borderId="2" xfId="0" applyNumberFormat="1" applyFont="1" applyBorder="1" applyAlignment="1">
      <alignment horizontal="right"/>
    </xf>
    <xf numFmtId="168" fontId="2" fillId="5" borderId="0" xfId="0" applyNumberFormat="1" applyFont="1" applyFill="1" applyAlignment="1">
      <alignment vertical="center" wrapText="1"/>
    </xf>
    <xf numFmtId="168" fontId="16" fillId="0" borderId="0" xfId="0" applyNumberFormat="1" applyFont="1"/>
    <xf numFmtId="1" fontId="8" fillId="0" borderId="2" xfId="0" applyNumberFormat="1" applyFont="1" applyBorder="1" applyAlignment="1">
      <alignment horizontal="center" vertical="center"/>
    </xf>
    <xf numFmtId="167" fontId="8" fillId="0" borderId="2" xfId="0" applyNumberFormat="1" applyFont="1" applyBorder="1" applyAlignment="1">
      <alignment horizontal="right" vertical="center"/>
    </xf>
    <xf numFmtId="167" fontId="10" fillId="5" borderId="2" xfId="0" applyNumberFormat="1" applyFont="1" applyFill="1" applyBorder="1" applyAlignment="1">
      <alignment horizontal="right" vertical="center"/>
    </xf>
    <xf numFmtId="1" fontId="10" fillId="6" borderId="2" xfId="0" applyNumberFormat="1" applyFont="1" applyFill="1" applyBorder="1" applyAlignment="1">
      <alignment horizontal="center" vertical="center"/>
    </xf>
    <xf numFmtId="167" fontId="10" fillId="6" borderId="2" xfId="0" applyNumberFormat="1" applyFont="1" applyFill="1" applyBorder="1" applyAlignment="1">
      <alignment horizontal="right" vertical="center"/>
    </xf>
    <xf numFmtId="0" fontId="9" fillId="13" borderId="5" xfId="0" applyFont="1" applyFill="1" applyBorder="1" applyAlignment="1">
      <alignment horizontal="left"/>
    </xf>
    <xf numFmtId="166" fontId="9" fillId="13" borderId="5" xfId="0" applyNumberFormat="1" applyFont="1" applyFill="1" applyBorder="1" applyAlignment="1">
      <alignment horizontal="right"/>
    </xf>
    <xf numFmtId="10" fontId="9" fillId="13" borderId="5" xfId="0" applyNumberFormat="1" applyFont="1" applyFill="1" applyBorder="1" applyAlignment="1">
      <alignment horizontal="right"/>
    </xf>
    <xf numFmtId="167" fontId="9" fillId="13" borderId="5" xfId="0" applyNumberFormat="1" applyFont="1" applyFill="1" applyBorder="1" applyAlignment="1">
      <alignment horizontal="right"/>
    </xf>
    <xf numFmtId="0" fontId="9" fillId="13" borderId="6" xfId="0" applyFont="1" applyFill="1" applyBorder="1" applyAlignment="1">
      <alignment vertical="center"/>
    </xf>
    <xf numFmtId="10" fontId="9" fillId="13" borderId="6" xfId="0" applyNumberFormat="1" applyFont="1" applyFill="1" applyBorder="1" applyAlignment="1">
      <alignment horizontal="right" vertical="center"/>
    </xf>
    <xf numFmtId="1" fontId="10" fillId="14" borderId="5" xfId="0" applyNumberFormat="1" applyFont="1" applyFill="1" applyBorder="1" applyAlignment="1">
      <alignment horizontal="center" vertical="center"/>
    </xf>
    <xf numFmtId="49" fontId="9" fillId="13" borderId="6" xfId="0" applyNumberFormat="1" applyFont="1" applyFill="1" applyBorder="1" applyAlignment="1">
      <alignment horizontal="right"/>
    </xf>
    <xf numFmtId="0" fontId="10" fillId="14" borderId="5" xfId="0" applyFont="1" applyFill="1" applyBorder="1" applyAlignment="1">
      <alignment horizontal="center" vertical="center"/>
    </xf>
    <xf numFmtId="166" fontId="9" fillId="13" borderId="6" xfId="0" applyNumberFormat="1" applyFont="1" applyFill="1" applyBorder="1" applyAlignment="1">
      <alignment horizontal="right"/>
    </xf>
    <xf numFmtId="167" fontId="9" fillId="13" borderId="6" xfId="0" applyNumberFormat="1" applyFont="1" applyFill="1" applyBorder="1" applyAlignment="1">
      <alignment horizontal="right"/>
    </xf>
    <xf numFmtId="167" fontId="10" fillId="14" borderId="5" xfId="0" applyNumberFormat="1" applyFont="1" applyFill="1" applyBorder="1" applyAlignment="1">
      <alignment horizontal="right" vertical="center"/>
    </xf>
    <xf numFmtId="167" fontId="10" fillId="5" borderId="5" xfId="0" applyNumberFormat="1" applyFont="1" applyFill="1" applyBorder="1" applyAlignment="1">
      <alignment horizontal="right" vertical="center"/>
    </xf>
    <xf numFmtId="0" fontId="17" fillId="4" borderId="1" xfId="0" applyFont="1" applyFill="1" applyBorder="1" applyAlignment="1">
      <alignment horizontal="center" vertical="center" wrapText="1"/>
    </xf>
    <xf numFmtId="170" fontId="2" fillId="5" borderId="0" xfId="0" applyNumberFormat="1" applyFont="1" applyFill="1" applyAlignment="1">
      <alignment vertical="center" wrapText="1"/>
    </xf>
    <xf numFmtId="10" fontId="2" fillId="3" borderId="0" xfId="0" applyNumberFormat="1" applyFont="1" applyFill="1" applyAlignment="1">
      <alignment vertical="center" wrapText="1"/>
    </xf>
    <xf numFmtId="10" fontId="2" fillId="5" borderId="0" xfId="0" applyNumberFormat="1" applyFont="1" applyFill="1" applyAlignment="1">
      <alignment vertical="center" wrapText="1"/>
    </xf>
    <xf numFmtId="170" fontId="2" fillId="3" borderId="0" xfId="0" applyNumberFormat="1" applyFont="1" applyFill="1" applyAlignment="1">
      <alignment vertical="center" wrapText="1"/>
    </xf>
    <xf numFmtId="166" fontId="18" fillId="5" borderId="2" xfId="0" applyNumberFormat="1" applyFont="1" applyFill="1" applyBorder="1" applyAlignment="1">
      <alignment horizontal="right"/>
    </xf>
    <xf numFmtId="166" fontId="7" fillId="0" borderId="2" xfId="0" applyNumberFormat="1" applyFont="1" applyBorder="1" applyAlignment="1">
      <alignment horizontal="right"/>
    </xf>
    <xf numFmtId="166" fontId="18" fillId="6" borderId="2" xfId="0" applyNumberFormat="1" applyFont="1" applyFill="1" applyBorder="1" applyAlignment="1">
      <alignment horizontal="right"/>
    </xf>
    <xf numFmtId="0" fontId="19" fillId="3" borderId="0" xfId="0" applyFont="1" applyFill="1" applyAlignment="1">
      <alignment horizontal="center" vertical="center"/>
    </xf>
    <xf numFmtId="0" fontId="8" fillId="3" borderId="0" xfId="0" applyFont="1" applyFill="1"/>
    <xf numFmtId="10" fontId="2" fillId="5" borderId="0" xfId="0" applyNumberFormat="1" applyFont="1" applyFill="1" applyAlignment="1">
      <alignment horizontal="right" vertical="center" wrapText="1"/>
    </xf>
    <xf numFmtId="0" fontId="20" fillId="0" borderId="1" xfId="0" applyFont="1" applyBorder="1" applyAlignment="1">
      <alignment horizontal="center" vertical="center"/>
    </xf>
    <xf numFmtId="10" fontId="8" fillId="0" borderId="0" xfId="0" applyNumberFormat="1" applyFont="1"/>
    <xf numFmtId="14" fontId="2" fillId="3" borderId="0" xfId="0" applyNumberFormat="1" applyFont="1" applyFill="1" applyAlignment="1">
      <alignment vertical="center" wrapText="1"/>
    </xf>
    <xf numFmtId="171" fontId="8" fillId="0" borderId="0" xfId="0" applyNumberFormat="1" applyFont="1"/>
    <xf numFmtId="172" fontId="16" fillId="0" borderId="0" xfId="0" applyNumberFormat="1" applyFont="1"/>
    <xf numFmtId="165" fontId="16" fillId="0" borderId="0" xfId="0" applyNumberFormat="1" applyFont="1"/>
    <xf numFmtId="166" fontId="16" fillId="0" borderId="0" xfId="0" applyNumberFormat="1" applyFont="1"/>
    <xf numFmtId="0" fontId="25" fillId="0" borderId="0" xfId="0" applyFont="1" applyAlignment="1">
      <alignment horizontal="center" vertical="center"/>
    </xf>
    <xf numFmtId="10" fontId="25" fillId="0" borderId="0" xfId="0" applyNumberFormat="1" applyFont="1" applyAlignment="1">
      <alignment horizontal="center" vertical="center"/>
    </xf>
    <xf numFmtId="173" fontId="25" fillId="0" borderId="0" xfId="0" applyNumberFormat="1" applyFont="1" applyAlignment="1">
      <alignment horizontal="center" vertical="center"/>
    </xf>
    <xf numFmtId="0" fontId="10" fillId="13" borderId="10" xfId="0" applyFont="1" applyFill="1" applyBorder="1" applyAlignment="1">
      <alignment vertical="center"/>
    </xf>
    <xf numFmtId="0" fontId="27" fillId="14" borderId="10" xfId="0" applyFont="1" applyFill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9" fillId="16" borderId="15" xfId="0" applyFont="1" applyFill="1" applyBorder="1" applyAlignment="1">
      <alignment horizontal="left" vertical="top"/>
    </xf>
    <xf numFmtId="0" fontId="29" fillId="15" borderId="15" xfId="0" applyFont="1" applyFill="1" applyBorder="1" applyAlignment="1">
      <alignment horizontal="left" vertical="top"/>
    </xf>
    <xf numFmtId="165" fontId="30" fillId="16" borderId="16" xfId="0" applyNumberFormat="1" applyFont="1" applyFill="1" applyBorder="1" applyAlignment="1">
      <alignment horizontal="right" vertical="center"/>
    </xf>
    <xf numFmtId="165" fontId="30" fillId="15" borderId="16" xfId="0" applyNumberFormat="1" applyFont="1" applyFill="1" applyBorder="1" applyAlignment="1">
      <alignment horizontal="right" vertical="center"/>
    </xf>
    <xf numFmtId="165" fontId="31" fillId="17" borderId="16" xfId="0" applyNumberFormat="1" applyFont="1" applyFill="1" applyBorder="1" applyAlignment="1">
      <alignment horizontal="right" vertical="center"/>
    </xf>
    <xf numFmtId="0" fontId="9" fillId="4" borderId="0" xfId="0" applyFont="1" applyFill="1" applyAlignment="1">
      <alignment horizontal="center"/>
    </xf>
    <xf numFmtId="14" fontId="8" fillId="0" borderId="0" xfId="0" applyNumberFormat="1" applyFont="1" applyAlignment="1">
      <alignment horizontal="center"/>
    </xf>
    <xf numFmtId="170" fontId="8" fillId="0" borderId="0" xfId="0" applyNumberFormat="1" applyFont="1" applyAlignment="1">
      <alignment horizontal="right"/>
    </xf>
    <xf numFmtId="174" fontId="8" fillId="0" borderId="0" xfId="0" applyNumberFormat="1" applyFont="1" applyAlignment="1">
      <alignment horizontal="right"/>
    </xf>
    <xf numFmtId="0" fontId="10" fillId="14" borderId="0" xfId="0" applyFont="1" applyFill="1"/>
    <xf numFmtId="165" fontId="32" fillId="5" borderId="16" xfId="0" applyNumberFormat="1" applyFont="1" applyFill="1" applyBorder="1" applyAlignment="1">
      <alignment horizontal="right" vertical="center"/>
    </xf>
    <xf numFmtId="165" fontId="31" fillId="17" borderId="0" xfId="0" applyNumberFormat="1" applyFont="1" applyFill="1" applyAlignment="1">
      <alignment horizontal="right" vertical="center"/>
    </xf>
    <xf numFmtId="165" fontId="32" fillId="5" borderId="0" xfId="0" applyNumberFormat="1" applyFont="1" applyFill="1" applyAlignment="1">
      <alignment horizontal="right" vertical="center"/>
    </xf>
    <xf numFmtId="0" fontId="33" fillId="14" borderId="10" xfId="0" applyFont="1" applyFill="1" applyBorder="1" applyAlignment="1">
      <alignment horizontal="center" vertical="center"/>
    </xf>
    <xf numFmtId="14" fontId="34" fillId="5" borderId="10" xfId="0" applyNumberFormat="1" applyFont="1" applyFill="1" applyBorder="1" applyAlignment="1">
      <alignment horizontal="center" vertical="center"/>
    </xf>
    <xf numFmtId="170" fontId="34" fillId="5" borderId="10" xfId="0" applyNumberFormat="1" applyFont="1" applyFill="1" applyBorder="1" applyAlignment="1">
      <alignment horizontal="right" vertical="center"/>
    </xf>
    <xf numFmtId="0" fontId="35" fillId="0" borderId="0" xfId="0" applyFont="1"/>
    <xf numFmtId="14" fontId="2" fillId="5" borderId="0" xfId="0" quotePrefix="1" applyNumberFormat="1" applyFont="1" applyFill="1" applyAlignment="1">
      <alignment vertical="center" wrapText="1"/>
    </xf>
    <xf numFmtId="14" fontId="2" fillId="5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15" fillId="11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2" fillId="8" borderId="0" xfId="0" applyFont="1" applyFill="1" applyAlignment="1">
      <alignment vertical="center" wrapText="1"/>
    </xf>
    <xf numFmtId="0" fontId="13" fillId="9" borderId="0" xfId="0" applyFont="1" applyFill="1" applyAlignment="1">
      <alignment vertical="center" wrapText="1"/>
    </xf>
    <xf numFmtId="0" fontId="14" fillId="10" borderId="0" xfId="0" applyFont="1" applyFill="1" applyAlignment="1">
      <alignment vertical="center" wrapText="1"/>
    </xf>
    <xf numFmtId="0" fontId="1" fillId="2" borderId="4" xfId="0" quotePrefix="1" applyFont="1" applyFill="1" applyBorder="1" applyAlignment="1">
      <alignment horizontal="center" vertical="center"/>
    </xf>
    <xf numFmtId="0" fontId="5" fillId="0" borderId="4" xfId="0" applyFont="1" applyBorder="1"/>
    <xf numFmtId="0" fontId="1" fillId="2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0" fontId="24" fillId="6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 wrapText="1"/>
    </xf>
    <xf numFmtId="10" fontId="21" fillId="5" borderId="0" xfId="0" applyNumberFormat="1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 wrapText="1"/>
    </xf>
    <xf numFmtId="2" fontId="24" fillId="6" borderId="0" xfId="0" applyNumberFormat="1" applyFont="1" applyFill="1" applyAlignment="1">
      <alignment horizontal="center" vertical="center" wrapText="1"/>
    </xf>
    <xf numFmtId="1" fontId="24" fillId="6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19" fillId="2" borderId="0" xfId="0" applyFont="1" applyFill="1" applyAlignment="1">
      <alignment horizontal="center" vertical="center"/>
    </xf>
    <xf numFmtId="0" fontId="1" fillId="9" borderId="0" xfId="0" applyFont="1" applyFill="1" applyAlignment="1">
      <alignment vertical="center" wrapText="1"/>
    </xf>
    <xf numFmtId="0" fontId="1" fillId="10" borderId="0" xfId="0" applyFont="1" applyFill="1" applyAlignment="1">
      <alignment vertical="center" wrapText="1"/>
    </xf>
    <xf numFmtId="0" fontId="1" fillId="11" borderId="0" xfId="0" applyFont="1" applyFill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34" fillId="5" borderId="10" xfId="0" applyFont="1" applyFill="1" applyBorder="1" applyAlignment="1">
      <alignment vertical="center"/>
    </xf>
    <xf numFmtId="0" fontId="5" fillId="0" borderId="10" xfId="0" applyFont="1" applyBorder="1"/>
    <xf numFmtId="0" fontId="21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27" fillId="14" borderId="10" xfId="0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left" vertical="center"/>
    </xf>
    <xf numFmtId="0" fontId="27" fillId="14" borderId="0" xfId="0" applyFont="1" applyFill="1" applyAlignment="1">
      <alignment horizontal="center" vertical="center"/>
    </xf>
    <xf numFmtId="0" fontId="26" fillId="13" borderId="7" xfId="0" applyFont="1" applyFill="1" applyBorder="1" applyAlignment="1">
      <alignment vertical="center" wrapText="1"/>
    </xf>
    <xf numFmtId="0" fontId="5" fillId="0" borderId="8" xfId="0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167" fontId="17" fillId="13" borderId="10" xfId="0" applyNumberFormat="1" applyFont="1" applyFill="1" applyBorder="1" applyAlignment="1">
      <alignment horizontal="right" vertical="center"/>
    </xf>
    <xf numFmtId="0" fontId="23" fillId="13" borderId="10" xfId="0" applyFont="1" applyFill="1" applyBorder="1" applyAlignment="1">
      <alignment horizontal="right" vertical="center"/>
    </xf>
    <xf numFmtId="0" fontId="17" fillId="13" borderId="10" xfId="0" applyFont="1" applyFill="1" applyBorder="1" applyAlignment="1">
      <alignment horizontal="right" vertical="center"/>
    </xf>
    <xf numFmtId="14" fontId="23" fillId="13" borderId="1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29">
    <dxf>
      <font>
        <color rgb="FF7B3B38"/>
      </font>
      <fill>
        <patternFill patternType="solid">
          <fgColor rgb="FFF9D5D8"/>
          <bgColor rgb="FFF9D5D8"/>
        </patternFill>
      </fill>
    </dxf>
    <dxf>
      <font>
        <color rgb="FF6D5532"/>
      </font>
      <fill>
        <patternFill patternType="solid">
          <fgColor rgb="FFFFF0BA"/>
          <bgColor rgb="FFFFF0BA"/>
        </patternFill>
      </fill>
    </dxf>
    <dxf>
      <font>
        <color rgb="FF6D5532"/>
      </font>
      <fill>
        <patternFill patternType="solid">
          <fgColor rgb="FFFFF0BA"/>
          <bgColor rgb="FFFFF0BA"/>
        </patternFill>
      </fill>
    </dxf>
    <dxf>
      <font>
        <color rgb="FF7B3B38"/>
      </font>
      <fill>
        <patternFill patternType="solid">
          <fgColor rgb="FFF9D5D8"/>
          <bgColor rgb="FFF9D5D8"/>
        </patternFill>
      </fill>
    </dxf>
    <dxf>
      <font>
        <color rgb="FF354E3C"/>
      </font>
      <fill>
        <patternFill patternType="solid">
          <fgColor rgb="FFCCEBD7"/>
          <bgColor rgb="FFCCEBD7"/>
        </patternFill>
      </fill>
    </dxf>
    <dxf>
      <font>
        <color rgb="FF7B3B38"/>
      </font>
      <fill>
        <patternFill patternType="solid">
          <fgColor rgb="FFF9D5D8"/>
          <bgColor rgb="FFF9D5D8"/>
        </patternFill>
      </fill>
    </dxf>
    <dxf>
      <font>
        <color rgb="FF7B3B38"/>
      </font>
      <fill>
        <patternFill patternType="solid">
          <fgColor rgb="FFF9D5D8"/>
          <bgColor rgb="FFF9D5D8"/>
        </patternFill>
      </fill>
    </dxf>
    <dxf>
      <font>
        <color rgb="FF354E3C"/>
      </font>
      <fill>
        <patternFill patternType="solid">
          <fgColor rgb="FFCCEBD7"/>
          <bgColor rgb="FFCCEBD7"/>
        </patternFill>
      </fill>
    </dxf>
    <dxf>
      <font>
        <color rgb="FF7B3B38"/>
      </font>
      <fill>
        <patternFill patternType="solid">
          <fgColor rgb="FFF9D5D8"/>
          <bgColor rgb="FFF9D5D8"/>
        </patternFill>
      </fill>
    </dxf>
    <dxf>
      <font>
        <color rgb="FF7B3B38"/>
      </font>
      <fill>
        <patternFill patternType="solid">
          <fgColor rgb="FFF9D5D8"/>
          <bgColor rgb="FFF9D5D8"/>
        </patternFill>
      </fill>
    </dxf>
    <dxf>
      <font>
        <color rgb="FF354E3C"/>
      </font>
      <fill>
        <patternFill patternType="solid">
          <fgColor rgb="FFCCEBD7"/>
          <bgColor rgb="FFCCEBD7"/>
        </patternFill>
      </fill>
    </dxf>
    <dxf>
      <font>
        <color rgb="FF48595C"/>
      </font>
      <fill>
        <patternFill patternType="solid">
          <fgColor rgb="FFE9EEFB"/>
          <bgColor rgb="FFE9EEFB"/>
        </patternFill>
      </fill>
    </dxf>
    <dxf>
      <font>
        <color rgb="FF7B3B38"/>
      </font>
      <fill>
        <patternFill patternType="solid">
          <fgColor rgb="FFF9D5D8"/>
          <bgColor rgb="FFF9D5D8"/>
        </patternFill>
      </fill>
    </dxf>
    <dxf>
      <font>
        <color rgb="FF69716E"/>
      </font>
      <fill>
        <patternFill patternType="solid">
          <fgColor rgb="FFE9EEFB"/>
          <bgColor rgb="FFE9EEFB"/>
        </patternFill>
      </fill>
    </dxf>
    <dxf>
      <font>
        <color rgb="FF354E3C"/>
      </font>
      <fill>
        <patternFill patternType="solid">
          <fgColor rgb="FFCCEBD7"/>
          <bgColor rgb="FFCCEBD7"/>
        </patternFill>
      </fill>
    </dxf>
    <dxf>
      <font>
        <color rgb="FF303A3D"/>
      </font>
      <fill>
        <patternFill patternType="solid">
          <fgColor rgb="FFD5E9F4"/>
          <bgColor rgb="FFD5E9F4"/>
        </patternFill>
      </fill>
    </dxf>
    <dxf>
      <font>
        <color rgb="FF7B3B38"/>
      </font>
      <fill>
        <patternFill patternType="solid">
          <fgColor rgb="FFF9D5D8"/>
          <bgColor rgb="FFF9D5D8"/>
        </patternFill>
      </fill>
    </dxf>
    <dxf>
      <font>
        <color rgb="FF354E3C"/>
      </font>
      <fill>
        <patternFill patternType="solid">
          <fgColor rgb="FFCCEBD7"/>
          <bgColor rgb="FFCCEBD7"/>
        </patternFill>
      </fill>
    </dxf>
    <dxf>
      <font>
        <color rgb="FF7B3B38"/>
      </font>
      <fill>
        <patternFill patternType="solid">
          <fgColor rgb="FFF9D5D8"/>
          <bgColor rgb="FFF9D5D8"/>
        </patternFill>
      </fill>
    </dxf>
    <dxf>
      <font>
        <color rgb="FF354E3C"/>
      </font>
      <fill>
        <patternFill patternType="solid">
          <fgColor rgb="FFCCEBD7"/>
          <bgColor rgb="FFCCEBD7"/>
        </patternFill>
      </fill>
    </dxf>
    <dxf>
      <font>
        <color rgb="FF354E3C"/>
      </font>
      <fill>
        <patternFill patternType="solid">
          <fgColor rgb="FFCCEBD7"/>
          <bgColor rgb="FFCCEBD7"/>
        </patternFill>
      </fill>
    </dxf>
    <dxf>
      <font>
        <color rgb="FF7B3B38"/>
      </font>
      <fill>
        <patternFill patternType="solid">
          <fgColor rgb="FFF9D5D8"/>
          <bgColor rgb="FFF9D5D8"/>
        </patternFill>
      </fill>
    </dxf>
    <dxf>
      <font>
        <color rgb="FF7B3B38"/>
      </font>
      <fill>
        <patternFill patternType="solid">
          <fgColor rgb="FFF9D5D8"/>
          <bgColor rgb="FFF9D5D8"/>
        </patternFill>
      </fill>
    </dxf>
    <dxf>
      <font>
        <color rgb="FF354E3C"/>
      </font>
      <fill>
        <patternFill patternType="solid">
          <fgColor rgb="FFCCEBD7"/>
          <bgColor rgb="FFCCEBD7"/>
        </patternFill>
      </fill>
    </dxf>
    <dxf>
      <font>
        <color rgb="FF7B3B38"/>
      </font>
      <fill>
        <patternFill patternType="solid">
          <fgColor rgb="FFF9D5D8"/>
          <bgColor rgb="FFF9D5D8"/>
        </patternFill>
      </fill>
    </dxf>
    <dxf>
      <font>
        <color rgb="FF354E3C"/>
      </font>
      <fill>
        <patternFill patternType="solid">
          <fgColor rgb="FFCCEBD7"/>
          <bgColor rgb="FFCCEBD7"/>
        </patternFill>
      </fill>
    </dxf>
    <dxf>
      <font>
        <color rgb="FF354E3C"/>
      </font>
      <fill>
        <patternFill patternType="solid">
          <fgColor rgb="FFCCEBD7"/>
          <bgColor rgb="FFCCEBD7"/>
        </patternFill>
      </fill>
    </dxf>
    <dxf>
      <font>
        <color rgb="FF7B3B38"/>
      </font>
      <fill>
        <patternFill patternType="solid">
          <fgColor rgb="FFF9D5D8"/>
          <bgColor rgb="FFF9D5D8"/>
        </patternFill>
      </fill>
    </dxf>
    <dxf>
      <font>
        <color rgb="FF6D5532"/>
      </font>
      <fill>
        <patternFill patternType="solid">
          <fgColor rgb="FFFFF0BA"/>
          <bgColor rgb="FFFFF0B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rgbClr val="343B55"/>
                </a:solidFill>
                <a:latin typeface="Arial"/>
              </a:defRPr>
            </a:pPr>
            <a:r>
              <a:rPr sz="1400" b="1">
                <a:solidFill>
                  <a:srgbClr val="343B55"/>
                </a:solidFill>
                <a:latin typeface="Arial"/>
              </a:rPr>
              <a:t>Capital aportado y ganancia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Control!$F$80</c:f>
              <c:strCache>
                <c:ptCount val="1"/>
                <c:pt idx="0">
                  <c:v>Capital neto</c:v>
                </c:pt>
              </c:strCache>
            </c:strRef>
          </c:tx>
          <c:spPr>
            <a:solidFill>
              <a:srgbClr val="7FB3E6">
                <a:alpha val="30000"/>
              </a:srgbClr>
            </a:solidFill>
            <a:ln cmpd="sng">
              <a:solidFill>
                <a:srgbClr val="7FB3E6"/>
              </a:solidFill>
            </a:ln>
          </c:spPr>
          <c:cat>
            <c:numRef>
              <c:f>Control!$E$81:$E$115</c:f>
              <c:numCache>
                <c:formatCode>mmm\ yy</c:formatCode>
                <c:ptCount val="35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  <c:pt idx="18">
                  <c:v>46235</c:v>
                </c:pt>
              </c:numCache>
            </c:numRef>
          </c:cat>
          <c:val>
            <c:numRef>
              <c:f>Control!$F$81:$F$115</c:f>
              <c:numCache>
                <c:formatCode>#,##0" €"</c:formatCode>
                <c:ptCount val="35"/>
                <c:pt idx="0">
                  <c:v>52428</c:v>
                </c:pt>
                <c:pt idx="1">
                  <c:v>53128</c:v>
                </c:pt>
                <c:pt idx="2">
                  <c:v>53828</c:v>
                </c:pt>
                <c:pt idx="3">
                  <c:v>54528</c:v>
                </c:pt>
                <c:pt idx="4">
                  <c:v>55228</c:v>
                </c:pt>
                <c:pt idx="5">
                  <c:v>55928</c:v>
                </c:pt>
                <c:pt idx="6">
                  <c:v>56628</c:v>
                </c:pt>
                <c:pt idx="7">
                  <c:v>57328</c:v>
                </c:pt>
                <c:pt idx="8">
                  <c:v>58028</c:v>
                </c:pt>
                <c:pt idx="9">
                  <c:v>58728</c:v>
                </c:pt>
                <c:pt idx="10">
                  <c:v>59428</c:v>
                </c:pt>
                <c:pt idx="11">
                  <c:v>59928</c:v>
                </c:pt>
                <c:pt idx="12">
                  <c:v>60628</c:v>
                </c:pt>
                <c:pt idx="13">
                  <c:v>61228</c:v>
                </c:pt>
                <c:pt idx="14">
                  <c:v>60528</c:v>
                </c:pt>
                <c:pt idx="15">
                  <c:v>59828</c:v>
                </c:pt>
                <c:pt idx="16">
                  <c:v>56388</c:v>
                </c:pt>
                <c:pt idx="17">
                  <c:v>62388</c:v>
                </c:pt>
                <c:pt idx="18">
                  <c:v>63896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8-4528-915D-A152FD33A408}"/>
            </c:ext>
          </c:extLst>
        </c:ser>
        <c:ser>
          <c:idx val="1"/>
          <c:order val="1"/>
          <c:tx>
            <c:strRef>
              <c:f>Control!$G$80</c:f>
              <c:strCache>
                <c:ptCount val="1"/>
                <c:pt idx="0">
                  <c:v>Ganancia</c:v>
                </c:pt>
              </c:strCache>
            </c:strRef>
          </c:tx>
          <c:spPr>
            <a:solidFill>
              <a:srgbClr val="F29C9C">
                <a:alpha val="30000"/>
              </a:srgbClr>
            </a:solidFill>
            <a:ln cmpd="sng">
              <a:solidFill>
                <a:srgbClr val="F29C9C"/>
              </a:solidFill>
            </a:ln>
          </c:spPr>
          <c:cat>
            <c:numRef>
              <c:f>Control!$E$81:$E$115</c:f>
              <c:numCache>
                <c:formatCode>mmm\ yy</c:formatCode>
                <c:ptCount val="35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  <c:pt idx="18">
                  <c:v>46235</c:v>
                </c:pt>
              </c:numCache>
            </c:numRef>
          </c:cat>
          <c:val>
            <c:numRef>
              <c:f>Control!$G$81:$G$115</c:f>
              <c:numCache>
                <c:formatCode>#,##0" €"</c:formatCode>
                <c:ptCount val="35"/>
                <c:pt idx="0">
                  <c:v>0</c:v>
                </c:pt>
                <c:pt idx="1">
                  <c:v>2011</c:v>
                </c:pt>
                <c:pt idx="2">
                  <c:v>3205</c:v>
                </c:pt>
                <c:pt idx="3">
                  <c:v>4500</c:v>
                </c:pt>
                <c:pt idx="4">
                  <c:v>5157</c:v>
                </c:pt>
                <c:pt idx="5">
                  <c:v>6060</c:v>
                </c:pt>
                <c:pt idx="6">
                  <c:v>6556</c:v>
                </c:pt>
                <c:pt idx="7">
                  <c:v>9841</c:v>
                </c:pt>
                <c:pt idx="8">
                  <c:v>11758</c:v>
                </c:pt>
                <c:pt idx="9">
                  <c:v>11571</c:v>
                </c:pt>
                <c:pt idx="10">
                  <c:v>14280</c:v>
                </c:pt>
                <c:pt idx="11">
                  <c:v>16072</c:v>
                </c:pt>
                <c:pt idx="12">
                  <c:v>15794</c:v>
                </c:pt>
                <c:pt idx="13">
                  <c:v>11722</c:v>
                </c:pt>
                <c:pt idx="14">
                  <c:v>15679</c:v>
                </c:pt>
                <c:pt idx="15">
                  <c:v>19657</c:v>
                </c:pt>
                <c:pt idx="16">
                  <c:v>19727</c:v>
                </c:pt>
                <c:pt idx="17">
                  <c:v>21474</c:v>
                </c:pt>
                <c:pt idx="18">
                  <c:v>22817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8-4528-915D-A152FD33A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826060"/>
        <c:axId val="1946223354"/>
      </c:areaChart>
      <c:dateAx>
        <c:axId val="952826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43B55"/>
                    </a:solidFill>
                    <a:latin typeface="Arial"/>
                  </a:defRPr>
                </a:pPr>
                <a:r>
                  <a:rPr b="0">
                    <a:solidFill>
                      <a:srgbClr val="343B55"/>
                    </a:solidFill>
                    <a:latin typeface="Arial"/>
                  </a:rPr>
                  <a:t>Mes</a:t>
                </a:r>
              </a:p>
            </c:rich>
          </c:tx>
          <c:overlay val="0"/>
        </c:title>
        <c:numFmt formatCode="mmm\ 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343B55"/>
                </a:solidFill>
                <a:latin typeface="Arial"/>
              </a:defRPr>
            </a:pPr>
            <a:endParaRPr lang="es-ES"/>
          </a:p>
        </c:txPr>
        <c:crossAx val="1946223354"/>
        <c:crosses val="autoZero"/>
        <c:auto val="1"/>
        <c:lblOffset val="100"/>
        <c:baseTimeUnit val="months"/>
      </c:dateAx>
      <c:valAx>
        <c:axId val="1946223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43B55"/>
                    </a:solidFill>
                    <a:latin typeface="Arial"/>
                  </a:defRPr>
                </a:pPr>
                <a:r>
                  <a:rPr b="0">
                    <a:solidFill>
                      <a:srgbClr val="343B55"/>
                    </a:solidFill>
                    <a:latin typeface="Arial"/>
                  </a:rPr>
                  <a:t>€</a:t>
                </a:r>
              </a:p>
            </c:rich>
          </c:tx>
          <c:overlay val="0"/>
        </c:title>
        <c:numFmt formatCode="#,##0&quot; €&quot;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343B55"/>
                </a:solidFill>
                <a:latin typeface="Arial"/>
              </a:defRPr>
            </a:pPr>
            <a:endParaRPr lang="es-ES"/>
          </a:p>
        </c:txPr>
        <c:crossAx val="952826060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484F66"/>
              </a:solidFill>
              <a:latin typeface="Arial"/>
            </a:defRPr>
          </a:pPr>
          <a:endParaRPr lang="es-ES"/>
        </a:p>
      </c:txPr>
    </c:legend>
    <c:plotVisOnly val="0"/>
    <c:dispBlanksAs val="zero"/>
    <c:showDLblsOverMax val="1"/>
  </c:chart>
  <c:spPr>
    <a:solidFill>
      <a:srgbClr val="FAFB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rgbClr val="343B55"/>
                </a:solidFill>
                <a:latin typeface="Arial"/>
              </a:defRPr>
            </a:pPr>
            <a:r>
              <a:rPr sz="1400" b="1">
                <a:solidFill>
                  <a:srgbClr val="343B55"/>
                </a:solidFill>
                <a:latin typeface="Arial"/>
              </a:rPr>
              <a:t>Distribución de la cartera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7FB3E6"/>
              </a:solidFill>
            </c:spPr>
            <c:extLst>
              <c:ext xmlns:c16="http://schemas.microsoft.com/office/drawing/2014/chart" uri="{C3380CC4-5D6E-409C-BE32-E72D297353CC}">
                <c16:uniqueId val="{00000001-4E1C-406E-88A8-E31B491F9874}"/>
              </c:ext>
            </c:extLst>
          </c:dPt>
          <c:dPt>
            <c:idx val="1"/>
            <c:bubble3D val="0"/>
            <c:spPr>
              <a:solidFill>
                <a:srgbClr val="F29C9C"/>
              </a:solidFill>
            </c:spPr>
            <c:extLst>
              <c:ext xmlns:c16="http://schemas.microsoft.com/office/drawing/2014/chart" uri="{C3380CC4-5D6E-409C-BE32-E72D297353CC}">
                <c16:uniqueId val="{00000003-4E1C-406E-88A8-E31B491F9874}"/>
              </c:ext>
            </c:extLst>
          </c:dPt>
          <c:dPt>
            <c:idx val="2"/>
            <c:bubble3D val="0"/>
            <c:spPr>
              <a:solidFill>
                <a:srgbClr val="93C9A5"/>
              </a:solidFill>
            </c:spPr>
            <c:extLst>
              <c:ext xmlns:c16="http://schemas.microsoft.com/office/drawing/2014/chart" uri="{C3380CC4-5D6E-409C-BE32-E72D297353CC}">
                <c16:uniqueId val="{00000005-4E1C-406E-88A8-E31B491F9874}"/>
              </c:ext>
            </c:extLst>
          </c:dPt>
          <c:dPt>
            <c:idx val="3"/>
            <c:bubble3D val="0"/>
            <c:spPr>
              <a:solidFill>
                <a:srgbClr val="B7A1E0"/>
              </a:solidFill>
            </c:spPr>
            <c:extLst>
              <c:ext xmlns:c16="http://schemas.microsoft.com/office/drawing/2014/chart" uri="{C3380CC4-5D6E-409C-BE32-E72D297353CC}">
                <c16:uniqueId val="{00000007-4E1C-406E-88A8-E31B491F9874}"/>
              </c:ext>
            </c:extLst>
          </c:dPt>
          <c:dPt>
            <c:idx val="4"/>
            <c:bubble3D val="0"/>
            <c:spPr>
              <a:solidFill>
                <a:srgbClr val="F2CB7D"/>
              </a:solidFill>
            </c:spPr>
            <c:extLst>
              <c:ext xmlns:c16="http://schemas.microsoft.com/office/drawing/2014/chart" uri="{C3380CC4-5D6E-409C-BE32-E72D297353CC}">
                <c16:uniqueId val="{00000009-4E1C-406E-88A8-E31B491F9874}"/>
              </c:ext>
            </c:extLst>
          </c:dPt>
          <c:dPt>
            <c:idx val="5"/>
            <c:bubble3D val="0"/>
            <c:spPr>
              <a:solidFill>
                <a:srgbClr val="79C7CF"/>
              </a:solidFill>
            </c:spPr>
            <c:extLst>
              <c:ext xmlns:c16="http://schemas.microsoft.com/office/drawing/2014/chart" uri="{C3380CC4-5D6E-409C-BE32-E72D297353CC}">
                <c16:uniqueId val="{0000000B-4E1C-406E-88A8-E31B491F9874}"/>
              </c:ext>
            </c:extLst>
          </c:dPt>
          <c:dPt>
            <c:idx val="6"/>
            <c:bubble3D val="0"/>
            <c:spPr>
              <a:solidFill>
                <a:srgbClr val="A5CAEE"/>
              </a:solidFill>
            </c:spPr>
            <c:extLst>
              <c:ext xmlns:c16="http://schemas.microsoft.com/office/drawing/2014/chart" uri="{C3380CC4-5D6E-409C-BE32-E72D297353CC}">
                <c16:uniqueId val="{0000000D-4E1C-406E-88A8-E31B491F9874}"/>
              </c:ext>
            </c:extLst>
          </c:dPt>
          <c:dPt>
            <c:idx val="7"/>
            <c:bubble3D val="0"/>
            <c:spPr>
              <a:solidFill>
                <a:srgbClr val="F6BABA"/>
              </a:solidFill>
            </c:spPr>
            <c:extLst>
              <c:ext xmlns:c16="http://schemas.microsoft.com/office/drawing/2014/chart" uri="{C3380CC4-5D6E-409C-BE32-E72D297353CC}">
                <c16:uniqueId val="{0000000F-4E1C-406E-88A8-E31B491F9874}"/>
              </c:ext>
            </c:extLst>
          </c:dPt>
          <c:dPt>
            <c:idx val="8"/>
            <c:bubble3D val="0"/>
            <c:spPr>
              <a:solidFill>
                <a:srgbClr val="B3D9C0"/>
              </a:solidFill>
            </c:spPr>
            <c:extLst>
              <c:ext xmlns:c16="http://schemas.microsoft.com/office/drawing/2014/chart" uri="{C3380CC4-5D6E-409C-BE32-E72D297353CC}">
                <c16:uniqueId val="{00000011-4E1C-406E-88A8-E31B491F9874}"/>
              </c:ext>
            </c:extLst>
          </c:dPt>
          <c:dPt>
            <c:idx val="9"/>
            <c:bubble3D val="0"/>
            <c:spPr>
              <a:solidFill>
                <a:srgbClr val="CDBDE9"/>
              </a:solidFill>
            </c:spPr>
            <c:extLst>
              <c:ext xmlns:c16="http://schemas.microsoft.com/office/drawing/2014/chart" uri="{C3380CC4-5D6E-409C-BE32-E72D297353CC}">
                <c16:uniqueId val="{00000013-4E1C-406E-88A8-E31B491F9874}"/>
              </c:ext>
            </c:extLst>
          </c:dPt>
          <c:dPt>
            <c:idx val="10"/>
            <c:bubble3D val="0"/>
            <c:spPr>
              <a:solidFill>
                <a:srgbClr val="F6DBA4"/>
              </a:solidFill>
            </c:spPr>
            <c:extLst>
              <c:ext xmlns:c16="http://schemas.microsoft.com/office/drawing/2014/chart" uri="{C3380CC4-5D6E-409C-BE32-E72D297353CC}">
                <c16:uniqueId val="{00000015-4E1C-406E-88A8-E31B491F9874}"/>
              </c:ext>
            </c:extLst>
          </c:dPt>
          <c:dPt>
            <c:idx val="11"/>
            <c:bubble3D val="0"/>
            <c:spPr>
              <a:solidFill>
                <a:srgbClr val="A1D8DD"/>
              </a:solidFill>
            </c:spPr>
            <c:extLst>
              <c:ext xmlns:c16="http://schemas.microsoft.com/office/drawing/2014/chart" uri="{C3380CC4-5D6E-409C-BE32-E72D297353CC}">
                <c16:uniqueId val="{00000017-4E1C-406E-88A8-E31B491F9874}"/>
              </c:ext>
            </c:extLst>
          </c:dPt>
          <c:dPt>
            <c:idx val="12"/>
            <c:bubble3D val="0"/>
            <c:spPr>
              <a:solidFill>
                <a:srgbClr val="CCE1F5"/>
              </a:solidFill>
            </c:spPr>
            <c:extLst>
              <c:ext xmlns:c16="http://schemas.microsoft.com/office/drawing/2014/chart" uri="{C3380CC4-5D6E-409C-BE32-E72D297353CC}">
                <c16:uniqueId val="{00000019-4E1C-406E-88A8-E31B491F9874}"/>
              </c:ext>
            </c:extLst>
          </c:dPt>
          <c:dPt>
            <c:idx val="13"/>
            <c:bubble3D val="0"/>
            <c:spPr>
              <a:solidFill>
                <a:srgbClr val="FAD7D7"/>
              </a:solidFill>
            </c:spPr>
            <c:extLst>
              <c:ext xmlns:c16="http://schemas.microsoft.com/office/drawing/2014/chart" uri="{C3380CC4-5D6E-409C-BE32-E72D297353CC}">
                <c16:uniqueId val="{0000001B-4E1C-406E-88A8-E31B491F9874}"/>
              </c:ext>
            </c:extLst>
          </c:dPt>
          <c:dPt>
            <c:idx val="14"/>
            <c:bubble3D val="0"/>
            <c:spPr>
              <a:solidFill>
                <a:srgbClr val="D4E9DB"/>
              </a:solidFill>
            </c:spPr>
            <c:extLst>
              <c:ext xmlns:c16="http://schemas.microsoft.com/office/drawing/2014/chart" uri="{C3380CC4-5D6E-409C-BE32-E72D297353CC}">
                <c16:uniqueId val="{0000001D-4E1C-406E-88A8-E31B491F9874}"/>
              </c:ext>
            </c:extLst>
          </c:dPt>
          <c:cat>
            <c:strRef>
              <c:f>Cartera!$A$2:$A$16</c:f>
              <c:strCache>
                <c:ptCount val="15"/>
                <c:pt idx="0">
                  <c:v>ETF Global Desarrollado</c:v>
                </c:pt>
                <c:pt idx="1">
                  <c:v>ETF Mercados Emergentes</c:v>
                </c:pt>
                <c:pt idx="2">
                  <c:v>Fondo Asia Pacífico</c:v>
                </c:pt>
                <c:pt idx="3">
                  <c:v>Fondo Value Global</c:v>
                </c:pt>
                <c:pt idx="4">
                  <c:v>Fondo Internacional A</c:v>
                </c:pt>
                <c:pt idx="5">
                  <c:v>Fondo Internacional B</c:v>
                </c:pt>
                <c:pt idx="6">
                  <c:v>Fondo Crédito Flexible</c:v>
                </c:pt>
                <c:pt idx="7">
                  <c:v>Fondo Mixto Defensivo</c:v>
                </c:pt>
                <c:pt idx="8">
                  <c:v>Fondo Retorno Absoluto</c:v>
                </c:pt>
                <c:pt idx="9">
                  <c:v>Cuenta de efectivo</c:v>
                </c:pt>
                <c:pt idx="10">
                  <c:v>Acción tecnológica</c:v>
                </c:pt>
                <c:pt idx="11">
                  <c:v>Acción industrial</c:v>
                </c:pt>
                <c:pt idx="12">
                  <c:v>Acción de infraestructuras</c:v>
                </c:pt>
                <c:pt idx="13">
                  <c:v>Fondo de tipo flotante</c:v>
                </c:pt>
                <c:pt idx="14">
                  <c:v>Bitcoin</c:v>
                </c:pt>
              </c:strCache>
            </c:strRef>
          </c:cat>
          <c:val>
            <c:numRef>
              <c:f>Cartera!$C$2:$C$16</c:f>
              <c:numCache>
                <c:formatCode>0.00%</c:formatCode>
                <c:ptCount val="15"/>
                <c:pt idx="0">
                  <c:v>0.23422769274011265</c:v>
                </c:pt>
                <c:pt idx="1">
                  <c:v>8.1979692459039438E-2</c:v>
                </c:pt>
                <c:pt idx="2">
                  <c:v>2.9278461592514082E-2</c:v>
                </c:pt>
                <c:pt idx="3">
                  <c:v>8.7835384777542255E-2</c:v>
                </c:pt>
                <c:pt idx="4">
                  <c:v>5.8556923185028163E-2</c:v>
                </c:pt>
                <c:pt idx="5">
                  <c:v>2.3422769274011268E-2</c:v>
                </c:pt>
                <c:pt idx="6">
                  <c:v>5.8556923185028163E-2</c:v>
                </c:pt>
                <c:pt idx="7">
                  <c:v>9.9546769414547875E-2</c:v>
                </c:pt>
                <c:pt idx="8">
                  <c:v>3.5134153911016902E-2</c:v>
                </c:pt>
                <c:pt idx="9">
                  <c:v>1.6243690491526814E-2</c:v>
                </c:pt>
                <c:pt idx="10">
                  <c:v>0.17567076955508451</c:v>
                </c:pt>
                <c:pt idx="11">
                  <c:v>2.1080492346610139E-2</c:v>
                </c:pt>
                <c:pt idx="12">
                  <c:v>8.1979692459039424E-3</c:v>
                </c:pt>
                <c:pt idx="13">
                  <c:v>5.8556923185028163E-2</c:v>
                </c:pt>
                <c:pt idx="14">
                  <c:v>1.1711384637005634E-2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4E1C-406E-88A8-E31B491F9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484F66"/>
              </a:solidFill>
              <a:latin typeface="Arial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rgbClr val="FAFB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rgbClr val="343B55"/>
                </a:solidFill>
                <a:latin typeface="Arial"/>
              </a:defRPr>
            </a:pPr>
            <a:r>
              <a:rPr sz="1400" b="1">
                <a:solidFill>
                  <a:srgbClr val="343B55"/>
                </a:solidFill>
                <a:latin typeface="Arial"/>
              </a:rPr>
              <a:t>Capital aportado y ganancia · 2025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Control!$O$80</c:f>
              <c:strCache>
                <c:ptCount val="1"/>
                <c:pt idx="0">
                  <c:v>Capital neto</c:v>
                </c:pt>
              </c:strCache>
            </c:strRef>
          </c:tx>
          <c:spPr>
            <a:solidFill>
              <a:srgbClr val="7FB3E6">
                <a:alpha val="30000"/>
              </a:srgbClr>
            </a:solidFill>
            <a:ln cmpd="sng">
              <a:solidFill>
                <a:srgbClr val="7FB3E6"/>
              </a:solidFill>
            </a:ln>
          </c:spPr>
          <c:cat>
            <c:numRef>
              <c:f>Control!$N$81:$N$91</c:f>
              <c:numCache>
                <c:formatCode>mmm\ yy</c:formatCode>
                <c:ptCount val="11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</c:numCache>
            </c:numRef>
          </c:cat>
          <c:val>
            <c:numRef>
              <c:f>Control!$O$81:$O$91</c:f>
              <c:numCache>
                <c:formatCode>#,##0" €"</c:formatCode>
                <c:ptCount val="11"/>
                <c:pt idx="0">
                  <c:v>52428</c:v>
                </c:pt>
                <c:pt idx="1">
                  <c:v>53128</c:v>
                </c:pt>
                <c:pt idx="2">
                  <c:v>53828</c:v>
                </c:pt>
                <c:pt idx="3">
                  <c:v>54528</c:v>
                </c:pt>
                <c:pt idx="4">
                  <c:v>55228</c:v>
                </c:pt>
                <c:pt idx="5">
                  <c:v>55928</c:v>
                </c:pt>
                <c:pt idx="6">
                  <c:v>56628</c:v>
                </c:pt>
                <c:pt idx="7">
                  <c:v>57328</c:v>
                </c:pt>
                <c:pt idx="8">
                  <c:v>58028</c:v>
                </c:pt>
                <c:pt idx="9">
                  <c:v>58728</c:v>
                </c:pt>
                <c:pt idx="10">
                  <c:v>59428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1-499D-A18B-9645D7A0049E}"/>
            </c:ext>
          </c:extLst>
        </c:ser>
        <c:ser>
          <c:idx val="1"/>
          <c:order val="1"/>
          <c:tx>
            <c:strRef>
              <c:f>Control!$P$80</c:f>
              <c:strCache>
                <c:ptCount val="1"/>
                <c:pt idx="0">
                  <c:v>Ganancia</c:v>
                </c:pt>
              </c:strCache>
            </c:strRef>
          </c:tx>
          <c:spPr>
            <a:solidFill>
              <a:srgbClr val="F29C9C">
                <a:alpha val="30000"/>
              </a:srgbClr>
            </a:solidFill>
            <a:ln cmpd="sng">
              <a:solidFill>
                <a:srgbClr val="F29C9C"/>
              </a:solidFill>
            </a:ln>
          </c:spPr>
          <c:cat>
            <c:numRef>
              <c:f>Control!$N$81:$N$91</c:f>
              <c:numCache>
                <c:formatCode>mmm\ yy</c:formatCode>
                <c:ptCount val="11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</c:numCache>
            </c:numRef>
          </c:cat>
          <c:val>
            <c:numRef>
              <c:f>Control!$P$81:$P$91</c:f>
              <c:numCache>
                <c:formatCode>#,##0" €"</c:formatCode>
                <c:ptCount val="11"/>
                <c:pt idx="0">
                  <c:v>0</c:v>
                </c:pt>
                <c:pt idx="1">
                  <c:v>2011</c:v>
                </c:pt>
                <c:pt idx="2">
                  <c:v>3205</c:v>
                </c:pt>
                <c:pt idx="3">
                  <c:v>4500</c:v>
                </c:pt>
                <c:pt idx="4">
                  <c:v>5157</c:v>
                </c:pt>
                <c:pt idx="5">
                  <c:v>6060</c:v>
                </c:pt>
                <c:pt idx="6">
                  <c:v>6556</c:v>
                </c:pt>
                <c:pt idx="7">
                  <c:v>9841</c:v>
                </c:pt>
                <c:pt idx="8">
                  <c:v>11758</c:v>
                </c:pt>
                <c:pt idx="9">
                  <c:v>11571</c:v>
                </c:pt>
                <c:pt idx="10">
                  <c:v>14280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B1-499D-A18B-9645D7A00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898686"/>
        <c:axId val="226202708"/>
      </c:areaChart>
      <c:dateAx>
        <c:axId val="1053898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43B55"/>
                    </a:solidFill>
                    <a:latin typeface="Arial"/>
                  </a:defRPr>
                </a:pPr>
                <a:r>
                  <a:rPr b="0">
                    <a:solidFill>
                      <a:srgbClr val="343B55"/>
                    </a:solidFill>
                    <a:latin typeface="Arial"/>
                  </a:rPr>
                  <a:t>Mes</a:t>
                </a:r>
              </a:p>
            </c:rich>
          </c:tx>
          <c:overlay val="0"/>
        </c:title>
        <c:numFmt formatCode="mmm\ 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343B55"/>
                </a:solidFill>
                <a:latin typeface="Arial"/>
              </a:defRPr>
            </a:pPr>
            <a:endParaRPr lang="es-ES"/>
          </a:p>
        </c:txPr>
        <c:crossAx val="226202708"/>
        <c:crosses val="autoZero"/>
        <c:auto val="1"/>
        <c:lblOffset val="100"/>
        <c:baseTimeUnit val="months"/>
      </c:dateAx>
      <c:valAx>
        <c:axId val="226202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43B55"/>
                    </a:solidFill>
                    <a:latin typeface="Arial"/>
                  </a:defRPr>
                </a:pPr>
                <a:endParaRPr/>
              </a:p>
            </c:rich>
          </c:tx>
          <c:overlay val="0"/>
        </c:title>
        <c:numFmt formatCode="#,##0&quot; €&quot;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343B55"/>
                </a:solidFill>
                <a:latin typeface="Arial"/>
              </a:defRPr>
            </a:pPr>
            <a:endParaRPr lang="es-ES"/>
          </a:p>
        </c:txPr>
        <c:crossAx val="1053898686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484F66"/>
              </a:solidFill>
              <a:latin typeface="Arial"/>
            </a:defRPr>
          </a:pPr>
          <a:endParaRPr lang="es-ES"/>
        </a:p>
      </c:txPr>
    </c:legend>
    <c:plotVisOnly val="0"/>
    <c:dispBlanksAs val="zero"/>
    <c:showDLblsOverMax val="1"/>
  </c:chart>
  <c:spPr>
    <a:solidFill>
      <a:srgbClr val="FAFB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rgbClr val="343B55"/>
                </a:solidFill>
                <a:latin typeface="Arial"/>
              </a:defRPr>
            </a:pPr>
            <a:r>
              <a:rPr sz="1400" b="1">
                <a:solidFill>
                  <a:srgbClr val="343B55"/>
                </a:solidFill>
                <a:latin typeface="Arial"/>
              </a:rPr>
              <a:t>Capital aportado y ganancia · 2026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Control!$O$92</c:f>
              <c:strCache>
                <c:ptCount val="1"/>
                <c:pt idx="0">
                  <c:v>Capital neto</c:v>
                </c:pt>
              </c:strCache>
            </c:strRef>
          </c:tx>
          <c:spPr>
            <a:solidFill>
              <a:srgbClr val="7FB3E6">
                <a:alpha val="30000"/>
              </a:srgbClr>
            </a:solidFill>
            <a:ln cmpd="sng">
              <a:solidFill>
                <a:srgbClr val="7FB3E6"/>
              </a:solidFill>
            </a:ln>
          </c:spPr>
          <c:cat>
            <c:numRef>
              <c:f>Control!$N$93:$N$104</c:f>
              <c:numCache>
                <c:formatCode>mmm\ 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Control!$O$93:$O$104</c:f>
              <c:numCache>
                <c:formatCode>#,##0" €"</c:formatCode>
                <c:ptCount val="12"/>
                <c:pt idx="0">
                  <c:v>59928</c:v>
                </c:pt>
                <c:pt idx="1">
                  <c:v>60628</c:v>
                </c:pt>
                <c:pt idx="2">
                  <c:v>61228</c:v>
                </c:pt>
                <c:pt idx="3">
                  <c:v>60528</c:v>
                </c:pt>
                <c:pt idx="4">
                  <c:v>59828</c:v>
                </c:pt>
                <c:pt idx="5">
                  <c:v>56388</c:v>
                </c:pt>
                <c:pt idx="6">
                  <c:v>62388</c:v>
                </c:pt>
                <c:pt idx="7">
                  <c:v>63896</c:v>
                </c:pt>
                <c:pt idx="8">
                  <c:v>63896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0-4E4A-92AC-C51CD5D979F1}"/>
            </c:ext>
          </c:extLst>
        </c:ser>
        <c:ser>
          <c:idx val="1"/>
          <c:order val="1"/>
          <c:tx>
            <c:strRef>
              <c:f>Control!$P$92</c:f>
              <c:strCache>
                <c:ptCount val="1"/>
                <c:pt idx="0">
                  <c:v>Ganancia</c:v>
                </c:pt>
              </c:strCache>
            </c:strRef>
          </c:tx>
          <c:spPr>
            <a:solidFill>
              <a:srgbClr val="F29C9C">
                <a:alpha val="30000"/>
              </a:srgbClr>
            </a:solidFill>
            <a:ln cmpd="sng">
              <a:solidFill>
                <a:srgbClr val="F29C9C"/>
              </a:solidFill>
            </a:ln>
          </c:spPr>
          <c:cat>
            <c:numRef>
              <c:f>Control!$N$93:$N$104</c:f>
              <c:numCache>
                <c:formatCode>mmm\ 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Control!$P$93:$P$104</c:f>
              <c:numCache>
                <c:formatCode>#,##0" €"</c:formatCode>
                <c:ptCount val="12"/>
                <c:pt idx="0">
                  <c:v>16072</c:v>
                </c:pt>
                <c:pt idx="1">
                  <c:v>15794</c:v>
                </c:pt>
                <c:pt idx="2">
                  <c:v>11722</c:v>
                </c:pt>
                <c:pt idx="3">
                  <c:v>15679</c:v>
                </c:pt>
                <c:pt idx="4">
                  <c:v>19657</c:v>
                </c:pt>
                <c:pt idx="5">
                  <c:v>19727</c:v>
                </c:pt>
                <c:pt idx="6">
                  <c:v>21474</c:v>
                </c:pt>
                <c:pt idx="7">
                  <c:v>22817</c:v>
                </c:pt>
                <c:pt idx="8">
                  <c:v>21491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0-4E4A-92AC-C51CD5D97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346566"/>
        <c:axId val="902812276"/>
      </c:areaChart>
      <c:dateAx>
        <c:axId val="1191346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43B55"/>
                    </a:solidFill>
                    <a:latin typeface="Arial"/>
                  </a:defRPr>
                </a:pPr>
                <a:r>
                  <a:rPr b="0">
                    <a:solidFill>
                      <a:srgbClr val="343B55"/>
                    </a:solidFill>
                    <a:latin typeface="Arial"/>
                  </a:rPr>
                  <a:t>Mes</a:t>
                </a:r>
              </a:p>
            </c:rich>
          </c:tx>
          <c:overlay val="0"/>
        </c:title>
        <c:numFmt formatCode="mmm\ 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343B55"/>
                </a:solidFill>
                <a:latin typeface="Arial"/>
              </a:defRPr>
            </a:pPr>
            <a:endParaRPr lang="es-ES"/>
          </a:p>
        </c:txPr>
        <c:crossAx val="902812276"/>
        <c:crosses val="autoZero"/>
        <c:auto val="1"/>
        <c:lblOffset val="100"/>
        <c:baseTimeUnit val="months"/>
      </c:dateAx>
      <c:valAx>
        <c:axId val="9028122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43B55"/>
                    </a:solidFill>
                    <a:latin typeface="Arial"/>
                  </a:defRPr>
                </a:pPr>
                <a:endParaRPr/>
              </a:p>
            </c:rich>
          </c:tx>
          <c:overlay val="0"/>
        </c:title>
        <c:numFmt formatCode="#,##0&quot; €&quot;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343B55"/>
                </a:solidFill>
                <a:latin typeface="Arial"/>
              </a:defRPr>
            </a:pPr>
            <a:endParaRPr lang="es-ES"/>
          </a:p>
        </c:txPr>
        <c:crossAx val="1191346566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484F66"/>
              </a:solidFill>
              <a:latin typeface="Arial"/>
            </a:defRPr>
          </a:pPr>
          <a:endParaRPr lang="es-ES"/>
        </a:p>
      </c:txPr>
    </c:legend>
    <c:plotVisOnly val="0"/>
    <c:dispBlanksAs val="zero"/>
    <c:showDLblsOverMax val="1"/>
  </c:chart>
  <c:spPr>
    <a:solidFill>
      <a:srgbClr val="FAFBF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rgbClr val="343B55"/>
                </a:solidFill>
                <a:latin typeface="Arial"/>
              </a:defRPr>
            </a:pPr>
            <a:r>
              <a:rPr sz="1400" b="1">
                <a:solidFill>
                  <a:srgbClr val="343B55"/>
                </a:solidFill>
                <a:latin typeface="Arial"/>
              </a:rPr>
              <a:t>Rentabilidad mensual: cartera vs MSCI World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Comparativa!$D$1</c:f>
              <c:strCache>
                <c:ptCount val="1"/>
                <c:pt idx="0">
                  <c:v>Rentabilidad Cartera (%)</c:v>
                </c:pt>
              </c:strCache>
            </c:strRef>
          </c:tx>
          <c:spPr>
            <a:solidFill>
              <a:srgbClr val="7FB3E6">
                <a:alpha val="30000"/>
              </a:srgbClr>
            </a:solidFill>
            <a:ln w="19050" cmpd="sng">
              <a:solidFill>
                <a:srgbClr val="7FB3E6"/>
              </a:solidFill>
              <a:prstDash val="solid"/>
            </a:ln>
          </c:spPr>
          <c:cat>
            <c:numRef>
              <c:f>Control!$L$81:$L$103</c:f>
              <c:numCache>
                <c:formatCode>mmm\ yy</c:formatCode>
                <c:ptCount val="23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  <c:pt idx="18">
                  <c:v>46235</c:v>
                </c:pt>
                <c:pt idx="19">
                  <c:v>46266</c:v>
                </c:pt>
                <c:pt idx="20">
                  <c:v>46296</c:v>
                </c:pt>
                <c:pt idx="21">
                  <c:v>46327</c:v>
                </c:pt>
                <c:pt idx="22">
                  <c:v>46357</c:v>
                </c:pt>
              </c:numCache>
            </c:numRef>
          </c:cat>
          <c:val>
            <c:numRef>
              <c:f>Comparativa!$D$2:$D$24</c:f>
              <c:numCache>
                <c:formatCode>0.00"%"</c:formatCode>
                <c:ptCount val="23"/>
                <c:pt idx="0">
                  <c:v>0</c:v>
                </c:pt>
                <c:pt idx="1">
                  <c:v>3.8357366292820716</c:v>
                </c:pt>
                <c:pt idx="2">
                  <c:v>2.1654364424454453</c:v>
                </c:pt>
                <c:pt idx="3">
                  <c:v>2.2706152578331862</c:v>
                </c:pt>
                <c:pt idx="4">
                  <c:v>1.1130311038828999</c:v>
                </c:pt>
                <c:pt idx="5">
                  <c:v>1.4954044878695116</c:v>
                </c:pt>
                <c:pt idx="6">
                  <c:v>0.80015486868425523</c:v>
                </c:pt>
                <c:pt idx="7">
                  <c:v>5.1991010382375302</c:v>
                </c:pt>
                <c:pt idx="8">
                  <c:v>2.8539951465705871</c:v>
                </c:pt>
                <c:pt idx="9">
                  <c:v>-0.26796205542658491</c:v>
                </c:pt>
                <c:pt idx="10">
                  <c:v>3.8535398796568865</c:v>
                </c:pt>
                <c:pt idx="11">
                  <c:v>2.4312150648504893</c:v>
                </c:pt>
                <c:pt idx="12">
                  <c:v>-0.36578947368420822</c:v>
                </c:pt>
                <c:pt idx="13">
                  <c:v>-5.3283086022349551</c:v>
                </c:pt>
                <c:pt idx="14">
                  <c:v>5.4242631939684705</c:v>
                </c:pt>
                <c:pt idx="15">
                  <c:v>5.219992914036764</c:v>
                </c:pt>
                <c:pt idx="16">
                  <c:v>8.806693086746975E-2</c:v>
                </c:pt>
                <c:pt idx="17">
                  <c:v>2.2952111935886421</c:v>
                </c:pt>
                <c:pt idx="18">
                  <c:v>1.6014404617109124</c:v>
                </c:pt>
                <c:pt idx="19">
                  <c:v>-1.5291824755227057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D-409F-AAA5-754798563A93}"/>
            </c:ext>
          </c:extLst>
        </c:ser>
        <c:ser>
          <c:idx val="1"/>
          <c:order val="1"/>
          <c:tx>
            <c:strRef>
              <c:f>Comparativa!$E$1</c:f>
              <c:strCache>
                <c:ptCount val="1"/>
                <c:pt idx="0">
                  <c:v>Rentabilidad MSCI World (%)</c:v>
                </c:pt>
              </c:strCache>
            </c:strRef>
          </c:tx>
          <c:spPr>
            <a:solidFill>
              <a:srgbClr val="F29C9C">
                <a:alpha val="30000"/>
              </a:srgbClr>
            </a:solidFill>
            <a:ln w="19050" cmpd="sng">
              <a:solidFill>
                <a:srgbClr val="F29C9C"/>
              </a:solidFill>
              <a:prstDash val="solid"/>
            </a:ln>
          </c:spPr>
          <c:cat>
            <c:numRef>
              <c:f>Control!$L$81:$L$103</c:f>
              <c:numCache>
                <c:formatCode>mmm\ yy</c:formatCode>
                <c:ptCount val="23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  <c:pt idx="18">
                  <c:v>46235</c:v>
                </c:pt>
                <c:pt idx="19">
                  <c:v>46266</c:v>
                </c:pt>
                <c:pt idx="20">
                  <c:v>46296</c:v>
                </c:pt>
                <c:pt idx="21">
                  <c:v>46327</c:v>
                </c:pt>
                <c:pt idx="22">
                  <c:v>46357</c:v>
                </c:pt>
              </c:numCache>
            </c:numRef>
          </c:cat>
          <c:val>
            <c:numRef>
              <c:f>Comparativa!$E$2:$E$24</c:f>
              <c:numCache>
                <c:formatCode>0.00"%"</c:formatCode>
                <c:ptCount val="23"/>
                <c:pt idx="0">
                  <c:v>0</c:v>
                </c:pt>
                <c:pt idx="1">
                  <c:v>-6.97</c:v>
                </c:pt>
                <c:pt idx="2">
                  <c:v>-4.12</c:v>
                </c:pt>
                <c:pt idx="3">
                  <c:v>6.07</c:v>
                </c:pt>
                <c:pt idx="4">
                  <c:v>0.88</c:v>
                </c:pt>
                <c:pt idx="5">
                  <c:v>3.86</c:v>
                </c:pt>
                <c:pt idx="6">
                  <c:v>0.32</c:v>
                </c:pt>
                <c:pt idx="7">
                  <c:v>2.81</c:v>
                </c:pt>
                <c:pt idx="8">
                  <c:v>3.83</c:v>
                </c:pt>
                <c:pt idx="9">
                  <c:v>-0.27</c:v>
                </c:pt>
                <c:pt idx="10">
                  <c:v>-0.4</c:v>
                </c:pt>
                <c:pt idx="11">
                  <c:v>0.92</c:v>
                </c:pt>
                <c:pt idx="12">
                  <c:v>1.49</c:v>
                </c:pt>
                <c:pt idx="13">
                  <c:v>-4.04</c:v>
                </c:pt>
                <c:pt idx="14">
                  <c:v>7.65</c:v>
                </c:pt>
                <c:pt idx="15">
                  <c:v>5.0999999999999996</c:v>
                </c:pt>
                <c:pt idx="16">
                  <c:v>1.33</c:v>
                </c:pt>
                <c:pt idx="17">
                  <c:v>-0.14000000000000001</c:v>
                </c:pt>
                <c:pt idx="18">
                  <c:v>1.59</c:v>
                </c:pt>
                <c:pt idx="19">
                  <c:v>-0.82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CD-409F-AAA5-754798563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308620"/>
        <c:axId val="1612135380"/>
      </c:areaChart>
      <c:dateAx>
        <c:axId val="1156308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43B55"/>
                    </a:solidFill>
                    <a:latin typeface="Arial"/>
                  </a:defRPr>
                </a:pPr>
                <a:r>
                  <a:rPr b="0">
                    <a:solidFill>
                      <a:srgbClr val="343B55"/>
                    </a:solidFill>
                    <a:latin typeface="Arial"/>
                  </a:rPr>
                  <a:t>Mes</a:t>
                </a:r>
              </a:p>
            </c:rich>
          </c:tx>
          <c:overlay val="0"/>
        </c:title>
        <c:numFmt formatCode="mmm\ 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343B55"/>
                </a:solidFill>
                <a:latin typeface="Arial"/>
              </a:defRPr>
            </a:pPr>
            <a:endParaRPr lang="es-ES"/>
          </a:p>
        </c:txPr>
        <c:crossAx val="1612135380"/>
        <c:crosses val="autoZero"/>
        <c:auto val="1"/>
        <c:lblOffset val="100"/>
        <c:baseTimeUnit val="months"/>
      </c:dateAx>
      <c:valAx>
        <c:axId val="1612135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43B55"/>
                    </a:solidFill>
                    <a:latin typeface="Arial"/>
                  </a:defRPr>
                </a:pPr>
                <a:r>
                  <a:rPr b="0">
                    <a:solidFill>
                      <a:srgbClr val="343B55"/>
                    </a:solidFill>
                    <a:latin typeface="Arial"/>
                  </a:rPr>
                  <a:t>Rentabilidad (%)</a:t>
                </a:r>
              </a:p>
            </c:rich>
          </c:tx>
          <c:overlay val="0"/>
        </c:title>
        <c:numFmt formatCode="0.00&quot;%&quot;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343B55"/>
                </a:solidFill>
                <a:latin typeface="Arial"/>
              </a:defRPr>
            </a:pPr>
            <a:endParaRPr lang="es-ES"/>
          </a:p>
        </c:txPr>
        <c:crossAx val="1156308620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484F66"/>
              </a:solidFill>
              <a:latin typeface="Arial"/>
            </a:defRPr>
          </a:pPr>
          <a:endParaRPr lang="es-ES"/>
        </a:p>
      </c:txPr>
    </c:legend>
    <c:plotVisOnly val="0"/>
    <c:dispBlanksAs val="zero"/>
    <c:showDLblsOverMax val="1"/>
  </c:chart>
  <c:spPr>
    <a:solidFill>
      <a:srgbClr val="FAFBFF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rgbClr val="343B55"/>
                </a:solidFill>
                <a:latin typeface="Arial"/>
              </a:defRPr>
            </a:pPr>
            <a:r>
              <a:rPr sz="1400" b="1">
                <a:solidFill>
                  <a:srgbClr val="343B55"/>
                </a:solidFill>
                <a:latin typeface="Arial"/>
              </a:rPr>
              <a:t>Rentabilidad acumulada: cartera vs MSCI World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Comparativa!$F$1</c:f>
              <c:strCache>
                <c:ptCount val="1"/>
                <c:pt idx="0">
                  <c:v>Cartera Acum (%)</c:v>
                </c:pt>
              </c:strCache>
            </c:strRef>
          </c:tx>
          <c:spPr>
            <a:solidFill>
              <a:srgbClr val="7FB3E6">
                <a:alpha val="30000"/>
              </a:srgbClr>
            </a:solidFill>
            <a:ln w="19050" cmpd="sng">
              <a:solidFill>
                <a:srgbClr val="7FB3E6"/>
              </a:solidFill>
              <a:prstDash val="solid"/>
            </a:ln>
          </c:spPr>
          <c:cat>
            <c:numRef>
              <c:f>Control!$L$81:$L$103</c:f>
              <c:numCache>
                <c:formatCode>mmm\ yy</c:formatCode>
                <c:ptCount val="23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  <c:pt idx="18">
                  <c:v>46235</c:v>
                </c:pt>
                <c:pt idx="19">
                  <c:v>46266</c:v>
                </c:pt>
                <c:pt idx="20">
                  <c:v>46296</c:v>
                </c:pt>
                <c:pt idx="21">
                  <c:v>46327</c:v>
                </c:pt>
                <c:pt idx="22">
                  <c:v>46357</c:v>
                </c:pt>
              </c:numCache>
            </c:numRef>
          </c:cat>
          <c:val>
            <c:numRef>
              <c:f>Comparativa!$F$2:$F$24</c:f>
              <c:numCache>
                <c:formatCode>0.00"%"</c:formatCode>
                <c:ptCount val="23"/>
                <c:pt idx="0">
                  <c:v>0</c:v>
                </c:pt>
                <c:pt idx="1">
                  <c:v>3.8357366292820716</c:v>
                </c:pt>
                <c:pt idx="2">
                  <c:v>6.0842335105342205</c:v>
                </c:pt>
                <c:pt idx="3">
                  <c:v>8.4929983027797853</c:v>
                </c:pt>
                <c:pt idx="4">
                  <c:v>9.7005591194248666</c:v>
                </c:pt>
                <c:pt idx="5">
                  <c:v>11.341026203714687</c:v>
                </c:pt>
                <c:pt idx="6">
                  <c:v>12.231926845726715</c:v>
                </c:pt>
                <c:pt idx="7">
                  <c:v>18.066978119596875</c:v>
                </c:pt>
                <c:pt idx="8">
                  <c:v>21.436603944832733</c:v>
                </c:pt>
                <c:pt idx="9">
                  <c:v>21.111199924861921</c:v>
                </c:pt>
                <c:pt idx="10">
                  <c:v>25.778268312697449</c:v>
                </c:pt>
                <c:pt idx="11">
                  <c:v>28.836208520223817</c:v>
                </c:pt>
                <c:pt idx="12">
                  <c:v>28.36493923116301</c:v>
                </c:pt>
                <c:pt idx="13">
                  <c:v>21.525259131855279</c:v>
                </c:pt>
                <c:pt idx="14">
                  <c:v>28.11710903431932</c:v>
                </c:pt>
                <c:pt idx="15">
                  <c:v>34.804813047579543</c:v>
                </c:pt>
                <c:pt idx="16">
                  <c:v>34.923531509092179</c:v>
                </c:pt>
                <c:pt idx="17">
                  <c:v>38.02031150707397</c:v>
                </c:pt>
                <c:pt idx="18">
                  <c:v>40.230624620927699</c:v>
                </c:pt>
                <c:pt idx="19">
                  <c:v>38.086242483908435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F-4A6D-84B0-0435F345AE25}"/>
            </c:ext>
          </c:extLst>
        </c:ser>
        <c:ser>
          <c:idx val="1"/>
          <c:order val="1"/>
          <c:tx>
            <c:strRef>
              <c:f>Comparativa!$G$1</c:f>
              <c:strCache>
                <c:ptCount val="1"/>
                <c:pt idx="0">
                  <c:v>MSCI Acum (%)</c:v>
                </c:pt>
              </c:strCache>
            </c:strRef>
          </c:tx>
          <c:spPr>
            <a:solidFill>
              <a:srgbClr val="F29C9C">
                <a:alpha val="30000"/>
              </a:srgbClr>
            </a:solidFill>
            <a:ln w="19050" cmpd="sng">
              <a:solidFill>
                <a:srgbClr val="F29C9C"/>
              </a:solidFill>
              <a:prstDash val="solid"/>
            </a:ln>
          </c:spPr>
          <c:cat>
            <c:numRef>
              <c:f>Control!$L$81:$L$103</c:f>
              <c:numCache>
                <c:formatCode>mmm\ yy</c:formatCode>
                <c:ptCount val="23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  <c:pt idx="18">
                  <c:v>46235</c:v>
                </c:pt>
                <c:pt idx="19">
                  <c:v>46266</c:v>
                </c:pt>
                <c:pt idx="20">
                  <c:v>46296</c:v>
                </c:pt>
                <c:pt idx="21">
                  <c:v>46327</c:v>
                </c:pt>
                <c:pt idx="22">
                  <c:v>46357</c:v>
                </c:pt>
              </c:numCache>
            </c:numRef>
          </c:cat>
          <c:val>
            <c:numRef>
              <c:f>Comparativa!$G$2:$G$24</c:f>
              <c:numCache>
                <c:formatCode>0.00"%"</c:formatCode>
                <c:ptCount val="23"/>
                <c:pt idx="0">
                  <c:v>0</c:v>
                </c:pt>
                <c:pt idx="1">
                  <c:v>-6.9699999999999989</c:v>
                </c:pt>
                <c:pt idx="2">
                  <c:v>-10.802836000000005</c:v>
                </c:pt>
                <c:pt idx="3">
                  <c:v>-5.3885681452000123</c:v>
                </c:pt>
                <c:pt idx="4">
                  <c:v>-4.555987544877782</c:v>
                </c:pt>
                <c:pt idx="5">
                  <c:v>-0.87184866411006423</c:v>
                </c:pt>
                <c:pt idx="6">
                  <c:v>-0.55463857983520937</c:v>
                </c:pt>
                <c:pt idx="7">
                  <c:v>2.2397760760714203</c:v>
                </c:pt>
                <c:pt idx="8">
                  <c:v>6.1555594997849461</c:v>
                </c:pt>
                <c:pt idx="9">
                  <c:v>5.8689394891355162</c:v>
                </c:pt>
                <c:pt idx="10">
                  <c:v>5.4454637311789789</c:v>
                </c:pt>
                <c:pt idx="11">
                  <c:v>6.4155619975058364</c:v>
                </c:pt>
                <c:pt idx="12">
                  <c:v>8.0011538712686736</c:v>
                </c:pt>
                <c:pt idx="13">
                  <c:v>3.6379072548694102</c:v>
                </c:pt>
                <c:pt idx="14">
                  <c:v>11.566207159866915</c:v>
                </c:pt>
                <c:pt idx="15">
                  <c:v>17.256083725020122</c:v>
                </c:pt>
                <c:pt idx="16">
                  <c:v>18.815589638562891</c:v>
                </c:pt>
                <c:pt idx="17">
                  <c:v>18.649247813068914</c:v>
                </c:pt>
                <c:pt idx="18">
                  <c:v>20.535770853296718</c:v>
                </c:pt>
                <c:pt idx="19">
                  <c:v>19.547377532299691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BF-4A6D-84B0-0435F345A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566637"/>
        <c:axId val="1062074537"/>
      </c:areaChart>
      <c:dateAx>
        <c:axId val="1236566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43B55"/>
                    </a:solidFill>
                    <a:latin typeface="Arial"/>
                  </a:defRPr>
                </a:pPr>
                <a:r>
                  <a:rPr b="0">
                    <a:solidFill>
                      <a:srgbClr val="343B55"/>
                    </a:solidFill>
                    <a:latin typeface="Arial"/>
                  </a:rPr>
                  <a:t>Mes</a:t>
                </a:r>
              </a:p>
            </c:rich>
          </c:tx>
          <c:overlay val="0"/>
        </c:title>
        <c:numFmt formatCode="mmm\ 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343B55"/>
                </a:solidFill>
                <a:latin typeface="Arial"/>
              </a:defRPr>
            </a:pPr>
            <a:endParaRPr lang="es-ES"/>
          </a:p>
        </c:txPr>
        <c:crossAx val="1062074537"/>
        <c:crosses val="autoZero"/>
        <c:auto val="1"/>
        <c:lblOffset val="100"/>
        <c:baseTimeUnit val="months"/>
      </c:dateAx>
      <c:valAx>
        <c:axId val="10620745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43B55"/>
                    </a:solidFill>
                    <a:latin typeface="Arial"/>
                  </a:defRPr>
                </a:pPr>
                <a:r>
                  <a:rPr b="0">
                    <a:solidFill>
                      <a:srgbClr val="343B55"/>
                    </a:solidFill>
                    <a:latin typeface="Arial"/>
                  </a:rPr>
                  <a:t>Crecimiento acumulado</a:t>
                </a:r>
              </a:p>
            </c:rich>
          </c:tx>
          <c:overlay val="0"/>
        </c:title>
        <c:numFmt formatCode="0.00&quot;%&quot;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343B55"/>
                </a:solidFill>
                <a:latin typeface="Arial"/>
              </a:defRPr>
            </a:pPr>
            <a:endParaRPr lang="es-ES"/>
          </a:p>
        </c:txPr>
        <c:crossAx val="1236566637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484F66"/>
              </a:solidFill>
              <a:latin typeface="Arial"/>
            </a:defRPr>
          </a:pPr>
          <a:endParaRPr lang="es-ES"/>
        </a:p>
      </c:txPr>
    </c:legend>
    <c:plotVisOnly val="0"/>
    <c:dispBlanksAs val="zero"/>
    <c:showDLblsOverMax val="1"/>
  </c:chart>
  <c:spPr>
    <a:solidFill>
      <a:srgbClr val="FAFBFF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rgbClr val="343B55"/>
                </a:solidFill>
                <a:latin typeface="Arial"/>
              </a:defRPr>
            </a:pPr>
            <a:r>
              <a:rPr sz="1400" b="1">
                <a:solidFill>
                  <a:srgbClr val="343B55"/>
                </a:solidFill>
                <a:latin typeface="Arial"/>
              </a:rPr>
              <a:t>Crecimiento acumulado · Cartera vs MSCI World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'Estadísticas avanzadas'!$M$75</c:f>
              <c:strCache>
                <c:ptCount val="1"/>
              </c:strCache>
            </c:strRef>
          </c:tx>
          <c:spPr>
            <a:solidFill>
              <a:srgbClr val="7FB3E6">
                <a:alpha val="30000"/>
              </a:srgbClr>
            </a:solidFill>
            <a:ln w="19050" cmpd="sng">
              <a:solidFill>
                <a:srgbClr val="7FB3E6"/>
              </a:solidFill>
              <a:prstDash val="solid"/>
            </a:ln>
          </c:spPr>
          <c:cat>
            <c:numRef>
              <c:f>Control!$L$81:$L$103</c:f>
              <c:numCache>
                <c:formatCode>mmm\ yy</c:formatCode>
                <c:ptCount val="23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  <c:pt idx="18">
                  <c:v>46235</c:v>
                </c:pt>
                <c:pt idx="19">
                  <c:v>46266</c:v>
                </c:pt>
                <c:pt idx="20">
                  <c:v>46296</c:v>
                </c:pt>
                <c:pt idx="21">
                  <c:v>46327</c:v>
                </c:pt>
                <c:pt idx="22">
                  <c:v>46357</c:v>
                </c:pt>
              </c:numCache>
            </c:numRef>
          </c:cat>
          <c:val>
            <c:numRef>
              <c:f>'Estadísticas avanzadas'!$M$76:$M$98</c:f>
              <c:numCache>
                <c:formatCode>0.0000</c:formatCode>
                <c:ptCount val="23"/>
                <c:pt idx="0">
                  <c:v>1</c:v>
                </c:pt>
                <c:pt idx="1">
                  <c:v>1.0383573662928207</c:v>
                </c:pt>
                <c:pt idx="2">
                  <c:v>1.0608423351053422</c:v>
                </c:pt>
                <c:pt idx="3">
                  <c:v>1.0849299830277979</c:v>
                </c:pt>
                <c:pt idx="4">
                  <c:v>1.0970055911942487</c:v>
                </c:pt>
                <c:pt idx="5">
                  <c:v>1.1134102620371469</c:v>
                </c:pt>
                <c:pt idx="6">
                  <c:v>1.1223192684572671</c:v>
                </c:pt>
                <c:pt idx="7">
                  <c:v>1.1806697811959688</c:v>
                </c:pt>
                <c:pt idx="8">
                  <c:v>1.2143660394483273</c:v>
                </c:pt>
                <c:pt idx="9">
                  <c:v>1.2111119992486192</c:v>
                </c:pt>
                <c:pt idx="10">
                  <c:v>1.2577826831269745</c:v>
                </c:pt>
                <c:pt idx="11">
                  <c:v>1.2883620852022382</c:v>
                </c:pt>
                <c:pt idx="12">
                  <c:v>1.2836493923116301</c:v>
                </c:pt>
                <c:pt idx="13">
                  <c:v>1.2152525913185528</c:v>
                </c:pt>
                <c:pt idx="14">
                  <c:v>1.2811710903431932</c:v>
                </c:pt>
                <c:pt idx="15">
                  <c:v>1.3480481304757954</c:v>
                </c:pt>
                <c:pt idx="16">
                  <c:v>1.3492353150909218</c:v>
                </c:pt>
                <c:pt idx="17">
                  <c:v>1.3802031150707397</c:v>
                </c:pt>
                <c:pt idx="18">
                  <c:v>1.402306246209277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B-4873-9224-56D849FB6EEF}"/>
            </c:ext>
          </c:extLst>
        </c:ser>
        <c:ser>
          <c:idx val="1"/>
          <c:order val="1"/>
          <c:tx>
            <c:strRef>
              <c:f>'Estadísticas avanzadas'!$N$75</c:f>
              <c:strCache>
                <c:ptCount val="1"/>
              </c:strCache>
            </c:strRef>
          </c:tx>
          <c:spPr>
            <a:solidFill>
              <a:srgbClr val="F29C9C">
                <a:alpha val="30000"/>
              </a:srgbClr>
            </a:solidFill>
            <a:ln w="19050" cmpd="sng">
              <a:solidFill>
                <a:srgbClr val="F29C9C"/>
              </a:solidFill>
              <a:prstDash val="solid"/>
            </a:ln>
          </c:spPr>
          <c:cat>
            <c:numRef>
              <c:f>Control!$L$81:$L$103</c:f>
              <c:numCache>
                <c:formatCode>mmm\ yy</c:formatCode>
                <c:ptCount val="23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  <c:pt idx="16">
                  <c:v>46174</c:v>
                </c:pt>
                <c:pt idx="17">
                  <c:v>46204</c:v>
                </c:pt>
                <c:pt idx="18">
                  <c:v>46235</c:v>
                </c:pt>
                <c:pt idx="19">
                  <c:v>46266</c:v>
                </c:pt>
                <c:pt idx="20">
                  <c:v>46296</c:v>
                </c:pt>
                <c:pt idx="21">
                  <c:v>46327</c:v>
                </c:pt>
                <c:pt idx="22">
                  <c:v>46357</c:v>
                </c:pt>
              </c:numCache>
            </c:numRef>
          </c:cat>
          <c:val>
            <c:numRef>
              <c:f>'Estadísticas avanzadas'!$N$76:$N$98</c:f>
              <c:numCache>
                <c:formatCode>0.0000</c:formatCode>
                <c:ptCount val="23"/>
                <c:pt idx="0">
                  <c:v>1</c:v>
                </c:pt>
                <c:pt idx="1">
                  <c:v>0.93030000000000002</c:v>
                </c:pt>
                <c:pt idx="2">
                  <c:v>0.89197163999999995</c:v>
                </c:pt>
                <c:pt idx="3">
                  <c:v>0.94611431854799988</c:v>
                </c:pt>
                <c:pt idx="4">
                  <c:v>0.95444012455122218</c:v>
                </c:pt>
                <c:pt idx="5">
                  <c:v>0.99128151335889936</c:v>
                </c:pt>
                <c:pt idx="6">
                  <c:v>0.99445361420164791</c:v>
                </c:pt>
                <c:pt idx="7">
                  <c:v>1.0223977607607142</c:v>
                </c:pt>
                <c:pt idx="8">
                  <c:v>1.0615555949978495</c:v>
                </c:pt>
                <c:pt idx="9">
                  <c:v>1.0586893948913552</c:v>
                </c:pt>
                <c:pt idx="10">
                  <c:v>1.0544546373117898</c:v>
                </c:pt>
                <c:pt idx="11">
                  <c:v>1.0641556199750584</c:v>
                </c:pt>
                <c:pt idx="12">
                  <c:v>1.0800115387126867</c:v>
                </c:pt>
                <c:pt idx="13">
                  <c:v>1.0363790725486941</c:v>
                </c:pt>
                <c:pt idx="14">
                  <c:v>1.1156620715986691</c:v>
                </c:pt>
                <c:pt idx="15">
                  <c:v>1.1725608372502012</c:v>
                </c:pt>
                <c:pt idx="16">
                  <c:v>1.1881558963856289</c:v>
                </c:pt>
                <c:pt idx="17">
                  <c:v>1.1864924781306891</c:v>
                </c:pt>
                <c:pt idx="18">
                  <c:v>1.2053577085329672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B-4873-9224-56D849FB6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053852"/>
        <c:axId val="997827740"/>
      </c:areaChart>
      <c:dateAx>
        <c:axId val="832053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43B55"/>
                    </a:solidFill>
                    <a:latin typeface="Arial"/>
                  </a:defRPr>
                </a:pPr>
                <a:r>
                  <a:rPr b="0">
                    <a:solidFill>
                      <a:srgbClr val="343B55"/>
                    </a:solidFill>
                    <a:latin typeface="Arial"/>
                  </a:rPr>
                  <a:t>Mes</a:t>
                </a:r>
              </a:p>
            </c:rich>
          </c:tx>
          <c:overlay val="0"/>
        </c:title>
        <c:numFmt formatCode="mmm\ 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343B55"/>
                </a:solidFill>
                <a:latin typeface="Arial"/>
              </a:defRPr>
            </a:pPr>
            <a:endParaRPr lang="es-ES"/>
          </a:p>
        </c:txPr>
        <c:crossAx val="997827740"/>
        <c:crosses val="autoZero"/>
        <c:auto val="1"/>
        <c:lblOffset val="100"/>
        <c:baseTimeUnit val="months"/>
      </c:dateAx>
      <c:valAx>
        <c:axId val="997827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43B55"/>
                    </a:solidFill>
                    <a:latin typeface="Arial"/>
                  </a:defRPr>
                </a:pPr>
                <a:r>
                  <a:rPr b="0">
                    <a:solidFill>
                      <a:srgbClr val="343B55"/>
                    </a:solidFill>
                    <a:latin typeface="Arial"/>
                  </a:rPr>
                  <a:t>Crecimiento acumulado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343B55"/>
                </a:solidFill>
                <a:latin typeface="Arial"/>
              </a:defRPr>
            </a:pPr>
            <a:endParaRPr lang="es-ES"/>
          </a:p>
        </c:txPr>
        <c:crossAx val="832053852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484F66"/>
              </a:solidFill>
              <a:latin typeface="Arial"/>
            </a:defRPr>
          </a:pPr>
          <a:endParaRPr lang="es-ES"/>
        </a:p>
      </c:txPr>
    </c:legend>
    <c:plotVisOnly val="0"/>
    <c:dispBlanksAs val="zero"/>
    <c:showDLblsOverMax val="1"/>
  </c:chart>
  <c:spPr>
    <a:solidFill>
      <a:srgbClr val="FAFBFF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rgbClr val="343B55"/>
                </a:solidFill>
                <a:latin typeface="Arial"/>
              </a:defRPr>
            </a:pPr>
            <a:r>
              <a:rPr sz="1400" b="1">
                <a:solidFill>
                  <a:srgbClr val="343B55"/>
                </a:solidFill>
                <a:latin typeface="Arial"/>
              </a:rPr>
              <a:t>Rentabilidad activa mensual vs MSCI World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'Estadísticas avanzadas'!$Q$75</c:f>
              <c:strCache>
                <c:ptCount val="1"/>
              </c:strCache>
            </c:strRef>
          </c:tx>
          <c:spPr>
            <a:solidFill>
              <a:srgbClr val="7FB3E6"/>
            </a:solidFill>
            <a:ln cmpd="sng">
              <a:noFill/>
            </a:ln>
          </c:spPr>
          <c:invertIfNegative val="1"/>
          <c:cat>
            <c:strRef>
              <c:f>'Estadísticas avanzadas'!$P$76:$P$98</c:f>
              <c:strCache>
                <c:ptCount val="19"/>
                <c:pt idx="0">
                  <c:v>2025 Feb</c:v>
                </c:pt>
                <c:pt idx="1">
                  <c:v>2025 Mar</c:v>
                </c:pt>
                <c:pt idx="2">
                  <c:v>2025 Abr</c:v>
                </c:pt>
                <c:pt idx="3">
                  <c:v>2025 May</c:v>
                </c:pt>
                <c:pt idx="4">
                  <c:v>2025 Jun</c:v>
                </c:pt>
                <c:pt idx="5">
                  <c:v>2025 Jul</c:v>
                </c:pt>
                <c:pt idx="6">
                  <c:v>2025 Ago</c:v>
                </c:pt>
                <c:pt idx="7">
                  <c:v>2025 Sep</c:v>
                </c:pt>
                <c:pt idx="8">
                  <c:v>2025 Oct</c:v>
                </c:pt>
                <c:pt idx="9">
                  <c:v>2025 Nov</c:v>
                </c:pt>
                <c:pt idx="10">
                  <c:v>2025 Dic</c:v>
                </c:pt>
                <c:pt idx="11">
                  <c:v>2026 Ene</c:v>
                </c:pt>
                <c:pt idx="12">
                  <c:v>2026 Feb</c:v>
                </c:pt>
                <c:pt idx="13">
                  <c:v>2026 Mar</c:v>
                </c:pt>
                <c:pt idx="14">
                  <c:v>2026 Abr</c:v>
                </c:pt>
                <c:pt idx="15">
                  <c:v>2026 May</c:v>
                </c:pt>
                <c:pt idx="16">
                  <c:v>2026 Jun</c:v>
                </c:pt>
                <c:pt idx="17">
                  <c:v>2026 Jul</c:v>
                </c:pt>
                <c:pt idx="18">
                  <c:v>2026 Ago</c:v>
                </c:pt>
              </c:strCache>
            </c:strRef>
          </c:cat>
          <c:val>
            <c:numRef>
              <c:f>'Estadísticas avanzadas'!$Q$76:$Q$98</c:f>
              <c:numCache>
                <c:formatCode>0.00%</c:formatCode>
                <c:ptCount val="23"/>
                <c:pt idx="0">
                  <c:v>0</c:v>
                </c:pt>
                <c:pt idx="1">
                  <c:v>0.10805736629282071</c:v>
                </c:pt>
                <c:pt idx="2">
                  <c:v>6.2854364424454454E-2</c:v>
                </c:pt>
                <c:pt idx="3">
                  <c:v>-3.7993847421668142E-2</c:v>
                </c:pt>
                <c:pt idx="4">
                  <c:v>2.3303110388289989E-3</c:v>
                </c:pt>
                <c:pt idx="5">
                  <c:v>-2.3645955121304879E-2</c:v>
                </c:pt>
                <c:pt idx="6">
                  <c:v>4.8015486868425526E-3</c:v>
                </c:pt>
                <c:pt idx="7">
                  <c:v>2.3891010382375302E-2</c:v>
                </c:pt>
                <c:pt idx="8">
                  <c:v>-9.7600485342941301E-3</c:v>
                </c:pt>
                <c:pt idx="9">
                  <c:v>2.0379445734151035E-5</c:v>
                </c:pt>
                <c:pt idx="10">
                  <c:v>4.2535398796568868E-2</c:v>
                </c:pt>
                <c:pt idx="11">
                  <c:v>1.5112150648504893E-2</c:v>
                </c:pt>
                <c:pt idx="12">
                  <c:v>-1.8557894736842082E-2</c:v>
                </c:pt>
                <c:pt idx="13">
                  <c:v>-1.2883086022349555E-2</c:v>
                </c:pt>
                <c:pt idx="14">
                  <c:v>-2.2257368060315294E-2</c:v>
                </c:pt>
                <c:pt idx="15">
                  <c:v>1.1999291403676435E-3</c:v>
                </c:pt>
                <c:pt idx="16">
                  <c:v>-1.2419330691325304E-2</c:v>
                </c:pt>
                <c:pt idx="17">
                  <c:v>2.435211193588642E-2</c:v>
                </c:pt>
                <c:pt idx="18">
                  <c:v>1.1440461710912272E-4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FEF-4993-BEBD-A579B20AA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0177033"/>
        <c:axId val="525885581"/>
      </c:barChart>
      <c:catAx>
        <c:axId val="320177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43B55"/>
                    </a:solidFill>
                    <a:latin typeface="Roboto"/>
                  </a:defRPr>
                </a:pPr>
                <a:r>
                  <a:rPr b="0">
                    <a:solidFill>
                      <a:srgbClr val="343B55"/>
                    </a:solidFill>
                    <a:latin typeface="Roboto"/>
                  </a:rPr>
                  <a:t>Periodo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343B55"/>
                </a:solidFill>
                <a:latin typeface="Arial"/>
              </a:defRPr>
            </a:pPr>
            <a:endParaRPr lang="es-ES"/>
          </a:p>
        </c:txPr>
        <c:crossAx val="525885581"/>
        <c:crosses val="autoZero"/>
        <c:auto val="1"/>
        <c:lblAlgn val="ctr"/>
        <c:lblOffset val="100"/>
        <c:noMultiLvlLbl val="1"/>
      </c:catAx>
      <c:valAx>
        <c:axId val="5258855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43B55"/>
                    </a:solidFill>
                    <a:latin typeface="Roboto"/>
                  </a:defRPr>
                </a:pPr>
                <a:r>
                  <a:rPr b="0">
                    <a:solidFill>
                      <a:srgbClr val="343B55"/>
                    </a:solidFill>
                    <a:latin typeface="Roboto"/>
                  </a:rPr>
                  <a:t>Diferencia (%)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343B55"/>
                </a:solidFill>
                <a:latin typeface="Arial"/>
              </a:defRPr>
            </a:pPr>
            <a:endParaRPr lang="es-ES"/>
          </a:p>
        </c:txPr>
        <c:crossAx val="320177033"/>
        <c:crosses val="autoZero"/>
        <c:crossBetween val="between"/>
      </c:valAx>
    </c:plotArea>
    <c:plotVisOnly val="1"/>
    <c:dispBlanksAs val="zero"/>
    <c:showDLblsOverMax val="1"/>
  </c:chart>
  <c:spPr>
    <a:solidFill>
      <a:srgbClr val="FAFB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6000750" cy="3429000"/>
    <xdr:graphicFrame macro="">
      <xdr:nvGraphicFramePr>
        <xdr:cNvPr id="2" name="Chart 2" title="Capital aportado y gananc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19</xdr:row>
      <xdr:rowOff>0</xdr:rowOff>
    </xdr:from>
    <xdr:ext cx="6000750" cy="4572000"/>
    <xdr:graphicFrame macro="">
      <xdr:nvGraphicFramePr>
        <xdr:cNvPr id="2" name="Chart 1" title="Distribución de la carter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51</xdr:row>
      <xdr:rowOff>0</xdr:rowOff>
    </xdr:from>
    <xdr:ext cx="6000750" cy="3429000"/>
    <xdr:graphicFrame macro="">
      <xdr:nvGraphicFramePr>
        <xdr:cNvPr id="3" name="Chart 3" title="Capital aportado y ganancia · 202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71</xdr:row>
      <xdr:rowOff>0</xdr:rowOff>
    </xdr:from>
    <xdr:ext cx="6000750" cy="3429000"/>
    <xdr:graphicFrame macro="">
      <xdr:nvGraphicFramePr>
        <xdr:cNvPr id="4" name="Chart 4" title="Capital aportado y ganancia · 202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0</xdr:rowOff>
    </xdr:from>
    <xdr:ext cx="6000750" cy="3429000"/>
    <xdr:graphicFrame macro="">
      <xdr:nvGraphicFramePr>
        <xdr:cNvPr id="5" name="Chart 5" title="Rentabilidad mensual: cartera vs MSCI World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6000750" cy="3429000"/>
    <xdr:graphicFrame macro="">
      <xdr:nvGraphicFramePr>
        <xdr:cNvPr id="6" name="Chart 6" title="Rentabilidad acumulada: cartera vs MSCI World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0</xdr:rowOff>
    </xdr:from>
    <xdr:ext cx="6000750" cy="3429000"/>
    <xdr:graphicFrame macro="">
      <xdr:nvGraphicFramePr>
        <xdr:cNvPr id="7" name="Chart 7" title="Crecimiento acumulado · Cartera vs MSCI World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104</xdr:row>
      <xdr:rowOff>0</xdr:rowOff>
    </xdr:from>
    <xdr:ext cx="5715000" cy="2667000"/>
    <xdr:graphicFrame macro="">
      <xdr:nvGraphicFramePr>
        <xdr:cNvPr id="8" name="Chart 8" title="Rentabilidad activa mensual vs MSCI World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343B55"/>
      </a:dk1>
      <a:lt1>
        <a:srgbClr val="FAFBFF"/>
      </a:lt1>
      <a:dk2>
        <a:srgbClr val="343B55"/>
      </a:dk2>
      <a:lt2>
        <a:srgbClr val="FAFBFF"/>
      </a:lt2>
      <a:accent1>
        <a:srgbClr val="7FB3E6"/>
      </a:accent1>
      <a:accent2>
        <a:srgbClr val="F29C9C"/>
      </a:accent2>
      <a:accent3>
        <a:srgbClr val="93C9A5"/>
      </a:accent3>
      <a:accent4>
        <a:srgbClr val="B7A1E0"/>
      </a:accent4>
      <a:accent5>
        <a:srgbClr val="F2CB7D"/>
      </a:accent5>
      <a:accent6>
        <a:srgbClr val="79C7CF"/>
      </a:accent6>
      <a:hlink>
        <a:srgbClr val="48659A"/>
      </a:hlink>
      <a:folHlink>
        <a:srgbClr val="48659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7A1E0"/>
    <outlinePr summaryBelow="0" summaryRight="0"/>
  </sheetPr>
  <dimension ref="A1:C44"/>
  <sheetViews>
    <sheetView showGridLines="0" tabSelected="1" workbookViewId="0">
      <pane ySplit="1" topLeftCell="A2" activePane="bottomLeft" state="frozen"/>
      <selection pane="bottomLeft" activeCell="A3" sqref="A3:B3"/>
    </sheetView>
  </sheetViews>
  <sheetFormatPr baseColWidth="10" defaultColWidth="12.59765625" defaultRowHeight="15" customHeight="1" x14ac:dyDescent="0.25"/>
  <cols>
    <col min="1" max="2" width="23.19921875" customWidth="1"/>
    <col min="3" max="3" width="32.59765625" customWidth="1"/>
  </cols>
  <sheetData>
    <row r="1" spans="1:3" ht="33" customHeight="1" x14ac:dyDescent="0.25">
      <c r="A1" s="105" t="s">
        <v>202</v>
      </c>
      <c r="B1" s="106"/>
      <c r="C1" s="106"/>
    </row>
    <row r="2" spans="1:3" ht="25.5" customHeight="1" x14ac:dyDescent="0.25">
      <c r="A2" s="107" t="s">
        <v>203</v>
      </c>
      <c r="B2" s="106"/>
      <c r="C2" s="106"/>
    </row>
    <row r="3" spans="1:3" ht="30" customHeight="1" x14ac:dyDescent="0.25">
      <c r="A3" s="107" t="s">
        <v>10</v>
      </c>
      <c r="B3" s="106"/>
      <c r="C3" s="10">
        <f>Cartera!B17</f>
        <v>85387</v>
      </c>
    </row>
    <row r="4" spans="1:3" ht="30" customHeight="1" x14ac:dyDescent="0.25">
      <c r="A4" s="107" t="s">
        <v>11</v>
      </c>
      <c r="B4" s="106"/>
      <c r="C4" s="10">
        <f ca="1">IFERROR(LOOKUP(2,1/((Diario!B6:B370&lt;&gt;"")*(Diario!A6:A370&lt;=TODAY())),Diario!B6:B370),"")</f>
        <v>85387</v>
      </c>
    </row>
    <row r="5" spans="1:3" ht="30" customHeight="1" x14ac:dyDescent="0.25">
      <c r="A5" s="107" t="s">
        <v>12</v>
      </c>
      <c r="B5" s="106"/>
      <c r="C5" s="10">
        <f ca="1">IF(C6="","",Evolucion!$C$3+SUMIFS(Movimientos!B6:B505,Movimientos!D6:D505,"&lt;="&amp;C6,Movimientos!D6:D505,"&gt;="&amp;DATE(2025,2,1)))</f>
        <v>63896</v>
      </c>
    </row>
    <row r="6" spans="1:3" ht="30" customHeight="1" x14ac:dyDescent="0.25">
      <c r="A6" s="107" t="s">
        <v>15</v>
      </c>
      <c r="B6" s="106"/>
      <c r="C6" s="14">
        <f ca="1">IFERROR(LOOKUP(2,1/((Diario!B6:B370&lt;&gt;"")*(Diario!A6:A370&lt;=TODAY())),Diario!A6:A370),"")</f>
        <v>46275</v>
      </c>
    </row>
    <row r="7" spans="1:3" ht="30" customHeight="1" x14ac:dyDescent="0.25">
      <c r="A7" s="107" t="s">
        <v>17</v>
      </c>
      <c r="B7" s="106"/>
      <c r="C7" s="10">
        <f ca="1">IF(C4="","",C4-C5)</f>
        <v>21491</v>
      </c>
    </row>
    <row r="8" spans="1:3" ht="30" customHeight="1" x14ac:dyDescent="0.25">
      <c r="A8" s="107" t="s">
        <v>18</v>
      </c>
      <c r="B8" s="106"/>
      <c r="C8" s="19" t="str">
        <f ca="1">TEXT(TODAY(),"mmmm aaaa")</f>
        <v>septiembre 2026</v>
      </c>
    </row>
    <row r="9" spans="1:3" ht="30" customHeight="1" x14ac:dyDescent="0.25">
      <c r="A9" s="107" t="s">
        <v>19</v>
      </c>
      <c r="B9" s="106"/>
      <c r="C9" s="19" t="str">
        <f ca="1">IFERROR(__xludf.DUMMYFUNCTION("IFERROR(INDEX(FILTER('Estadísticas avanzadas'!A77:A98,ISNUMBER('Estadísticas avanzadas'!B77:B98)),COUNT('Estadísticas avanzadas'!B77:B98)),"""")"),"2026 Ago")</f>
        <v>2026 Ago</v>
      </c>
    </row>
    <row r="10" spans="1:3" ht="30" customHeight="1" x14ac:dyDescent="0.25">
      <c r="A10" s="107" t="s">
        <v>20</v>
      </c>
      <c r="B10" s="106"/>
      <c r="C10" s="22">
        <f ca="1">'Estadísticas avanzadas'!I55</f>
        <v>18</v>
      </c>
    </row>
    <row r="11" spans="1:3" ht="30" customHeight="1" x14ac:dyDescent="0.25">
      <c r="A11" s="107" t="s">
        <v>26</v>
      </c>
      <c r="B11" s="106"/>
      <c r="C11" s="19" t="str">
        <f ca="1">Control!C14</f>
        <v>OK</v>
      </c>
    </row>
    <row r="12" spans="1:3" ht="63" customHeight="1" x14ac:dyDescent="0.25">
      <c r="A12" s="109" t="str">
        <f ca="1">IF(C11="OK","Sin incidencias detectadas.",_xludf.TEXTJOIN(CHAR(10),TRUE,IF(ABS(Control!C12)&gt;1/100,"Diferencia Cartera − Diario: "&amp;TEXT(Control!C12,"0")&amp;" €.",""),IF(Control!C11&gt;0,Control!C11&amp;" movimientos históricos sin fecha utilizable.",""),IF(C11="REVISAR","Hay controles pendientes: abre Revisar controles.","")))</f>
        <v>Sin incidencias detectadas.</v>
      </c>
      <c r="B12" s="106"/>
      <c r="C12" s="106"/>
    </row>
    <row r="13" spans="1:3" ht="33" customHeight="1" x14ac:dyDescent="0.25">
      <c r="A13" s="110" t="s">
        <v>204</v>
      </c>
      <c r="B13" s="106"/>
      <c r="C13" s="106"/>
    </row>
    <row r="14" spans="1:3" ht="33" customHeight="1" x14ac:dyDescent="0.25">
      <c r="A14" s="111" t="s">
        <v>205</v>
      </c>
      <c r="B14" s="106"/>
      <c r="C14" s="106"/>
    </row>
    <row r="15" spans="1:3" ht="33" customHeight="1" x14ac:dyDescent="0.25">
      <c r="A15" s="112" t="s">
        <v>206</v>
      </c>
      <c r="B15" s="106"/>
      <c r="C15" s="106"/>
    </row>
    <row r="16" spans="1:3" ht="33" customHeight="1" x14ac:dyDescent="0.25">
      <c r="A16" s="108" t="s">
        <v>207</v>
      </c>
      <c r="B16" s="106"/>
      <c r="C16" s="106"/>
    </row>
    <row r="17" spans="1:3" ht="30" customHeight="1" x14ac:dyDescent="0.25">
      <c r="A17" s="105" t="s">
        <v>35</v>
      </c>
      <c r="B17" s="106"/>
      <c r="C17" s="106"/>
    </row>
    <row r="18" spans="1:3" ht="30" customHeight="1" x14ac:dyDescent="0.25">
      <c r="A18" s="107" t="s">
        <v>36</v>
      </c>
      <c r="B18" s="106"/>
      <c r="C18" s="27">
        <f ca="1">'Estadísticas avanzadas'!E49</f>
        <v>4.4453846618607704</v>
      </c>
    </row>
    <row r="19" spans="1:3" ht="30" customHeight="1" x14ac:dyDescent="0.25">
      <c r="A19" s="107" t="s">
        <v>37</v>
      </c>
      <c r="B19" s="106"/>
      <c r="C19" s="27">
        <f ca="1">'Estadísticas avanzadas'!A49</f>
        <v>2.3028731463480199</v>
      </c>
    </row>
    <row r="20" spans="1:3" ht="30" customHeight="1" x14ac:dyDescent="0.25">
      <c r="A20" s="107" t="s">
        <v>38</v>
      </c>
      <c r="B20" s="106"/>
      <c r="C20" s="27">
        <f ca="1">'Estadísticas avanzadas'!M49</f>
        <v>0.28397956475654101</v>
      </c>
    </row>
    <row r="21" spans="1:3" ht="30" customHeight="1" x14ac:dyDescent="0.25">
      <c r="A21" s="107" t="s">
        <v>39</v>
      </c>
      <c r="B21" s="106"/>
      <c r="C21" s="30">
        <f ca="1">'Estadísticas avanzadas'!I52</f>
        <v>0.12147204138777699</v>
      </c>
    </row>
    <row r="22" spans="1:3" ht="30" customHeight="1" x14ac:dyDescent="0.25">
      <c r="A22" s="107" t="s">
        <v>40</v>
      </c>
      <c r="B22" s="106"/>
      <c r="C22" s="27">
        <f ca="1">'Estadísticas avanzadas'!E52</f>
        <v>0.81089411266100397</v>
      </c>
    </row>
    <row r="23" spans="1:3" ht="30" customHeight="1" x14ac:dyDescent="0.25">
      <c r="A23" s="107" t="s">
        <v>41</v>
      </c>
      <c r="B23" s="106"/>
      <c r="C23" s="30">
        <f ca="1">'Estadísticas avanzadas'!A58</f>
        <v>0.717425906058624</v>
      </c>
    </row>
    <row r="24" spans="1:3" ht="30" customHeight="1" x14ac:dyDescent="0.25">
      <c r="A24" s="107" t="s">
        <v>42</v>
      </c>
      <c r="B24" s="106"/>
      <c r="C24" s="30">
        <f ca="1">'Estadísticas avanzadas'!I49</f>
        <v>0.173850180349715</v>
      </c>
    </row>
    <row r="25" spans="1:3" ht="30" customHeight="1" x14ac:dyDescent="0.25">
      <c r="A25" s="107" t="s">
        <v>43</v>
      </c>
      <c r="B25" s="106"/>
      <c r="C25" s="30">
        <f ca="1">'Estadísticas avanzadas'!A55</f>
        <v>0.25283894649859101</v>
      </c>
    </row>
    <row r="26" spans="1:3" ht="30" customHeight="1" x14ac:dyDescent="0.25">
      <c r="A26" s="107" t="s">
        <v>44</v>
      </c>
      <c r="B26" s="106"/>
      <c r="C26" s="30">
        <f ca="1">'Estadísticas avanzadas'!E55</f>
        <v>8.8469613218029305E-2</v>
      </c>
    </row>
    <row r="27" spans="1:3" ht="30" customHeight="1" x14ac:dyDescent="0.25">
      <c r="A27" s="107" t="s">
        <v>45</v>
      </c>
      <c r="B27" s="106"/>
      <c r="C27" s="30">
        <f ca="1">'Estadísticas avanzadas'!A52</f>
        <v>-5.674607683926769E-2</v>
      </c>
    </row>
    <row r="28" spans="1:3" ht="30" customHeight="1" x14ac:dyDescent="0.25">
      <c r="A28" s="107" t="s">
        <v>46</v>
      </c>
      <c r="B28" s="106"/>
      <c r="C28" s="27">
        <f ca="1">'Estadísticas avanzadas'!M52</f>
        <v>0.40649274566589699</v>
      </c>
    </row>
    <row r="29" spans="1:3" ht="30" customHeight="1" x14ac:dyDescent="0.25">
      <c r="A29" s="107" t="s">
        <v>47</v>
      </c>
      <c r="B29" s="106"/>
      <c r="C29" s="30">
        <f>'Estadísticas avanzadas'!C43</f>
        <v>2.75E-2</v>
      </c>
    </row>
    <row r="30" spans="1:3" ht="30" customHeight="1" x14ac:dyDescent="0.25">
      <c r="A30" s="107" t="s">
        <v>48</v>
      </c>
      <c r="B30" s="106"/>
      <c r="C30" s="19">
        <f ca="1">COUNTIF('Estadísticas avanzadas'!J77:J98,"&lt;0")</f>
        <v>4</v>
      </c>
    </row>
    <row r="31" spans="1:3" ht="30" customHeight="1" x14ac:dyDescent="0.25">
      <c r="A31" s="107" t="s">
        <v>49</v>
      </c>
      <c r="B31" s="106"/>
      <c r="C31" s="30">
        <f ca="1">IFERROR(C30/C10,"")</f>
        <v>0.22222222222222221</v>
      </c>
    </row>
    <row r="32" spans="1:3" ht="39" customHeight="1" x14ac:dyDescent="0.25">
      <c r="A32" s="107" t="s">
        <v>50</v>
      </c>
      <c r="B32" s="106"/>
      <c r="C32" s="106"/>
    </row>
    <row r="33" spans="1:3" ht="30" customHeight="1" x14ac:dyDescent="0.25">
      <c r="A33" s="105" t="s">
        <v>51</v>
      </c>
      <c r="B33" s="106"/>
      <c r="C33" s="106"/>
    </row>
    <row r="34" spans="1:3" ht="30" customHeight="1" x14ac:dyDescent="0.25">
      <c r="A34" s="32"/>
      <c r="B34" s="32"/>
      <c r="C34" s="32"/>
    </row>
    <row r="35" spans="1:3" ht="30" customHeight="1" x14ac:dyDescent="0.25">
      <c r="A35" s="32"/>
      <c r="B35" s="32"/>
      <c r="C35" s="32"/>
    </row>
    <row r="36" spans="1:3" ht="30" customHeight="1" x14ac:dyDescent="0.25">
      <c r="A36" s="32"/>
      <c r="B36" s="32"/>
      <c r="C36" s="32"/>
    </row>
    <row r="37" spans="1:3" ht="30" customHeight="1" x14ac:dyDescent="0.25">
      <c r="A37" s="32"/>
      <c r="B37" s="32"/>
      <c r="C37" s="32"/>
    </row>
    <row r="38" spans="1:3" ht="30" customHeight="1" x14ac:dyDescent="0.25">
      <c r="A38" s="32"/>
      <c r="B38" s="32"/>
      <c r="C38" s="32"/>
    </row>
    <row r="39" spans="1:3" ht="30" customHeight="1" x14ac:dyDescent="0.25">
      <c r="A39" s="32"/>
      <c r="B39" s="32"/>
      <c r="C39" s="32"/>
    </row>
    <row r="40" spans="1:3" ht="30" customHeight="1" x14ac:dyDescent="0.25">
      <c r="A40" s="32"/>
      <c r="B40" s="32"/>
      <c r="C40" s="32"/>
    </row>
    <row r="41" spans="1:3" ht="30" customHeight="1" x14ac:dyDescent="0.25">
      <c r="A41" s="32"/>
      <c r="B41" s="32"/>
      <c r="C41" s="32"/>
    </row>
    <row r="42" spans="1:3" ht="30" customHeight="1" x14ac:dyDescent="0.25">
      <c r="A42" s="32"/>
      <c r="B42" s="32"/>
      <c r="C42" s="32"/>
    </row>
    <row r="43" spans="1:3" ht="30" customHeight="1" x14ac:dyDescent="0.25">
      <c r="A43" s="32"/>
      <c r="B43" s="32"/>
      <c r="C43" s="32"/>
    </row>
    <row r="44" spans="1:3" ht="30" customHeight="1" x14ac:dyDescent="0.25">
      <c r="A44" s="32"/>
      <c r="B44" s="32"/>
      <c r="C44" s="32"/>
    </row>
  </sheetData>
  <mergeCells count="33">
    <mergeCell ref="A1:C1"/>
    <mergeCell ref="A2:C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C12"/>
    <mergeCell ref="A13:C13"/>
    <mergeCell ref="A14:C14"/>
    <mergeCell ref="A15:C15"/>
    <mergeCell ref="A16:C16"/>
    <mergeCell ref="A17:C17"/>
    <mergeCell ref="A18:B18"/>
    <mergeCell ref="A19:B19"/>
    <mergeCell ref="A20:B20"/>
    <mergeCell ref="A21:B21"/>
    <mergeCell ref="A29:B29"/>
    <mergeCell ref="A30:B30"/>
    <mergeCell ref="A31:B31"/>
    <mergeCell ref="A32:C32"/>
    <mergeCell ref="A33:C33"/>
    <mergeCell ref="A22:B22"/>
    <mergeCell ref="A23:B23"/>
    <mergeCell ref="A24:B24"/>
    <mergeCell ref="A25:B25"/>
    <mergeCell ref="A26:B26"/>
    <mergeCell ref="A27:B27"/>
    <mergeCell ref="A28:B28"/>
  </mergeCells>
  <conditionalFormatting sqref="C11">
    <cfRule type="cellIs" dxfId="28" priority="1" stopIfTrue="1" operator="equal">
      <formula>"AVISO"</formula>
    </cfRule>
    <cfRule type="expression" dxfId="27" priority="2" stopIfTrue="1">
      <formula>C11="REVISAR"</formula>
    </cfRule>
    <cfRule type="expression" dxfId="26" priority="3" stopIfTrue="1">
      <formula>C11="OK"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7A1E0"/>
  </sheetPr>
  <dimension ref="A1:F10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59765625" defaultRowHeight="15" customHeight="1" x14ac:dyDescent="0.25"/>
  <cols>
    <col min="1" max="1" width="41.3984375" customWidth="1"/>
    <col min="2" max="2" width="21.3984375" customWidth="1"/>
    <col min="3" max="3" width="16.3984375" customWidth="1"/>
    <col min="4" max="4" width="3.09765625" customWidth="1"/>
    <col min="5" max="6" width="18" customWidth="1"/>
  </cols>
  <sheetData>
    <row r="1" spans="1:6" ht="39" customHeight="1" x14ac:dyDescent="0.25">
      <c r="A1" s="5" t="s">
        <v>7</v>
      </c>
      <c r="B1" s="5" t="s">
        <v>8</v>
      </c>
      <c r="C1" s="5" t="s">
        <v>9</v>
      </c>
      <c r="D1" s="6"/>
      <c r="E1" s="6"/>
      <c r="F1" s="6"/>
    </row>
    <row r="2" spans="1:6" ht="39" customHeight="1" x14ac:dyDescent="0.3">
      <c r="A2" s="7" t="s">
        <v>186</v>
      </c>
      <c r="B2" s="8">
        <v>20000</v>
      </c>
      <c r="C2" s="9">
        <f t="shared" ref="C2:C16" si="0">B2/$B$17</f>
        <v>0.23422769274011265</v>
      </c>
      <c r="D2" s="6"/>
      <c r="E2" s="6"/>
      <c r="F2" s="6"/>
    </row>
    <row r="3" spans="1:6" ht="39" customHeight="1" x14ac:dyDescent="0.3">
      <c r="A3" s="7" t="s">
        <v>187</v>
      </c>
      <c r="B3" s="8">
        <v>7000</v>
      </c>
      <c r="C3" s="11">
        <f t="shared" si="0"/>
        <v>8.1979692459039438E-2</v>
      </c>
      <c r="D3" s="6"/>
      <c r="E3" s="6"/>
      <c r="F3" s="6"/>
    </row>
    <row r="4" spans="1:6" ht="39" customHeight="1" x14ac:dyDescent="0.3">
      <c r="A4" s="7" t="s">
        <v>188</v>
      </c>
      <c r="B4" s="8">
        <v>2500</v>
      </c>
      <c r="C4" s="9">
        <f t="shared" si="0"/>
        <v>2.9278461592514082E-2</v>
      </c>
      <c r="D4" s="6"/>
      <c r="E4" s="6"/>
      <c r="F4" s="6"/>
    </row>
    <row r="5" spans="1:6" ht="39" customHeight="1" x14ac:dyDescent="0.3">
      <c r="A5" s="7" t="s">
        <v>189</v>
      </c>
      <c r="B5" s="8">
        <v>7500</v>
      </c>
      <c r="C5" s="11">
        <f t="shared" si="0"/>
        <v>8.7835384777542255E-2</v>
      </c>
      <c r="D5" s="6"/>
      <c r="E5" s="6"/>
      <c r="F5" s="6"/>
    </row>
    <row r="6" spans="1:6" ht="39" customHeight="1" x14ac:dyDescent="0.3">
      <c r="A6" s="7" t="s">
        <v>190</v>
      </c>
      <c r="B6" s="8">
        <v>5000</v>
      </c>
      <c r="C6" s="9">
        <f t="shared" si="0"/>
        <v>5.8556923185028163E-2</v>
      </c>
      <c r="D6" s="6"/>
      <c r="E6" s="6"/>
      <c r="F6" s="6"/>
    </row>
    <row r="7" spans="1:6" ht="39" customHeight="1" x14ac:dyDescent="0.3">
      <c r="A7" s="7" t="s">
        <v>191</v>
      </c>
      <c r="B7" s="8">
        <v>2000</v>
      </c>
      <c r="C7" s="11">
        <f t="shared" si="0"/>
        <v>2.3422769274011268E-2</v>
      </c>
      <c r="D7" s="6"/>
      <c r="E7" s="6"/>
      <c r="F7" s="6"/>
    </row>
    <row r="8" spans="1:6" ht="39" customHeight="1" x14ac:dyDescent="0.3">
      <c r="A8" s="7" t="s">
        <v>192</v>
      </c>
      <c r="B8" s="8">
        <v>5000</v>
      </c>
      <c r="C8" s="9">
        <f t="shared" si="0"/>
        <v>5.8556923185028163E-2</v>
      </c>
      <c r="D8" s="6"/>
      <c r="E8" s="6"/>
      <c r="F8" s="6"/>
    </row>
    <row r="9" spans="1:6" ht="39" customHeight="1" x14ac:dyDescent="0.3">
      <c r="A9" s="7" t="s">
        <v>193</v>
      </c>
      <c r="B9" s="8">
        <v>8500</v>
      </c>
      <c r="C9" s="11">
        <f t="shared" si="0"/>
        <v>9.9546769414547875E-2</v>
      </c>
      <c r="D9" s="6"/>
      <c r="E9" s="6"/>
      <c r="F9" s="6"/>
    </row>
    <row r="10" spans="1:6" ht="39" customHeight="1" x14ac:dyDescent="0.3">
      <c r="A10" s="7" t="s">
        <v>194</v>
      </c>
      <c r="B10" s="8">
        <v>3000</v>
      </c>
      <c r="C10" s="9">
        <f t="shared" si="0"/>
        <v>3.5134153911016902E-2</v>
      </c>
      <c r="D10" s="6"/>
      <c r="E10" s="6"/>
      <c r="F10" s="6"/>
    </row>
    <row r="11" spans="1:6" ht="39" customHeight="1" x14ac:dyDescent="0.3">
      <c r="A11" s="7" t="s">
        <v>195</v>
      </c>
      <c r="B11" s="8">
        <v>1387</v>
      </c>
      <c r="C11" s="11">
        <f t="shared" si="0"/>
        <v>1.6243690491526814E-2</v>
      </c>
      <c r="D11" s="6"/>
      <c r="E11" s="6"/>
      <c r="F11" s="6"/>
    </row>
    <row r="12" spans="1:6" ht="39" customHeight="1" x14ac:dyDescent="0.3">
      <c r="A12" s="7" t="s">
        <v>196</v>
      </c>
      <c r="B12" s="8">
        <v>15000</v>
      </c>
      <c r="C12" s="9">
        <f t="shared" si="0"/>
        <v>0.17567076955508451</v>
      </c>
      <c r="D12" s="6"/>
      <c r="E12" s="6"/>
      <c r="F12" s="6"/>
    </row>
    <row r="13" spans="1:6" ht="39" customHeight="1" x14ac:dyDescent="0.3">
      <c r="A13" s="7" t="s">
        <v>197</v>
      </c>
      <c r="B13" s="8">
        <v>1800</v>
      </c>
      <c r="C13" s="11">
        <f t="shared" si="0"/>
        <v>2.1080492346610139E-2</v>
      </c>
      <c r="D13" s="6"/>
      <c r="E13" s="6"/>
      <c r="F13" s="6"/>
    </row>
    <row r="14" spans="1:6" ht="39" customHeight="1" x14ac:dyDescent="0.3">
      <c r="A14" s="7" t="s">
        <v>198</v>
      </c>
      <c r="B14" s="8">
        <v>700</v>
      </c>
      <c r="C14" s="9">
        <f t="shared" si="0"/>
        <v>8.1979692459039424E-3</v>
      </c>
      <c r="D14" s="6"/>
      <c r="E14" s="6"/>
      <c r="F14" s="6"/>
    </row>
    <row r="15" spans="1:6" ht="39" customHeight="1" x14ac:dyDescent="0.3">
      <c r="A15" s="7" t="s">
        <v>199</v>
      </c>
      <c r="B15" s="8">
        <v>5000</v>
      </c>
      <c r="C15" s="11">
        <f t="shared" si="0"/>
        <v>5.8556923185028163E-2</v>
      </c>
      <c r="D15" s="6"/>
      <c r="E15" s="6"/>
      <c r="F15" s="6"/>
    </row>
    <row r="16" spans="1:6" ht="39" customHeight="1" x14ac:dyDescent="0.3">
      <c r="A16" s="7" t="s">
        <v>13</v>
      </c>
      <c r="B16" s="8">
        <v>1000</v>
      </c>
      <c r="C16" s="11">
        <f t="shared" si="0"/>
        <v>1.1711384637005634E-2</v>
      </c>
      <c r="D16" s="6"/>
      <c r="E16" s="6"/>
      <c r="F16" s="6"/>
    </row>
    <row r="17" spans="1:6" ht="39" customHeight="1" x14ac:dyDescent="0.25">
      <c r="A17" s="12" t="s">
        <v>14</v>
      </c>
      <c r="B17" s="13">
        <f>SUM(B2:B16)</f>
        <v>85387</v>
      </c>
      <c r="C17" s="12"/>
      <c r="D17" s="6"/>
      <c r="E17" s="6"/>
      <c r="F17" s="6"/>
    </row>
    <row r="18" spans="1:6" ht="13.8" x14ac:dyDescent="0.25">
      <c r="A18" s="6"/>
      <c r="B18" s="6"/>
      <c r="C18" s="6"/>
      <c r="D18" s="6"/>
      <c r="E18" s="6"/>
      <c r="F18" s="6"/>
    </row>
    <row r="19" spans="1:6" ht="13.8" x14ac:dyDescent="0.25">
      <c r="A19" s="6"/>
      <c r="B19" s="6"/>
      <c r="C19" s="6"/>
      <c r="D19" s="6"/>
      <c r="E19" s="6"/>
      <c r="F19" s="6"/>
    </row>
    <row r="20" spans="1:6" ht="13.8" x14ac:dyDescent="0.25">
      <c r="A20" s="6"/>
      <c r="B20" s="6"/>
      <c r="C20" s="6"/>
      <c r="D20" s="6"/>
      <c r="E20" s="6"/>
      <c r="F20" s="6"/>
    </row>
    <row r="21" spans="1:6" ht="13.8" x14ac:dyDescent="0.25">
      <c r="A21" s="6"/>
      <c r="B21" s="6"/>
      <c r="C21" s="6"/>
      <c r="D21" s="6"/>
      <c r="E21" s="6"/>
      <c r="F21" s="6"/>
    </row>
    <row r="22" spans="1:6" ht="15.75" customHeight="1" x14ac:dyDescent="0.25">
      <c r="A22" s="6"/>
      <c r="B22" s="6"/>
      <c r="C22" s="6"/>
      <c r="D22" s="6"/>
      <c r="E22" s="6"/>
      <c r="F22" s="6"/>
    </row>
    <row r="23" spans="1:6" ht="15.75" customHeight="1" x14ac:dyDescent="0.25">
      <c r="A23" s="6"/>
      <c r="B23" s="6"/>
      <c r="C23" s="6"/>
      <c r="D23" s="6"/>
      <c r="E23" s="6"/>
      <c r="F23" s="6"/>
    </row>
    <row r="24" spans="1:6" ht="15.75" customHeight="1" x14ac:dyDescent="0.25">
      <c r="A24" s="6"/>
      <c r="B24" s="6"/>
      <c r="C24" s="6"/>
      <c r="D24" s="6"/>
      <c r="E24" s="6"/>
      <c r="F24" s="6"/>
    </row>
    <row r="25" spans="1:6" ht="15.75" customHeight="1" x14ac:dyDescent="0.25">
      <c r="A25" s="6"/>
      <c r="B25" s="6"/>
      <c r="C25" s="6"/>
      <c r="D25" s="6"/>
      <c r="E25" s="6"/>
      <c r="F25" s="6"/>
    </row>
    <row r="26" spans="1:6" ht="15.75" customHeight="1" x14ac:dyDescent="0.25">
      <c r="A26" s="6"/>
      <c r="B26" s="6"/>
      <c r="C26" s="6"/>
      <c r="D26" s="6"/>
      <c r="E26" s="6"/>
      <c r="F26" s="6"/>
    </row>
    <row r="27" spans="1:6" ht="15.75" customHeight="1" x14ac:dyDescent="0.25">
      <c r="A27" s="6"/>
      <c r="B27" s="6"/>
      <c r="C27" s="6"/>
      <c r="D27" s="6"/>
      <c r="E27" s="6"/>
      <c r="F27" s="6"/>
    </row>
    <row r="28" spans="1:6" ht="15.75" customHeight="1" x14ac:dyDescent="0.25">
      <c r="A28" s="6"/>
      <c r="B28" s="6"/>
      <c r="C28" s="6"/>
      <c r="D28" s="6"/>
      <c r="E28" s="6"/>
      <c r="F28" s="6"/>
    </row>
    <row r="29" spans="1:6" ht="15.75" customHeight="1" x14ac:dyDescent="0.25">
      <c r="A29" s="6"/>
      <c r="B29" s="6"/>
      <c r="C29" s="6"/>
      <c r="D29" s="6"/>
      <c r="E29" s="6"/>
      <c r="F29" s="6"/>
    </row>
    <row r="30" spans="1:6" ht="15.75" customHeight="1" x14ac:dyDescent="0.25">
      <c r="A30" s="6"/>
      <c r="B30" s="6"/>
      <c r="C30" s="6"/>
      <c r="D30" s="6"/>
      <c r="E30" s="6"/>
      <c r="F30" s="6"/>
    </row>
    <row r="31" spans="1:6" ht="15.75" customHeight="1" x14ac:dyDescent="0.25">
      <c r="A31" s="6"/>
      <c r="B31" s="6"/>
      <c r="C31" s="6"/>
      <c r="D31" s="6"/>
      <c r="E31" s="6"/>
      <c r="F31" s="6"/>
    </row>
    <row r="32" spans="1:6" ht="15.75" customHeight="1" x14ac:dyDescent="0.25">
      <c r="A32" s="6"/>
      <c r="B32" s="6"/>
      <c r="C32" s="6"/>
      <c r="D32" s="6"/>
      <c r="E32" s="6"/>
      <c r="F32" s="6"/>
    </row>
    <row r="33" spans="1:6" ht="15.75" customHeight="1" x14ac:dyDescent="0.25">
      <c r="A33" s="6"/>
      <c r="B33" s="6"/>
      <c r="C33" s="6"/>
      <c r="D33" s="6"/>
      <c r="E33" s="6"/>
      <c r="F33" s="6"/>
    </row>
    <row r="34" spans="1:6" ht="15.75" customHeight="1" x14ac:dyDescent="0.25">
      <c r="A34" s="6"/>
      <c r="B34" s="6"/>
      <c r="C34" s="6"/>
      <c r="D34" s="6"/>
      <c r="E34" s="6"/>
      <c r="F34" s="6"/>
    </row>
    <row r="35" spans="1:6" ht="15.75" customHeight="1" x14ac:dyDescent="0.25">
      <c r="A35" s="6"/>
      <c r="B35" s="6"/>
      <c r="C35" s="6"/>
      <c r="D35" s="6"/>
      <c r="E35" s="6"/>
      <c r="F35" s="6"/>
    </row>
    <row r="36" spans="1:6" ht="15.75" customHeight="1" x14ac:dyDescent="0.25">
      <c r="A36" s="6"/>
      <c r="B36" s="6"/>
      <c r="C36" s="6"/>
      <c r="D36" s="6"/>
      <c r="E36" s="6"/>
      <c r="F36" s="6"/>
    </row>
    <row r="37" spans="1:6" ht="15.75" customHeight="1" x14ac:dyDescent="0.25">
      <c r="A37" s="6"/>
      <c r="B37" s="6"/>
      <c r="C37" s="6"/>
      <c r="D37" s="6"/>
      <c r="E37" s="6"/>
      <c r="F37" s="6"/>
    </row>
    <row r="38" spans="1:6" ht="15.75" customHeight="1" x14ac:dyDescent="0.25">
      <c r="A38" s="6"/>
      <c r="B38" s="6"/>
      <c r="C38" s="6"/>
      <c r="D38" s="6"/>
      <c r="E38" s="6"/>
      <c r="F38" s="6"/>
    </row>
    <row r="39" spans="1:6" ht="15.75" customHeight="1" x14ac:dyDescent="0.25">
      <c r="A39" s="6"/>
      <c r="B39" s="6"/>
      <c r="C39" s="6"/>
      <c r="D39" s="6"/>
      <c r="E39" s="6"/>
      <c r="F39" s="6"/>
    </row>
    <row r="40" spans="1:6" ht="15.75" customHeight="1" x14ac:dyDescent="0.25">
      <c r="A40" s="6"/>
      <c r="B40" s="6"/>
      <c r="C40" s="6"/>
      <c r="D40" s="6"/>
      <c r="E40" s="6"/>
      <c r="F40" s="6"/>
    </row>
    <row r="41" spans="1:6" ht="15.75" customHeight="1" x14ac:dyDescent="0.25">
      <c r="A41" s="6"/>
      <c r="B41" s="6"/>
      <c r="C41" s="6"/>
      <c r="D41" s="6"/>
      <c r="E41" s="6"/>
      <c r="F41" s="6"/>
    </row>
    <row r="42" spans="1:6" ht="15.75" customHeight="1" x14ac:dyDescent="0.25">
      <c r="A42" s="6"/>
      <c r="B42" s="6"/>
      <c r="C42" s="6"/>
      <c r="D42" s="6"/>
      <c r="E42" s="6"/>
      <c r="F42" s="6"/>
    </row>
    <row r="43" spans="1:6" ht="15.75" customHeight="1" x14ac:dyDescent="0.25">
      <c r="A43" s="6"/>
      <c r="B43" s="6"/>
      <c r="C43" s="6"/>
      <c r="D43" s="6"/>
      <c r="E43" s="6"/>
      <c r="F43" s="6"/>
    </row>
    <row r="44" spans="1:6" ht="15.75" customHeight="1" x14ac:dyDescent="0.25">
      <c r="A44" s="6"/>
      <c r="B44" s="6"/>
      <c r="C44" s="6"/>
      <c r="D44" s="6"/>
      <c r="E44" s="6"/>
      <c r="F44" s="6"/>
    </row>
    <row r="45" spans="1:6" ht="15.75" customHeight="1" x14ac:dyDescent="0.25">
      <c r="A45" s="6"/>
      <c r="B45" s="6"/>
      <c r="C45" s="6"/>
      <c r="D45" s="6"/>
      <c r="E45" s="6"/>
      <c r="F45" s="6"/>
    </row>
    <row r="46" spans="1:6" ht="15.75" customHeight="1" x14ac:dyDescent="0.25">
      <c r="A46" s="6"/>
      <c r="B46" s="6"/>
      <c r="C46" s="6"/>
      <c r="D46" s="6"/>
      <c r="E46" s="6"/>
      <c r="F46" s="6"/>
    </row>
    <row r="47" spans="1:6" ht="15.75" customHeight="1" x14ac:dyDescent="0.25">
      <c r="A47" s="6"/>
      <c r="B47" s="6"/>
      <c r="C47" s="6"/>
      <c r="D47" s="6"/>
      <c r="E47" s="6"/>
      <c r="F47" s="6"/>
    </row>
    <row r="48" spans="1:6" ht="15.75" customHeight="1" x14ac:dyDescent="0.25">
      <c r="A48" s="6"/>
      <c r="B48" s="6"/>
      <c r="C48" s="6"/>
      <c r="D48" s="6"/>
      <c r="E48" s="6"/>
      <c r="F48" s="6"/>
    </row>
    <row r="49" spans="1:6" ht="15.75" customHeight="1" x14ac:dyDescent="0.25">
      <c r="A49" s="6"/>
      <c r="B49" s="6"/>
      <c r="C49" s="6"/>
      <c r="D49" s="6"/>
      <c r="E49" s="6"/>
      <c r="F49" s="6"/>
    </row>
    <row r="50" spans="1:6" ht="15.75" customHeight="1" x14ac:dyDescent="0.25">
      <c r="A50" s="6"/>
      <c r="B50" s="6"/>
      <c r="C50" s="6"/>
      <c r="D50" s="6"/>
      <c r="E50" s="6"/>
      <c r="F50" s="6"/>
    </row>
    <row r="51" spans="1:6" ht="15.75" customHeight="1" x14ac:dyDescent="0.25">
      <c r="A51" s="6"/>
      <c r="B51" s="6"/>
      <c r="C51" s="6"/>
      <c r="D51" s="6"/>
      <c r="E51" s="6"/>
      <c r="F51" s="6"/>
    </row>
    <row r="52" spans="1:6" ht="15.75" customHeight="1" x14ac:dyDescent="0.25">
      <c r="A52" s="6"/>
      <c r="B52" s="6"/>
      <c r="C52" s="6"/>
      <c r="D52" s="6"/>
      <c r="E52" s="6"/>
      <c r="F52" s="6"/>
    </row>
    <row r="53" spans="1:6" ht="15.75" customHeight="1" x14ac:dyDescent="0.25">
      <c r="A53" s="6"/>
      <c r="B53" s="6"/>
      <c r="C53" s="6"/>
      <c r="D53" s="6"/>
      <c r="E53" s="6"/>
      <c r="F53" s="6"/>
    </row>
    <row r="54" spans="1:6" ht="15.75" customHeight="1" x14ac:dyDescent="0.25">
      <c r="A54" s="6"/>
      <c r="B54" s="6"/>
      <c r="C54" s="6"/>
      <c r="D54" s="6"/>
      <c r="E54" s="6"/>
      <c r="F54" s="6"/>
    </row>
    <row r="55" spans="1:6" ht="15.75" customHeight="1" x14ac:dyDescent="0.25">
      <c r="A55" s="6"/>
      <c r="B55" s="6"/>
      <c r="C55" s="6"/>
      <c r="D55" s="6"/>
      <c r="E55" s="6"/>
      <c r="F55" s="6"/>
    </row>
    <row r="56" spans="1:6" ht="15.75" customHeight="1" x14ac:dyDescent="0.25">
      <c r="A56" s="6"/>
      <c r="B56" s="6"/>
      <c r="C56" s="6"/>
      <c r="D56" s="6"/>
      <c r="E56" s="6"/>
      <c r="F56" s="6"/>
    </row>
    <row r="57" spans="1:6" ht="15.75" customHeight="1" x14ac:dyDescent="0.25">
      <c r="A57" s="6"/>
      <c r="B57" s="6"/>
      <c r="C57" s="6"/>
      <c r="D57" s="6"/>
      <c r="E57" s="6"/>
      <c r="F57" s="6"/>
    </row>
    <row r="58" spans="1:6" ht="15.75" customHeight="1" x14ac:dyDescent="0.25">
      <c r="A58" s="6"/>
      <c r="B58" s="6"/>
      <c r="C58" s="6"/>
      <c r="D58" s="6"/>
      <c r="E58" s="6"/>
      <c r="F58" s="6"/>
    </row>
    <row r="59" spans="1:6" ht="15.75" customHeight="1" x14ac:dyDescent="0.25">
      <c r="A59" s="6"/>
      <c r="B59" s="6"/>
      <c r="C59" s="6"/>
      <c r="D59" s="6"/>
      <c r="E59" s="6"/>
      <c r="F59" s="6"/>
    </row>
    <row r="60" spans="1:6" ht="15.75" customHeight="1" x14ac:dyDescent="0.25">
      <c r="A60" s="6"/>
      <c r="B60" s="6"/>
      <c r="C60" s="6"/>
      <c r="D60" s="6"/>
      <c r="E60" s="6"/>
      <c r="F60" s="6"/>
    </row>
    <row r="61" spans="1:6" ht="15.75" customHeight="1" x14ac:dyDescent="0.25">
      <c r="A61" s="6"/>
      <c r="B61" s="6"/>
      <c r="C61" s="6"/>
      <c r="D61" s="6"/>
      <c r="E61" s="6"/>
      <c r="F61" s="6"/>
    </row>
    <row r="62" spans="1:6" ht="15.75" customHeight="1" x14ac:dyDescent="0.25">
      <c r="A62" s="6"/>
      <c r="B62" s="6"/>
      <c r="C62" s="6"/>
      <c r="D62" s="6"/>
      <c r="E62" s="6"/>
      <c r="F62" s="6"/>
    </row>
    <row r="63" spans="1:6" ht="15.75" customHeight="1" x14ac:dyDescent="0.25">
      <c r="A63" s="6"/>
      <c r="B63" s="6"/>
      <c r="C63" s="6"/>
      <c r="D63" s="6"/>
      <c r="E63" s="6"/>
      <c r="F63" s="6"/>
    </row>
    <row r="64" spans="1:6" ht="15.75" customHeight="1" x14ac:dyDescent="0.25">
      <c r="A64" s="6"/>
      <c r="B64" s="6"/>
      <c r="C64" s="6"/>
      <c r="D64" s="6"/>
      <c r="E64" s="6"/>
      <c r="F64" s="6"/>
    </row>
    <row r="65" spans="1:6" ht="15.75" customHeight="1" x14ac:dyDescent="0.25">
      <c r="A65" s="6"/>
      <c r="B65" s="6"/>
      <c r="C65" s="6"/>
      <c r="D65" s="6"/>
      <c r="E65" s="6"/>
      <c r="F65" s="6"/>
    </row>
    <row r="66" spans="1:6" ht="15.75" customHeight="1" x14ac:dyDescent="0.25">
      <c r="A66" s="6"/>
      <c r="B66" s="6"/>
      <c r="C66" s="6"/>
      <c r="D66" s="6"/>
      <c r="E66" s="6"/>
      <c r="F66" s="6"/>
    </row>
    <row r="67" spans="1:6" ht="15.75" customHeight="1" x14ac:dyDescent="0.25">
      <c r="A67" s="6"/>
      <c r="B67" s="6"/>
      <c r="C67" s="6"/>
      <c r="D67" s="6"/>
      <c r="E67" s="6"/>
      <c r="F67" s="6"/>
    </row>
    <row r="68" spans="1:6" ht="15.75" customHeight="1" x14ac:dyDescent="0.25">
      <c r="A68" s="6"/>
      <c r="B68" s="6"/>
      <c r="C68" s="6"/>
      <c r="D68" s="6"/>
      <c r="E68" s="6"/>
      <c r="F68" s="6"/>
    </row>
    <row r="69" spans="1:6" ht="15.75" customHeight="1" x14ac:dyDescent="0.25">
      <c r="A69" s="6"/>
      <c r="B69" s="6"/>
      <c r="C69" s="6"/>
      <c r="D69" s="6"/>
      <c r="E69" s="6"/>
      <c r="F69" s="6"/>
    </row>
    <row r="70" spans="1:6" ht="15.75" customHeight="1" x14ac:dyDescent="0.25">
      <c r="A70" s="6"/>
      <c r="B70" s="6"/>
      <c r="C70" s="6"/>
      <c r="D70" s="6"/>
      <c r="E70" s="6"/>
      <c r="F70" s="6"/>
    </row>
    <row r="71" spans="1:6" ht="15.75" customHeight="1" x14ac:dyDescent="0.25">
      <c r="A71" s="6"/>
      <c r="B71" s="6"/>
      <c r="C71" s="6"/>
      <c r="D71" s="6"/>
      <c r="E71" s="6"/>
      <c r="F71" s="6"/>
    </row>
    <row r="72" spans="1:6" ht="15.75" customHeight="1" x14ac:dyDescent="0.25">
      <c r="A72" s="6"/>
      <c r="B72" s="6"/>
      <c r="C72" s="6"/>
      <c r="D72" s="6"/>
      <c r="E72" s="6"/>
      <c r="F72" s="6"/>
    </row>
    <row r="73" spans="1:6" ht="15.75" customHeight="1" x14ac:dyDescent="0.25">
      <c r="A73" s="6"/>
      <c r="B73" s="6"/>
      <c r="C73" s="6"/>
      <c r="D73" s="6"/>
      <c r="E73" s="6"/>
      <c r="F73" s="6"/>
    </row>
    <row r="74" spans="1:6" ht="15.75" customHeight="1" x14ac:dyDescent="0.25">
      <c r="A74" s="6"/>
      <c r="B74" s="6"/>
      <c r="C74" s="6"/>
      <c r="D74" s="6"/>
      <c r="E74" s="6"/>
      <c r="F74" s="6"/>
    </row>
    <row r="75" spans="1:6" ht="15.75" customHeight="1" x14ac:dyDescent="0.25">
      <c r="A75" s="6"/>
      <c r="B75" s="6"/>
      <c r="C75" s="6"/>
      <c r="D75" s="6"/>
      <c r="E75" s="6"/>
      <c r="F75" s="6"/>
    </row>
    <row r="76" spans="1:6" ht="15.75" customHeight="1" x14ac:dyDescent="0.25">
      <c r="A76" s="6"/>
      <c r="B76" s="6"/>
      <c r="C76" s="6"/>
      <c r="D76" s="6"/>
      <c r="E76" s="6"/>
      <c r="F76" s="6"/>
    </row>
    <row r="77" spans="1:6" ht="15.75" customHeight="1" x14ac:dyDescent="0.25">
      <c r="A77" s="6"/>
      <c r="B77" s="6"/>
      <c r="C77" s="6"/>
      <c r="D77" s="6"/>
      <c r="E77" s="6"/>
      <c r="F77" s="6"/>
    </row>
    <row r="78" spans="1:6" ht="15.75" customHeight="1" x14ac:dyDescent="0.25">
      <c r="A78" s="6"/>
      <c r="B78" s="6"/>
      <c r="C78" s="6"/>
      <c r="D78" s="6"/>
      <c r="E78" s="6"/>
      <c r="F78" s="6"/>
    </row>
    <row r="79" spans="1:6" ht="15.75" customHeight="1" x14ac:dyDescent="0.25">
      <c r="A79" s="6"/>
      <c r="B79" s="6"/>
      <c r="C79" s="6"/>
      <c r="D79" s="6"/>
      <c r="E79" s="6"/>
      <c r="F79" s="6"/>
    </row>
    <row r="80" spans="1:6" ht="15.75" customHeight="1" x14ac:dyDescent="0.25">
      <c r="A80" s="6"/>
      <c r="B80" s="6"/>
      <c r="C80" s="6"/>
      <c r="D80" s="6"/>
      <c r="E80" s="6"/>
      <c r="F80" s="6"/>
    </row>
    <row r="81" spans="1:6" ht="15.75" customHeight="1" x14ac:dyDescent="0.25">
      <c r="A81" s="6"/>
      <c r="B81" s="6"/>
      <c r="C81" s="6"/>
      <c r="D81" s="6"/>
      <c r="E81" s="6"/>
      <c r="F81" s="6"/>
    </row>
    <row r="82" spans="1:6" ht="15.75" customHeight="1" x14ac:dyDescent="0.25">
      <c r="A82" s="6"/>
      <c r="B82" s="6"/>
      <c r="C82" s="6"/>
      <c r="D82" s="6"/>
      <c r="E82" s="6"/>
      <c r="F82" s="6"/>
    </row>
    <row r="83" spans="1:6" ht="15.75" customHeight="1" x14ac:dyDescent="0.25">
      <c r="A83" s="6"/>
      <c r="B83" s="6"/>
      <c r="C83" s="6"/>
      <c r="D83" s="6"/>
      <c r="E83" s="6"/>
      <c r="F83" s="6"/>
    </row>
    <row r="84" spans="1:6" ht="15.75" customHeight="1" x14ac:dyDescent="0.25">
      <c r="A84" s="6"/>
      <c r="B84" s="6"/>
      <c r="C84" s="6"/>
      <c r="D84" s="6"/>
      <c r="E84" s="6"/>
      <c r="F84" s="6"/>
    </row>
    <row r="85" spans="1:6" ht="15.75" customHeight="1" x14ac:dyDescent="0.25">
      <c r="A85" s="6"/>
      <c r="B85" s="6"/>
      <c r="C85" s="6"/>
      <c r="D85" s="6"/>
      <c r="E85" s="6"/>
      <c r="F85" s="6"/>
    </row>
    <row r="86" spans="1:6" ht="15.75" customHeight="1" x14ac:dyDescent="0.25">
      <c r="A86" s="6"/>
      <c r="B86" s="6"/>
      <c r="C86" s="6"/>
      <c r="D86" s="6"/>
      <c r="E86" s="6"/>
      <c r="F86" s="6"/>
    </row>
    <row r="87" spans="1:6" ht="15.75" customHeight="1" x14ac:dyDescent="0.25">
      <c r="A87" s="6"/>
      <c r="B87" s="6"/>
      <c r="C87" s="6"/>
      <c r="D87" s="6"/>
      <c r="E87" s="6"/>
      <c r="F87" s="6"/>
    </row>
    <row r="88" spans="1:6" ht="15.75" customHeight="1" x14ac:dyDescent="0.25">
      <c r="A88" s="6"/>
      <c r="B88" s="6"/>
      <c r="C88" s="6"/>
      <c r="D88" s="6"/>
      <c r="E88" s="6"/>
      <c r="F88" s="6"/>
    </row>
    <row r="89" spans="1:6" ht="15.75" customHeight="1" x14ac:dyDescent="0.25">
      <c r="A89" s="6"/>
      <c r="B89" s="6"/>
      <c r="C89" s="6"/>
      <c r="D89" s="6"/>
      <c r="E89" s="6"/>
      <c r="F89" s="6"/>
    </row>
    <row r="90" spans="1:6" ht="15.75" customHeight="1" x14ac:dyDescent="0.25">
      <c r="A90" s="6"/>
      <c r="B90" s="6"/>
      <c r="C90" s="6"/>
      <c r="D90" s="6"/>
      <c r="E90" s="6"/>
      <c r="F90" s="6"/>
    </row>
    <row r="91" spans="1:6" ht="15.75" customHeight="1" x14ac:dyDescent="0.25">
      <c r="A91" s="6"/>
      <c r="B91" s="6"/>
      <c r="C91" s="6"/>
      <c r="D91" s="6"/>
      <c r="E91" s="6"/>
      <c r="F91" s="6"/>
    </row>
    <row r="92" spans="1:6" ht="15.75" customHeight="1" x14ac:dyDescent="0.25">
      <c r="A92" s="6"/>
      <c r="B92" s="6"/>
      <c r="C92" s="6"/>
      <c r="D92" s="6"/>
      <c r="E92" s="6"/>
      <c r="F92" s="6"/>
    </row>
    <row r="93" spans="1:6" ht="15.75" customHeight="1" x14ac:dyDescent="0.25">
      <c r="A93" s="6"/>
      <c r="B93" s="6"/>
      <c r="C93" s="6"/>
      <c r="D93" s="6"/>
      <c r="E93" s="6"/>
      <c r="F93" s="6"/>
    </row>
    <row r="94" spans="1:6" ht="15.75" customHeight="1" x14ac:dyDescent="0.25">
      <c r="A94" s="6"/>
      <c r="B94" s="6"/>
      <c r="C94" s="6"/>
      <c r="D94" s="6"/>
      <c r="E94" s="6"/>
      <c r="F94" s="6"/>
    </row>
    <row r="95" spans="1:6" ht="15.75" customHeight="1" x14ac:dyDescent="0.25">
      <c r="A95" s="6"/>
      <c r="B95" s="6"/>
      <c r="C95" s="6"/>
      <c r="D95" s="6"/>
      <c r="E95" s="6"/>
      <c r="F95" s="6"/>
    </row>
    <row r="96" spans="1:6" ht="15.75" customHeight="1" x14ac:dyDescent="0.25">
      <c r="A96" s="6"/>
      <c r="B96" s="6"/>
      <c r="C96" s="6"/>
      <c r="D96" s="6"/>
      <c r="E96" s="6"/>
      <c r="F96" s="6"/>
    </row>
    <row r="97" spans="1:6" ht="15.75" customHeight="1" x14ac:dyDescent="0.25">
      <c r="A97" s="6"/>
      <c r="B97" s="6"/>
      <c r="C97" s="6"/>
      <c r="D97" s="6"/>
      <c r="E97" s="6"/>
      <c r="F97" s="6"/>
    </row>
    <row r="98" spans="1:6" ht="15.75" customHeight="1" x14ac:dyDescent="0.25">
      <c r="A98" s="6"/>
      <c r="B98" s="6"/>
      <c r="C98" s="6"/>
      <c r="D98" s="6"/>
      <c r="E98" s="6"/>
      <c r="F98" s="6"/>
    </row>
    <row r="99" spans="1:6" ht="15.75" customHeight="1" x14ac:dyDescent="0.25">
      <c r="A99" s="6"/>
      <c r="B99" s="6"/>
      <c r="C99" s="6"/>
      <c r="D99" s="6"/>
      <c r="E99" s="6"/>
      <c r="F99" s="6"/>
    </row>
    <row r="100" spans="1:6" ht="15.75" customHeight="1" x14ac:dyDescent="0.25">
      <c r="A100" s="6"/>
      <c r="B100" s="6"/>
      <c r="C100" s="6"/>
      <c r="D100" s="6"/>
      <c r="E100" s="6"/>
      <c r="F100" s="6"/>
    </row>
    <row r="101" spans="1:6" ht="15.75" customHeight="1" x14ac:dyDescent="0.25">
      <c r="A101" s="6"/>
      <c r="B101" s="6"/>
      <c r="C101" s="6"/>
      <c r="D101" s="6"/>
      <c r="E101" s="6"/>
      <c r="F101" s="6"/>
    </row>
    <row r="102" spans="1:6" ht="15.75" customHeight="1" x14ac:dyDescent="0.25">
      <c r="A102" s="6"/>
      <c r="B102" s="6"/>
      <c r="C102" s="6"/>
      <c r="D102" s="6"/>
      <c r="E102" s="6"/>
      <c r="F102" s="6"/>
    </row>
    <row r="103" spans="1:6" ht="15.75" customHeight="1" x14ac:dyDescent="0.25">
      <c r="A103" s="6"/>
      <c r="B103" s="6"/>
      <c r="C103" s="6"/>
      <c r="D103" s="6"/>
      <c r="E103" s="6"/>
      <c r="F103" s="6"/>
    </row>
    <row r="104" spans="1:6" ht="15.75" customHeight="1" x14ac:dyDescent="0.25">
      <c r="A104" s="6"/>
      <c r="B104" s="6"/>
      <c r="C104" s="6"/>
      <c r="D104" s="6"/>
      <c r="E104" s="6"/>
      <c r="F104" s="6"/>
    </row>
    <row r="105" spans="1:6" ht="15.75" customHeight="1" x14ac:dyDescent="0.25">
      <c r="A105" s="6"/>
      <c r="B105" s="6"/>
      <c r="C105" s="6"/>
      <c r="D105" s="6"/>
      <c r="E105" s="6"/>
      <c r="F105" s="6"/>
    </row>
    <row r="106" spans="1:6" ht="15.75" customHeight="1" x14ac:dyDescent="0.25">
      <c r="A106" s="6"/>
      <c r="B106" s="6"/>
      <c r="C106" s="6"/>
      <c r="D106" s="6"/>
      <c r="E106" s="6"/>
      <c r="F106" s="6"/>
    </row>
    <row r="107" spans="1:6" ht="15.75" customHeight="1" x14ac:dyDescent="0.25">
      <c r="A107" s="6"/>
      <c r="B107" s="6"/>
      <c r="C107" s="6"/>
      <c r="D107" s="6"/>
      <c r="E107" s="6"/>
      <c r="F107" s="6"/>
    </row>
    <row r="108" spans="1:6" ht="15.75" customHeight="1" x14ac:dyDescent="0.25">
      <c r="A108" s="6"/>
      <c r="B108" s="6"/>
      <c r="C108" s="6"/>
      <c r="D108" s="6"/>
      <c r="E108" s="6"/>
      <c r="F108" s="6"/>
    </row>
    <row r="109" spans="1:6" ht="15.75" customHeight="1" x14ac:dyDescent="0.25">
      <c r="A109" s="6"/>
      <c r="B109" s="6"/>
      <c r="C109" s="6"/>
      <c r="D109" s="6"/>
      <c r="E109" s="6"/>
      <c r="F109" s="6"/>
    </row>
    <row r="110" spans="1:6" ht="15.75" customHeight="1" x14ac:dyDescent="0.25">
      <c r="A110" s="6"/>
      <c r="B110" s="6"/>
      <c r="C110" s="6"/>
      <c r="D110" s="6"/>
      <c r="E110" s="6"/>
      <c r="F110" s="6"/>
    </row>
    <row r="111" spans="1:6" ht="15.75" customHeight="1" x14ac:dyDescent="0.25">
      <c r="A111" s="6"/>
      <c r="B111" s="6"/>
      <c r="C111" s="6"/>
      <c r="D111" s="6"/>
      <c r="E111" s="6"/>
      <c r="F111" s="6"/>
    </row>
    <row r="112" spans="1:6" ht="15.75" customHeight="1" x14ac:dyDescent="0.25">
      <c r="A112" s="6"/>
      <c r="B112" s="6"/>
      <c r="C112" s="6"/>
      <c r="D112" s="6"/>
      <c r="E112" s="6"/>
      <c r="F112" s="6"/>
    </row>
    <row r="113" spans="1:6" ht="15.75" customHeight="1" x14ac:dyDescent="0.25">
      <c r="A113" s="6"/>
      <c r="B113" s="6"/>
      <c r="C113" s="6"/>
      <c r="D113" s="6"/>
      <c r="E113" s="6"/>
      <c r="F113" s="6"/>
    </row>
    <row r="114" spans="1:6" ht="15.75" customHeight="1" x14ac:dyDescent="0.25">
      <c r="A114" s="6"/>
      <c r="B114" s="6"/>
      <c r="C114" s="6"/>
      <c r="D114" s="6"/>
      <c r="E114" s="6"/>
      <c r="F114" s="6"/>
    </row>
    <row r="115" spans="1:6" ht="15.75" customHeight="1" x14ac:dyDescent="0.25">
      <c r="A115" s="6"/>
      <c r="B115" s="6"/>
      <c r="C115" s="6"/>
      <c r="D115" s="6"/>
      <c r="E115" s="6"/>
      <c r="F115" s="6"/>
    </row>
    <row r="116" spans="1:6" ht="15.75" customHeight="1" x14ac:dyDescent="0.25">
      <c r="A116" s="6"/>
      <c r="B116" s="6"/>
      <c r="C116" s="6"/>
      <c r="D116" s="6"/>
      <c r="E116" s="6"/>
      <c r="F116" s="6"/>
    </row>
    <row r="117" spans="1:6" ht="15.75" customHeight="1" x14ac:dyDescent="0.25">
      <c r="A117" s="6"/>
      <c r="B117" s="6"/>
      <c r="C117" s="6"/>
      <c r="D117" s="6"/>
      <c r="E117" s="6"/>
      <c r="F117" s="6"/>
    </row>
    <row r="118" spans="1:6" ht="15.75" customHeight="1" x14ac:dyDescent="0.25">
      <c r="A118" s="6"/>
      <c r="B118" s="6"/>
      <c r="C118" s="6"/>
      <c r="D118" s="6"/>
      <c r="E118" s="6"/>
      <c r="F118" s="6"/>
    </row>
    <row r="119" spans="1:6" ht="15.75" customHeight="1" x14ac:dyDescent="0.25">
      <c r="A119" s="6"/>
      <c r="B119" s="6"/>
      <c r="C119" s="6"/>
      <c r="D119" s="6"/>
      <c r="E119" s="6"/>
      <c r="F119" s="6"/>
    </row>
    <row r="120" spans="1:6" ht="15.75" customHeight="1" x14ac:dyDescent="0.25">
      <c r="A120" s="6"/>
      <c r="B120" s="6"/>
      <c r="C120" s="6"/>
      <c r="D120" s="6"/>
      <c r="E120" s="6"/>
      <c r="F120" s="6"/>
    </row>
    <row r="121" spans="1:6" ht="15.75" customHeight="1" x14ac:dyDescent="0.25">
      <c r="A121" s="6"/>
      <c r="B121" s="6"/>
      <c r="C121" s="6"/>
      <c r="D121" s="6"/>
      <c r="E121" s="6"/>
      <c r="F121" s="6"/>
    </row>
    <row r="122" spans="1:6" ht="15.75" customHeight="1" x14ac:dyDescent="0.25">
      <c r="A122" s="6"/>
      <c r="B122" s="6"/>
      <c r="C122" s="6"/>
      <c r="D122" s="6"/>
      <c r="E122" s="6"/>
      <c r="F122" s="6"/>
    </row>
    <row r="123" spans="1:6" ht="15.75" customHeight="1" x14ac:dyDescent="0.25">
      <c r="A123" s="6"/>
      <c r="B123" s="6"/>
      <c r="C123" s="6"/>
      <c r="D123" s="6"/>
      <c r="E123" s="6"/>
      <c r="F123" s="6"/>
    </row>
    <row r="124" spans="1:6" ht="15.75" customHeight="1" x14ac:dyDescent="0.25">
      <c r="A124" s="6"/>
      <c r="B124" s="6"/>
      <c r="C124" s="6"/>
      <c r="D124" s="6"/>
      <c r="E124" s="6"/>
      <c r="F124" s="6"/>
    </row>
    <row r="125" spans="1:6" ht="15.75" customHeight="1" x14ac:dyDescent="0.25">
      <c r="A125" s="6"/>
      <c r="B125" s="6"/>
      <c r="C125" s="6"/>
      <c r="D125" s="6"/>
      <c r="E125" s="6"/>
      <c r="F125" s="6"/>
    </row>
    <row r="126" spans="1:6" ht="15.75" customHeight="1" x14ac:dyDescent="0.25">
      <c r="A126" s="6"/>
      <c r="B126" s="6"/>
      <c r="C126" s="6"/>
      <c r="D126" s="6"/>
      <c r="E126" s="6"/>
      <c r="F126" s="6"/>
    </row>
    <row r="127" spans="1:6" ht="15.75" customHeight="1" x14ac:dyDescent="0.25">
      <c r="A127" s="6"/>
      <c r="B127" s="6"/>
      <c r="C127" s="6"/>
      <c r="D127" s="6"/>
      <c r="E127" s="6"/>
      <c r="F127" s="6"/>
    </row>
    <row r="128" spans="1:6" ht="15.75" customHeight="1" x14ac:dyDescent="0.25">
      <c r="A128" s="6"/>
      <c r="B128" s="6"/>
      <c r="C128" s="6"/>
      <c r="D128" s="6"/>
      <c r="E128" s="6"/>
      <c r="F128" s="6"/>
    </row>
    <row r="129" spans="1:6" ht="15.75" customHeight="1" x14ac:dyDescent="0.25">
      <c r="A129" s="6"/>
      <c r="B129" s="6"/>
      <c r="C129" s="6"/>
      <c r="D129" s="6"/>
      <c r="E129" s="6"/>
      <c r="F129" s="6"/>
    </row>
    <row r="130" spans="1:6" ht="15.75" customHeight="1" x14ac:dyDescent="0.25">
      <c r="A130" s="6"/>
      <c r="B130" s="6"/>
      <c r="C130" s="6"/>
      <c r="D130" s="6"/>
      <c r="E130" s="6"/>
      <c r="F130" s="6"/>
    </row>
    <row r="131" spans="1:6" ht="15.75" customHeight="1" x14ac:dyDescent="0.25">
      <c r="A131" s="6"/>
      <c r="B131" s="6"/>
      <c r="C131" s="6"/>
      <c r="D131" s="6"/>
      <c r="E131" s="6"/>
      <c r="F131" s="6"/>
    </row>
    <row r="132" spans="1:6" ht="15.75" customHeight="1" x14ac:dyDescent="0.25">
      <c r="A132" s="6"/>
      <c r="B132" s="6"/>
      <c r="C132" s="6"/>
      <c r="D132" s="6"/>
      <c r="E132" s="6"/>
      <c r="F132" s="6"/>
    </row>
    <row r="133" spans="1:6" ht="15.75" customHeight="1" x14ac:dyDescent="0.25">
      <c r="A133" s="6"/>
      <c r="B133" s="6"/>
      <c r="C133" s="6"/>
      <c r="D133" s="6"/>
      <c r="E133" s="6"/>
      <c r="F133" s="6"/>
    </row>
    <row r="134" spans="1:6" ht="15.75" customHeight="1" x14ac:dyDescent="0.25">
      <c r="A134" s="6"/>
      <c r="B134" s="6"/>
      <c r="C134" s="6"/>
      <c r="D134" s="6"/>
      <c r="E134" s="6"/>
      <c r="F134" s="6"/>
    </row>
    <row r="135" spans="1:6" ht="15.75" customHeight="1" x14ac:dyDescent="0.25">
      <c r="A135" s="6"/>
      <c r="B135" s="6"/>
      <c r="C135" s="6"/>
      <c r="D135" s="6"/>
      <c r="E135" s="6"/>
      <c r="F135" s="6"/>
    </row>
    <row r="136" spans="1:6" ht="15.75" customHeight="1" x14ac:dyDescent="0.25">
      <c r="A136" s="6"/>
      <c r="B136" s="6"/>
      <c r="C136" s="6"/>
      <c r="D136" s="6"/>
      <c r="E136" s="6"/>
      <c r="F136" s="6"/>
    </row>
    <row r="137" spans="1:6" ht="15.75" customHeight="1" x14ac:dyDescent="0.25">
      <c r="A137" s="6"/>
      <c r="B137" s="6"/>
      <c r="C137" s="6"/>
      <c r="D137" s="6"/>
      <c r="E137" s="6"/>
      <c r="F137" s="6"/>
    </row>
    <row r="138" spans="1:6" ht="15.75" customHeight="1" x14ac:dyDescent="0.25">
      <c r="A138" s="6"/>
      <c r="B138" s="6"/>
      <c r="C138" s="6"/>
      <c r="D138" s="6"/>
      <c r="E138" s="6"/>
      <c r="F138" s="6"/>
    </row>
    <row r="139" spans="1:6" ht="15.75" customHeight="1" x14ac:dyDescent="0.25">
      <c r="A139" s="6"/>
      <c r="B139" s="6"/>
      <c r="C139" s="6"/>
      <c r="D139" s="6"/>
      <c r="E139" s="6"/>
      <c r="F139" s="6"/>
    </row>
    <row r="140" spans="1:6" ht="15.75" customHeight="1" x14ac:dyDescent="0.25">
      <c r="A140" s="6"/>
      <c r="B140" s="6"/>
      <c r="C140" s="6"/>
      <c r="D140" s="6"/>
      <c r="E140" s="6"/>
      <c r="F140" s="6"/>
    </row>
    <row r="141" spans="1:6" ht="15.75" customHeight="1" x14ac:dyDescent="0.25">
      <c r="A141" s="6"/>
      <c r="B141" s="6"/>
      <c r="C141" s="6"/>
      <c r="D141" s="6"/>
      <c r="E141" s="6"/>
      <c r="F141" s="6"/>
    </row>
    <row r="142" spans="1:6" ht="15.75" customHeight="1" x14ac:dyDescent="0.25">
      <c r="A142" s="6"/>
      <c r="B142" s="6"/>
      <c r="C142" s="6"/>
      <c r="D142" s="6"/>
      <c r="E142" s="6"/>
      <c r="F142" s="6"/>
    </row>
    <row r="143" spans="1:6" ht="15.75" customHeight="1" x14ac:dyDescent="0.25">
      <c r="A143" s="6"/>
      <c r="B143" s="6"/>
      <c r="C143" s="6"/>
      <c r="D143" s="6"/>
      <c r="E143" s="6"/>
      <c r="F143" s="6"/>
    </row>
    <row r="144" spans="1:6" ht="15.75" customHeight="1" x14ac:dyDescent="0.25">
      <c r="A144" s="6"/>
      <c r="B144" s="6"/>
      <c r="C144" s="6"/>
      <c r="D144" s="6"/>
      <c r="E144" s="6"/>
      <c r="F144" s="6"/>
    </row>
    <row r="145" spans="1:6" ht="15.75" customHeight="1" x14ac:dyDescent="0.25">
      <c r="A145" s="6"/>
      <c r="B145" s="6"/>
      <c r="C145" s="6"/>
      <c r="D145" s="6"/>
      <c r="E145" s="6"/>
      <c r="F145" s="6"/>
    </row>
    <row r="146" spans="1:6" ht="15.75" customHeight="1" x14ac:dyDescent="0.25">
      <c r="A146" s="6"/>
      <c r="B146" s="6"/>
      <c r="C146" s="6"/>
      <c r="D146" s="6"/>
      <c r="E146" s="6"/>
      <c r="F146" s="6"/>
    </row>
    <row r="147" spans="1:6" ht="15.75" customHeight="1" x14ac:dyDescent="0.25">
      <c r="A147" s="6"/>
      <c r="B147" s="6"/>
      <c r="C147" s="6"/>
      <c r="D147" s="6"/>
      <c r="E147" s="6"/>
      <c r="F147" s="6"/>
    </row>
    <row r="148" spans="1:6" ht="15.75" customHeight="1" x14ac:dyDescent="0.25">
      <c r="A148" s="6"/>
      <c r="B148" s="6"/>
      <c r="C148" s="6"/>
      <c r="D148" s="6"/>
      <c r="E148" s="6"/>
      <c r="F148" s="6"/>
    </row>
    <row r="149" spans="1:6" ht="15.75" customHeight="1" x14ac:dyDescent="0.25">
      <c r="A149" s="6"/>
      <c r="B149" s="6"/>
      <c r="C149" s="6"/>
      <c r="D149" s="6"/>
      <c r="E149" s="6"/>
      <c r="F149" s="6"/>
    </row>
    <row r="150" spans="1:6" ht="15.75" customHeight="1" x14ac:dyDescent="0.25">
      <c r="A150" s="6"/>
      <c r="B150" s="6"/>
      <c r="C150" s="6"/>
      <c r="D150" s="6"/>
      <c r="E150" s="6"/>
      <c r="F150" s="6"/>
    </row>
    <row r="151" spans="1:6" ht="15.75" customHeight="1" x14ac:dyDescent="0.25">
      <c r="A151" s="6"/>
      <c r="B151" s="6"/>
      <c r="C151" s="6"/>
      <c r="D151" s="6"/>
      <c r="E151" s="6"/>
      <c r="F151" s="6"/>
    </row>
    <row r="152" spans="1:6" ht="15.75" customHeight="1" x14ac:dyDescent="0.25">
      <c r="A152" s="6"/>
      <c r="B152" s="6"/>
      <c r="C152" s="6"/>
      <c r="D152" s="6"/>
      <c r="E152" s="6"/>
      <c r="F152" s="6"/>
    </row>
    <row r="153" spans="1:6" ht="15.75" customHeight="1" x14ac:dyDescent="0.25">
      <c r="A153" s="6"/>
      <c r="B153" s="6"/>
      <c r="C153" s="6"/>
      <c r="D153" s="6"/>
      <c r="E153" s="6"/>
      <c r="F153" s="6"/>
    </row>
    <row r="154" spans="1:6" ht="15.75" customHeight="1" x14ac:dyDescent="0.25">
      <c r="A154" s="6"/>
      <c r="B154" s="6"/>
      <c r="C154" s="6"/>
      <c r="D154" s="6"/>
      <c r="E154" s="6"/>
      <c r="F154" s="6"/>
    </row>
    <row r="155" spans="1:6" ht="15.75" customHeight="1" x14ac:dyDescent="0.25">
      <c r="A155" s="6"/>
      <c r="B155" s="6"/>
      <c r="C155" s="6"/>
      <c r="D155" s="6"/>
      <c r="E155" s="6"/>
      <c r="F155" s="6"/>
    </row>
    <row r="156" spans="1:6" ht="15.75" customHeight="1" x14ac:dyDescent="0.25">
      <c r="A156" s="6"/>
      <c r="B156" s="6"/>
      <c r="C156" s="6"/>
      <c r="D156" s="6"/>
      <c r="E156" s="6"/>
      <c r="F156" s="6"/>
    </row>
    <row r="157" spans="1:6" ht="15.75" customHeight="1" x14ac:dyDescent="0.25">
      <c r="A157" s="6"/>
      <c r="B157" s="6"/>
      <c r="C157" s="6"/>
      <c r="D157" s="6"/>
      <c r="E157" s="6"/>
      <c r="F157" s="6"/>
    </row>
    <row r="158" spans="1:6" ht="15.75" customHeight="1" x14ac:dyDescent="0.25">
      <c r="A158" s="6"/>
      <c r="B158" s="6"/>
      <c r="C158" s="6"/>
      <c r="D158" s="6"/>
      <c r="E158" s="6"/>
      <c r="F158" s="6"/>
    </row>
    <row r="159" spans="1:6" ht="15.75" customHeight="1" x14ac:dyDescent="0.25">
      <c r="A159" s="6"/>
      <c r="B159" s="6"/>
      <c r="C159" s="6"/>
      <c r="D159" s="6"/>
      <c r="E159" s="6"/>
      <c r="F159" s="6"/>
    </row>
    <row r="160" spans="1:6" ht="15.75" customHeight="1" x14ac:dyDescent="0.25">
      <c r="A160" s="6"/>
      <c r="B160" s="6"/>
      <c r="C160" s="6"/>
      <c r="D160" s="6"/>
      <c r="E160" s="6"/>
      <c r="F160" s="6"/>
    </row>
    <row r="161" spans="1:6" ht="15.75" customHeight="1" x14ac:dyDescent="0.25">
      <c r="A161" s="6"/>
      <c r="B161" s="6"/>
      <c r="C161" s="6"/>
      <c r="D161" s="6"/>
      <c r="E161" s="6"/>
      <c r="F161" s="6"/>
    </row>
    <row r="162" spans="1:6" ht="15.75" customHeight="1" x14ac:dyDescent="0.25">
      <c r="A162" s="6"/>
      <c r="B162" s="6"/>
      <c r="C162" s="6"/>
      <c r="D162" s="6"/>
      <c r="E162" s="6"/>
      <c r="F162" s="6"/>
    </row>
    <row r="163" spans="1:6" ht="15.75" customHeight="1" x14ac:dyDescent="0.25">
      <c r="A163" s="6"/>
      <c r="B163" s="6"/>
      <c r="C163" s="6"/>
      <c r="D163" s="6"/>
      <c r="E163" s="6"/>
      <c r="F163" s="6"/>
    </row>
    <row r="164" spans="1:6" ht="15.75" customHeight="1" x14ac:dyDescent="0.25">
      <c r="A164" s="6"/>
      <c r="B164" s="6"/>
      <c r="C164" s="6"/>
      <c r="D164" s="6"/>
      <c r="E164" s="6"/>
      <c r="F164" s="6"/>
    </row>
    <row r="165" spans="1:6" ht="15.75" customHeight="1" x14ac:dyDescent="0.25">
      <c r="A165" s="6"/>
      <c r="B165" s="6"/>
      <c r="C165" s="6"/>
      <c r="D165" s="6"/>
      <c r="E165" s="6"/>
      <c r="F165" s="6"/>
    </row>
    <row r="166" spans="1:6" ht="15.75" customHeight="1" x14ac:dyDescent="0.25">
      <c r="A166" s="6"/>
      <c r="B166" s="6"/>
      <c r="C166" s="6"/>
      <c r="D166" s="6"/>
      <c r="E166" s="6"/>
      <c r="F166" s="6"/>
    </row>
    <row r="167" spans="1:6" ht="15.75" customHeight="1" x14ac:dyDescent="0.25">
      <c r="A167" s="6"/>
      <c r="B167" s="6"/>
      <c r="C167" s="6"/>
      <c r="D167" s="6"/>
      <c r="E167" s="6"/>
      <c r="F167" s="6"/>
    </row>
    <row r="168" spans="1:6" ht="15.75" customHeight="1" x14ac:dyDescent="0.25">
      <c r="A168" s="6"/>
      <c r="B168" s="6"/>
      <c r="C168" s="6"/>
      <c r="D168" s="6"/>
      <c r="E168" s="6"/>
      <c r="F168" s="6"/>
    </row>
    <row r="169" spans="1:6" ht="15.75" customHeight="1" x14ac:dyDescent="0.25">
      <c r="A169" s="6"/>
      <c r="B169" s="6"/>
      <c r="C169" s="6"/>
      <c r="D169" s="6"/>
      <c r="E169" s="6"/>
      <c r="F169" s="6"/>
    </row>
    <row r="170" spans="1:6" ht="15.75" customHeight="1" x14ac:dyDescent="0.25">
      <c r="A170" s="6"/>
      <c r="B170" s="6"/>
      <c r="C170" s="6"/>
      <c r="D170" s="6"/>
      <c r="E170" s="6"/>
      <c r="F170" s="6"/>
    </row>
    <row r="171" spans="1:6" ht="15.75" customHeight="1" x14ac:dyDescent="0.25">
      <c r="A171" s="6"/>
      <c r="B171" s="6"/>
      <c r="C171" s="6"/>
      <c r="D171" s="6"/>
      <c r="E171" s="6"/>
      <c r="F171" s="6"/>
    </row>
    <row r="172" spans="1:6" ht="15.75" customHeight="1" x14ac:dyDescent="0.25">
      <c r="A172" s="6"/>
      <c r="B172" s="6"/>
      <c r="C172" s="6"/>
      <c r="D172" s="6"/>
      <c r="E172" s="6"/>
      <c r="F172" s="6"/>
    </row>
    <row r="173" spans="1:6" ht="15.75" customHeight="1" x14ac:dyDescent="0.25">
      <c r="A173" s="6"/>
      <c r="B173" s="6"/>
      <c r="C173" s="6"/>
      <c r="D173" s="6"/>
      <c r="E173" s="6"/>
      <c r="F173" s="6"/>
    </row>
    <row r="174" spans="1:6" ht="15.75" customHeight="1" x14ac:dyDescent="0.25">
      <c r="A174" s="6"/>
      <c r="B174" s="6"/>
      <c r="C174" s="6"/>
      <c r="D174" s="6"/>
      <c r="E174" s="6"/>
      <c r="F174" s="6"/>
    </row>
    <row r="175" spans="1:6" ht="15.75" customHeight="1" x14ac:dyDescent="0.25">
      <c r="A175" s="6"/>
      <c r="B175" s="6"/>
      <c r="C175" s="6"/>
      <c r="D175" s="6"/>
      <c r="E175" s="6"/>
      <c r="F175" s="6"/>
    </row>
    <row r="176" spans="1:6" ht="15.75" customHeight="1" x14ac:dyDescent="0.25">
      <c r="A176" s="6"/>
      <c r="B176" s="6"/>
      <c r="C176" s="6"/>
      <c r="D176" s="6"/>
      <c r="E176" s="6"/>
      <c r="F176" s="6"/>
    </row>
    <row r="177" spans="1:6" ht="15.75" customHeight="1" x14ac:dyDescent="0.25">
      <c r="A177" s="6"/>
      <c r="B177" s="6"/>
      <c r="C177" s="6"/>
      <c r="D177" s="6"/>
      <c r="E177" s="6"/>
      <c r="F177" s="6"/>
    </row>
    <row r="178" spans="1:6" ht="15.75" customHeight="1" x14ac:dyDescent="0.25">
      <c r="A178" s="6"/>
      <c r="B178" s="6"/>
      <c r="C178" s="6"/>
      <c r="D178" s="6"/>
      <c r="E178" s="6"/>
      <c r="F178" s="6"/>
    </row>
    <row r="179" spans="1:6" ht="15.75" customHeight="1" x14ac:dyDescent="0.25">
      <c r="A179" s="6"/>
      <c r="B179" s="6"/>
      <c r="C179" s="6"/>
      <c r="D179" s="6"/>
      <c r="E179" s="6"/>
      <c r="F179" s="6"/>
    </row>
    <row r="180" spans="1:6" ht="15.75" customHeight="1" x14ac:dyDescent="0.25">
      <c r="A180" s="6"/>
      <c r="B180" s="6"/>
      <c r="C180" s="6"/>
      <c r="D180" s="6"/>
      <c r="E180" s="6"/>
      <c r="F180" s="6"/>
    </row>
    <row r="181" spans="1:6" ht="15.75" customHeight="1" x14ac:dyDescent="0.25">
      <c r="A181" s="6"/>
      <c r="B181" s="6"/>
      <c r="C181" s="6"/>
      <c r="D181" s="6"/>
      <c r="E181" s="6"/>
      <c r="F181" s="6"/>
    </row>
    <row r="182" spans="1:6" ht="15.75" customHeight="1" x14ac:dyDescent="0.25">
      <c r="A182" s="6"/>
      <c r="B182" s="6"/>
      <c r="C182" s="6"/>
      <c r="D182" s="6"/>
      <c r="E182" s="6"/>
      <c r="F182" s="6"/>
    </row>
    <row r="183" spans="1:6" ht="15.75" customHeight="1" x14ac:dyDescent="0.25">
      <c r="A183" s="6"/>
      <c r="B183" s="6"/>
      <c r="C183" s="6"/>
      <c r="D183" s="6"/>
      <c r="E183" s="6"/>
      <c r="F183" s="6"/>
    </row>
    <row r="184" spans="1:6" ht="15.75" customHeight="1" x14ac:dyDescent="0.25">
      <c r="A184" s="6"/>
      <c r="B184" s="6"/>
      <c r="C184" s="6"/>
      <c r="D184" s="6"/>
      <c r="E184" s="6"/>
      <c r="F184" s="6"/>
    </row>
    <row r="185" spans="1:6" ht="15.75" customHeight="1" x14ac:dyDescent="0.25">
      <c r="A185" s="6"/>
      <c r="B185" s="6"/>
      <c r="C185" s="6"/>
      <c r="D185" s="6"/>
      <c r="E185" s="6"/>
      <c r="F185" s="6"/>
    </row>
    <row r="186" spans="1:6" ht="15.75" customHeight="1" x14ac:dyDescent="0.25">
      <c r="A186" s="6"/>
      <c r="B186" s="6"/>
      <c r="C186" s="6"/>
      <c r="D186" s="6"/>
      <c r="E186" s="6"/>
      <c r="F186" s="6"/>
    </row>
    <row r="187" spans="1:6" ht="15.75" customHeight="1" x14ac:dyDescent="0.25">
      <c r="A187" s="6"/>
      <c r="B187" s="6"/>
      <c r="C187" s="6"/>
      <c r="D187" s="6"/>
      <c r="E187" s="6"/>
      <c r="F187" s="6"/>
    </row>
    <row r="188" spans="1:6" ht="15.75" customHeight="1" x14ac:dyDescent="0.25">
      <c r="A188" s="6"/>
      <c r="B188" s="6"/>
      <c r="C188" s="6"/>
      <c r="D188" s="6"/>
      <c r="E188" s="6"/>
      <c r="F188" s="6"/>
    </row>
    <row r="189" spans="1:6" ht="15.75" customHeight="1" x14ac:dyDescent="0.25">
      <c r="A189" s="6"/>
      <c r="B189" s="6"/>
      <c r="C189" s="6"/>
      <c r="D189" s="6"/>
      <c r="E189" s="6"/>
      <c r="F189" s="6"/>
    </row>
    <row r="190" spans="1:6" ht="15.75" customHeight="1" x14ac:dyDescent="0.25">
      <c r="A190" s="6"/>
      <c r="B190" s="6"/>
      <c r="C190" s="6"/>
      <c r="D190" s="6"/>
      <c r="E190" s="6"/>
      <c r="F190" s="6"/>
    </row>
    <row r="191" spans="1:6" ht="15.75" customHeight="1" x14ac:dyDescent="0.25">
      <c r="A191" s="6"/>
      <c r="B191" s="6"/>
      <c r="C191" s="6"/>
      <c r="D191" s="6"/>
      <c r="E191" s="6"/>
      <c r="F191" s="6"/>
    </row>
    <row r="192" spans="1:6" ht="15.75" customHeight="1" x14ac:dyDescent="0.25">
      <c r="A192" s="6"/>
      <c r="B192" s="6"/>
      <c r="C192" s="6"/>
      <c r="D192" s="6"/>
      <c r="E192" s="6"/>
      <c r="F192" s="6"/>
    </row>
    <row r="193" spans="1:6" ht="15.75" customHeight="1" x14ac:dyDescent="0.25">
      <c r="A193" s="6"/>
      <c r="B193" s="6"/>
      <c r="C193" s="6"/>
      <c r="D193" s="6"/>
      <c r="E193" s="6"/>
      <c r="F193" s="6"/>
    </row>
    <row r="194" spans="1:6" ht="15.75" customHeight="1" x14ac:dyDescent="0.25">
      <c r="A194" s="6"/>
      <c r="B194" s="6"/>
      <c r="C194" s="6"/>
      <c r="D194" s="6"/>
      <c r="E194" s="6"/>
      <c r="F194" s="6"/>
    </row>
    <row r="195" spans="1:6" ht="15.75" customHeight="1" x14ac:dyDescent="0.25">
      <c r="A195" s="6"/>
      <c r="B195" s="6"/>
      <c r="C195" s="6"/>
      <c r="D195" s="6"/>
      <c r="E195" s="6"/>
      <c r="F195" s="6"/>
    </row>
    <row r="196" spans="1:6" ht="15.75" customHeight="1" x14ac:dyDescent="0.25">
      <c r="A196" s="6"/>
      <c r="B196" s="6"/>
      <c r="C196" s="6"/>
      <c r="D196" s="6"/>
      <c r="E196" s="6"/>
      <c r="F196" s="6"/>
    </row>
    <row r="197" spans="1:6" ht="15.75" customHeight="1" x14ac:dyDescent="0.25">
      <c r="A197" s="6"/>
      <c r="B197" s="6"/>
      <c r="C197" s="6"/>
      <c r="D197" s="6"/>
      <c r="E197" s="6"/>
      <c r="F197" s="6"/>
    </row>
    <row r="198" spans="1:6" ht="15.75" customHeight="1" x14ac:dyDescent="0.25">
      <c r="A198" s="6"/>
      <c r="B198" s="6"/>
      <c r="C198" s="6"/>
      <c r="D198" s="6"/>
      <c r="E198" s="6"/>
      <c r="F198" s="6"/>
    </row>
    <row r="199" spans="1:6" ht="15.75" customHeight="1" x14ac:dyDescent="0.25">
      <c r="A199" s="6"/>
      <c r="B199" s="6"/>
      <c r="C199" s="6"/>
      <c r="D199" s="6"/>
      <c r="E199" s="6"/>
      <c r="F199" s="6"/>
    </row>
    <row r="200" spans="1:6" ht="15.75" customHeight="1" x14ac:dyDescent="0.25">
      <c r="A200" s="6"/>
      <c r="B200" s="6"/>
      <c r="C200" s="6"/>
      <c r="D200" s="6"/>
      <c r="E200" s="6"/>
      <c r="F200" s="6"/>
    </row>
    <row r="201" spans="1:6" ht="15.75" customHeight="1" x14ac:dyDescent="0.25">
      <c r="A201" s="6"/>
      <c r="B201" s="6"/>
      <c r="C201" s="6"/>
      <c r="D201" s="6"/>
      <c r="E201" s="6"/>
      <c r="F201" s="6"/>
    </row>
    <row r="202" spans="1:6" ht="15.75" customHeight="1" x14ac:dyDescent="0.25">
      <c r="A202" s="6"/>
      <c r="B202" s="6"/>
      <c r="C202" s="6"/>
      <c r="D202" s="6"/>
      <c r="E202" s="6"/>
      <c r="F202" s="6"/>
    </row>
    <row r="203" spans="1:6" ht="15.75" customHeight="1" x14ac:dyDescent="0.25">
      <c r="A203" s="6"/>
      <c r="B203" s="6"/>
      <c r="C203" s="6"/>
      <c r="D203" s="6"/>
      <c r="E203" s="6"/>
      <c r="F203" s="6"/>
    </row>
    <row r="204" spans="1:6" ht="15.75" customHeight="1" x14ac:dyDescent="0.25">
      <c r="A204" s="6"/>
      <c r="B204" s="6"/>
      <c r="C204" s="6"/>
      <c r="D204" s="6"/>
      <c r="E204" s="6"/>
      <c r="F204" s="6"/>
    </row>
    <row r="205" spans="1:6" ht="15.75" customHeight="1" x14ac:dyDescent="0.25">
      <c r="A205" s="6"/>
      <c r="B205" s="6"/>
      <c r="C205" s="6"/>
      <c r="D205" s="6"/>
      <c r="E205" s="6"/>
      <c r="F205" s="6"/>
    </row>
    <row r="206" spans="1:6" ht="15.75" customHeight="1" x14ac:dyDescent="0.25">
      <c r="A206" s="6"/>
      <c r="B206" s="6"/>
      <c r="C206" s="6"/>
      <c r="D206" s="6"/>
      <c r="E206" s="6"/>
      <c r="F206" s="6"/>
    </row>
    <row r="207" spans="1:6" ht="15.75" customHeight="1" x14ac:dyDescent="0.25">
      <c r="A207" s="6"/>
      <c r="B207" s="6"/>
      <c r="C207" s="6"/>
      <c r="D207" s="6"/>
      <c r="E207" s="6"/>
      <c r="F207" s="6"/>
    </row>
    <row r="208" spans="1:6" ht="15.75" customHeight="1" x14ac:dyDescent="0.25">
      <c r="A208" s="6"/>
      <c r="B208" s="6"/>
      <c r="C208" s="6"/>
      <c r="D208" s="6"/>
      <c r="E208" s="6"/>
      <c r="F208" s="6"/>
    </row>
    <row r="209" spans="1:6" ht="15.75" customHeight="1" x14ac:dyDescent="0.25">
      <c r="A209" s="6"/>
      <c r="B209" s="6"/>
      <c r="C209" s="6"/>
      <c r="D209" s="6"/>
      <c r="E209" s="6"/>
      <c r="F209" s="6"/>
    </row>
    <row r="210" spans="1:6" ht="15.75" customHeight="1" x14ac:dyDescent="0.25">
      <c r="A210" s="6"/>
      <c r="B210" s="6"/>
      <c r="C210" s="6"/>
      <c r="D210" s="6"/>
      <c r="E210" s="6"/>
      <c r="F210" s="6"/>
    </row>
    <row r="211" spans="1:6" ht="15.75" customHeight="1" x14ac:dyDescent="0.25">
      <c r="A211" s="6"/>
      <c r="B211" s="6"/>
      <c r="C211" s="6"/>
      <c r="D211" s="6"/>
      <c r="E211" s="6"/>
      <c r="F211" s="6"/>
    </row>
    <row r="212" spans="1:6" ht="15.75" customHeight="1" x14ac:dyDescent="0.25">
      <c r="A212" s="6"/>
      <c r="B212" s="6"/>
      <c r="C212" s="6"/>
      <c r="D212" s="6"/>
      <c r="E212" s="6"/>
      <c r="F212" s="6"/>
    </row>
    <row r="213" spans="1:6" ht="15.75" customHeight="1" x14ac:dyDescent="0.25">
      <c r="A213" s="6"/>
      <c r="B213" s="6"/>
      <c r="C213" s="6"/>
      <c r="D213" s="6"/>
      <c r="E213" s="6"/>
      <c r="F213" s="6"/>
    </row>
    <row r="214" spans="1:6" ht="15.75" customHeight="1" x14ac:dyDescent="0.25">
      <c r="A214" s="6"/>
      <c r="B214" s="6"/>
      <c r="C214" s="6"/>
      <c r="D214" s="6"/>
      <c r="E214" s="6"/>
      <c r="F214" s="6"/>
    </row>
    <row r="215" spans="1:6" ht="15.75" customHeight="1" x14ac:dyDescent="0.25">
      <c r="A215" s="6"/>
      <c r="B215" s="6"/>
      <c r="C215" s="6"/>
      <c r="D215" s="6"/>
      <c r="E215" s="6"/>
      <c r="F215" s="6"/>
    </row>
    <row r="216" spans="1:6" ht="15.75" customHeight="1" x14ac:dyDescent="0.25">
      <c r="A216" s="6"/>
      <c r="B216" s="6"/>
      <c r="C216" s="6"/>
      <c r="D216" s="6"/>
      <c r="E216" s="6"/>
      <c r="F216" s="6"/>
    </row>
    <row r="217" spans="1:6" ht="15.75" customHeight="1" x14ac:dyDescent="0.25">
      <c r="A217" s="6"/>
      <c r="B217" s="6"/>
      <c r="C217" s="6"/>
      <c r="D217" s="6"/>
      <c r="E217" s="6"/>
      <c r="F217" s="6"/>
    </row>
    <row r="218" spans="1:6" ht="15.75" customHeight="1" x14ac:dyDescent="0.25">
      <c r="A218" s="6"/>
      <c r="B218" s="6"/>
      <c r="C218" s="6"/>
      <c r="D218" s="6"/>
      <c r="E218" s="6"/>
      <c r="F218" s="6"/>
    </row>
    <row r="219" spans="1:6" ht="15.75" customHeight="1" x14ac:dyDescent="0.25">
      <c r="A219" s="6"/>
      <c r="B219" s="6"/>
      <c r="C219" s="6"/>
      <c r="D219" s="6"/>
      <c r="E219" s="6"/>
      <c r="F219" s="6"/>
    </row>
    <row r="220" spans="1:6" ht="15.75" customHeight="1" x14ac:dyDescent="0.25">
      <c r="A220" s="6"/>
      <c r="B220" s="6"/>
      <c r="C220" s="6"/>
      <c r="D220" s="6"/>
      <c r="E220" s="6"/>
      <c r="F220" s="6"/>
    </row>
    <row r="221" spans="1:6" ht="15.75" customHeight="1" x14ac:dyDescent="0.25">
      <c r="A221" s="6"/>
      <c r="B221" s="6"/>
      <c r="C221" s="6"/>
      <c r="D221" s="6"/>
      <c r="E221" s="6"/>
      <c r="F221" s="6"/>
    </row>
    <row r="222" spans="1:6" ht="15.75" customHeight="1" x14ac:dyDescent="0.25"/>
    <row r="223" spans="1:6" ht="15.75" customHeight="1" x14ac:dyDescent="0.25"/>
    <row r="224" spans="1: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conditionalFormatting sqref="C2:C16">
    <cfRule type="cellIs" dxfId="25" priority="1" stopIfTrue="1" operator="greaterThan">
      <formula>0.1</formula>
    </cfRule>
    <cfRule type="cellIs" dxfId="24" priority="2" stopIfTrue="1" operator="lessThan">
      <formula>0.01</formula>
    </cfRule>
  </conditionalFormatting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7A1E0"/>
  </sheetPr>
  <dimension ref="A1:Z1001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10" defaultColWidth="12.59765625" defaultRowHeight="15" customHeight="1" x14ac:dyDescent="0.25"/>
  <cols>
    <col min="1" max="1" width="10.3984375" customWidth="1"/>
    <col min="2" max="7" width="14.09765625" customWidth="1"/>
    <col min="8" max="13" width="10.59765625" customWidth="1"/>
    <col min="14" max="17" width="15.3984375" customWidth="1"/>
    <col min="18" max="19" width="3.09765625" customWidth="1"/>
    <col min="20" max="23" width="15.3984375" customWidth="1"/>
  </cols>
  <sheetData>
    <row r="1" spans="1:26" ht="34.5" customHeight="1" x14ac:dyDescent="0.25">
      <c r="A1" s="113" t="s">
        <v>16</v>
      </c>
      <c r="B1" s="114"/>
      <c r="C1" s="114"/>
      <c r="D1" s="114"/>
      <c r="E1" s="114"/>
      <c r="F1" s="114"/>
      <c r="G1" s="114"/>
      <c r="H1" s="15"/>
      <c r="I1" s="16"/>
      <c r="J1" s="16"/>
      <c r="K1" s="16"/>
      <c r="L1" s="17"/>
      <c r="M1" s="17"/>
      <c r="N1" s="18"/>
      <c r="O1" s="18"/>
      <c r="P1" s="18"/>
      <c r="Q1" s="18"/>
      <c r="R1" s="17"/>
      <c r="S1" s="17"/>
      <c r="T1" s="18"/>
      <c r="U1" s="20"/>
      <c r="V1" s="20"/>
      <c r="W1" s="20"/>
      <c r="X1" s="17"/>
      <c r="Y1" s="17"/>
      <c r="Z1" s="17"/>
    </row>
    <row r="2" spans="1:26" ht="34.5" customHeight="1" x14ac:dyDescent="0.25">
      <c r="A2" s="21" t="s">
        <v>21</v>
      </c>
      <c r="B2" s="21" t="s">
        <v>22</v>
      </c>
      <c r="C2" s="21" t="s">
        <v>23</v>
      </c>
      <c r="D2" s="21" t="s">
        <v>24</v>
      </c>
      <c r="E2" s="21" t="s">
        <v>25</v>
      </c>
      <c r="F2" s="21" t="s">
        <v>27</v>
      </c>
      <c r="G2" s="21" t="s">
        <v>28</v>
      </c>
      <c r="H2" s="15"/>
      <c r="I2" s="16"/>
      <c r="J2" s="16"/>
      <c r="K2" s="16"/>
      <c r="L2" s="17"/>
      <c r="M2" s="17"/>
      <c r="N2" s="21" t="s">
        <v>29</v>
      </c>
      <c r="O2" s="21" t="s">
        <v>22</v>
      </c>
      <c r="P2" s="21" t="s">
        <v>30</v>
      </c>
      <c r="Q2" s="21" t="s">
        <v>31</v>
      </c>
      <c r="R2" s="17"/>
      <c r="S2" s="17"/>
      <c r="T2" s="18" t="s">
        <v>21</v>
      </c>
      <c r="U2" s="20" t="s">
        <v>22</v>
      </c>
      <c r="V2" s="20" t="s">
        <v>32</v>
      </c>
      <c r="W2" s="20" t="s">
        <v>33</v>
      </c>
      <c r="X2" s="17"/>
      <c r="Y2" s="17"/>
      <c r="Z2" s="17"/>
    </row>
    <row r="3" spans="1:26" ht="19.5" customHeight="1" x14ac:dyDescent="0.25">
      <c r="A3" s="23" t="s">
        <v>34</v>
      </c>
      <c r="B3" s="24">
        <v>52428</v>
      </c>
      <c r="C3" s="24">
        <f>51728</f>
        <v>51728</v>
      </c>
      <c r="D3" s="25">
        <f>IF(AND(B3="",COUNTIFS(Movimientos!$D$6:$D$505,"&gt;="&amp;DATE(2025,2,1),Movimientos!$D$6:$D$505,"&lt;"&amp;DATE(2025,3,1))=0),"",SUMIFS(Movimientos!$B$6:$B$505,Movimientos!$D$6:$D$505,"&gt;="&amp;DATE(2025,2,1),Movimientos!$D$6:$D$505,"&lt;"&amp;DATE(2025,3,1)))</f>
        <v>700</v>
      </c>
      <c r="E3" s="25"/>
      <c r="F3" s="26"/>
      <c r="G3" s="26"/>
      <c r="H3" s="16"/>
      <c r="I3" s="16"/>
      <c r="J3" s="16"/>
      <c r="K3" s="16"/>
      <c r="L3" s="17"/>
      <c r="M3" s="17"/>
      <c r="N3" s="28" t="str">
        <f t="shared" ref="N3:N13" si="0">"2025 "&amp;A3</f>
        <v>2025 Feb</v>
      </c>
      <c r="O3" s="29">
        <f t="shared" ref="O3:O13" si="1">B3</f>
        <v>52428</v>
      </c>
      <c r="P3" s="29">
        <f>C3+SUM(D3)</f>
        <v>52428</v>
      </c>
      <c r="Q3" s="29">
        <f t="shared" ref="Q3:Q18" si="2">O3-P3</f>
        <v>0</v>
      </c>
      <c r="R3" s="17"/>
      <c r="S3" s="17"/>
      <c r="T3" s="17" t="str">
        <f t="shared" ref="T3:T13" si="3">A3</f>
        <v>Feb</v>
      </c>
      <c r="U3" s="31">
        <f t="shared" ref="U3:U13" si="4">IF(B3="","",B3)</f>
        <v>52428</v>
      </c>
      <c r="V3" s="31">
        <f t="shared" ref="V3:V13" si="5">IF(B3="","",$C$3+SUM($D$3:D3))</f>
        <v>52428</v>
      </c>
      <c r="W3" s="31">
        <f t="shared" ref="W3:W13" si="6">IF(U3="","",U3-V3)</f>
        <v>0</v>
      </c>
      <c r="X3" s="17"/>
      <c r="Y3" s="17"/>
      <c r="Z3" s="17"/>
    </row>
    <row r="4" spans="1:26" ht="19.5" customHeight="1" x14ac:dyDescent="0.25">
      <c r="A4" s="33" t="s">
        <v>52</v>
      </c>
      <c r="B4" s="24">
        <v>55139</v>
      </c>
      <c r="C4" s="34">
        <v>52428</v>
      </c>
      <c r="D4" s="34">
        <f>IF(AND(B4="",COUNTIFS(Movimientos!$D$6:$D$505,"&gt;="&amp;DATE(2025,3,1),Movimientos!$D$6:$D$505,"&lt;"&amp;DATE(2025,4,1))=0),"",SUMIFS(Movimientos!$B$6:$B$505,Movimientos!$D$6:$D$505,"&gt;="&amp;DATE(2025,3,1),Movimientos!$D$6:$D$505,"&lt;"&amp;DATE(2025,4,1)))</f>
        <v>700</v>
      </c>
      <c r="E4" s="34">
        <f t="shared" ref="E4:E13" si="7">B4-C4-D4</f>
        <v>2011</v>
      </c>
      <c r="F4" s="35">
        <f t="shared" ref="F4:F13" si="8">IF(OR(B4="",C4=0),"",((B4-IF(D4="",0,D4))/C4-1)*100)</f>
        <v>3.8357366292820716</v>
      </c>
      <c r="G4" s="35">
        <f>IF(F4="","",F4)</f>
        <v>3.8357366292820716</v>
      </c>
      <c r="H4" s="16"/>
      <c r="I4" s="16"/>
      <c r="J4" s="16"/>
      <c r="K4" s="16"/>
      <c r="L4" s="17"/>
      <c r="M4" s="17"/>
      <c r="N4" s="38" t="str">
        <f t="shared" si="0"/>
        <v>2025 Mar</v>
      </c>
      <c r="O4" s="40">
        <f t="shared" si="1"/>
        <v>55139</v>
      </c>
      <c r="P4" s="40">
        <f>C3+SUM(D3:D4)</f>
        <v>53128</v>
      </c>
      <c r="Q4" s="40">
        <f t="shared" si="2"/>
        <v>2011</v>
      </c>
      <c r="R4" s="17"/>
      <c r="S4" s="17"/>
      <c r="T4" s="17" t="str">
        <f t="shared" si="3"/>
        <v>Mar</v>
      </c>
      <c r="U4" s="31">
        <f t="shared" si="4"/>
        <v>55139</v>
      </c>
      <c r="V4" s="31">
        <f t="shared" si="5"/>
        <v>53128</v>
      </c>
      <c r="W4" s="31">
        <f t="shared" si="6"/>
        <v>2011</v>
      </c>
      <c r="X4" s="17"/>
      <c r="Y4" s="17"/>
      <c r="Z4" s="17"/>
    </row>
    <row r="5" spans="1:26" ht="19.5" customHeight="1" x14ac:dyDescent="0.25">
      <c r="A5" s="23" t="s">
        <v>61</v>
      </c>
      <c r="B5" s="24">
        <v>57033</v>
      </c>
      <c r="C5" s="25">
        <v>55139</v>
      </c>
      <c r="D5" s="25">
        <f>IF(AND(B5="",COUNTIFS(Movimientos!$D$6:$D$505,"&gt;="&amp;DATE(2025,4,1),Movimientos!$D$6:$D$505,"&lt;"&amp;DATE(2025,5,1))=0),"",SUMIFS(Movimientos!$B$6:$B$505,Movimientos!$D$6:$D$505,"&gt;="&amp;DATE(2025,4,1),Movimientos!$D$6:$D$505,"&lt;"&amp;DATE(2025,5,1)))</f>
        <v>700</v>
      </c>
      <c r="E5" s="25">
        <f t="shared" si="7"/>
        <v>1194</v>
      </c>
      <c r="F5" s="41">
        <f t="shared" si="8"/>
        <v>2.1654364424454453</v>
      </c>
      <c r="G5" s="41">
        <f t="shared" ref="G5:G13" si="9">IF(F5="","",((1+G4/100)*(1+F5/100)-1)*100)</f>
        <v>6.0842335105342205</v>
      </c>
      <c r="H5" s="16"/>
      <c r="I5" s="16"/>
      <c r="J5" s="16"/>
      <c r="K5" s="16"/>
      <c r="L5" s="17"/>
      <c r="M5" s="17"/>
      <c r="N5" s="28" t="str">
        <f t="shared" si="0"/>
        <v>2025 Abr</v>
      </c>
      <c r="O5" s="29">
        <f t="shared" si="1"/>
        <v>57033</v>
      </c>
      <c r="P5" s="29">
        <f>C3+SUM(D3:D5)</f>
        <v>53828</v>
      </c>
      <c r="Q5" s="29">
        <f t="shared" si="2"/>
        <v>3205</v>
      </c>
      <c r="R5" s="17"/>
      <c r="S5" s="17"/>
      <c r="T5" s="17" t="str">
        <f t="shared" si="3"/>
        <v>Abr</v>
      </c>
      <c r="U5" s="31">
        <f t="shared" si="4"/>
        <v>57033</v>
      </c>
      <c r="V5" s="31">
        <f t="shared" si="5"/>
        <v>53828</v>
      </c>
      <c r="W5" s="31">
        <f t="shared" si="6"/>
        <v>3205</v>
      </c>
      <c r="X5" s="17"/>
      <c r="Y5" s="17"/>
      <c r="Z5" s="17"/>
    </row>
    <row r="6" spans="1:26" ht="19.5" customHeight="1" x14ac:dyDescent="0.25">
      <c r="A6" s="33" t="s">
        <v>62</v>
      </c>
      <c r="B6" s="24">
        <v>59028</v>
      </c>
      <c r="C6" s="34">
        <v>57033</v>
      </c>
      <c r="D6" s="34">
        <f>IF(AND(B6="",COUNTIFS(Movimientos!$D$6:$D$505,"&gt;="&amp;DATE(2025,5,1),Movimientos!$D$6:$D$505,"&lt;"&amp;DATE(2025,6,1))=0),"",SUMIFS(Movimientos!$B$6:$B$505,Movimientos!$D$6:$D$505,"&gt;="&amp;DATE(2025,5,1),Movimientos!$D$6:$D$505,"&lt;"&amp;DATE(2025,6,1)))</f>
        <v>700</v>
      </c>
      <c r="E6" s="34">
        <f t="shared" si="7"/>
        <v>1295</v>
      </c>
      <c r="F6" s="35">
        <f t="shared" si="8"/>
        <v>2.2706152578331862</v>
      </c>
      <c r="G6" s="35">
        <f t="shared" si="9"/>
        <v>8.4929983027797853</v>
      </c>
      <c r="H6" s="16"/>
      <c r="I6" s="16"/>
      <c r="J6" s="16"/>
      <c r="K6" s="16"/>
      <c r="L6" s="17"/>
      <c r="M6" s="17"/>
      <c r="N6" s="38" t="str">
        <f t="shared" si="0"/>
        <v>2025 May</v>
      </c>
      <c r="O6" s="40">
        <f t="shared" si="1"/>
        <v>59028</v>
      </c>
      <c r="P6" s="40">
        <f>C3+SUM(D3:D6)</f>
        <v>54528</v>
      </c>
      <c r="Q6" s="40">
        <f t="shared" si="2"/>
        <v>4500</v>
      </c>
      <c r="R6" s="17"/>
      <c r="S6" s="17"/>
      <c r="T6" s="17" t="str">
        <f t="shared" si="3"/>
        <v>May</v>
      </c>
      <c r="U6" s="31">
        <f t="shared" si="4"/>
        <v>59028</v>
      </c>
      <c r="V6" s="31">
        <f t="shared" si="5"/>
        <v>54528</v>
      </c>
      <c r="W6" s="31">
        <f t="shared" si="6"/>
        <v>4500</v>
      </c>
      <c r="X6" s="17"/>
      <c r="Y6" s="17"/>
      <c r="Z6" s="17"/>
    </row>
    <row r="7" spans="1:26" ht="19.5" customHeight="1" x14ac:dyDescent="0.25">
      <c r="A7" s="23" t="s">
        <v>63</v>
      </c>
      <c r="B7" s="24">
        <v>60385</v>
      </c>
      <c r="C7" s="25">
        <v>59028</v>
      </c>
      <c r="D7" s="25">
        <f>IF(AND(B7="",COUNTIFS(Movimientos!$D$6:$D$505,"&gt;="&amp;DATE(2025,6,1),Movimientos!$D$6:$D$505,"&lt;"&amp;DATE(2025,7,1))=0),"",SUMIFS(Movimientos!$B$6:$B$505,Movimientos!$D$6:$D$505,"&gt;="&amp;DATE(2025,6,1),Movimientos!$D$6:$D$505,"&lt;"&amp;DATE(2025,7,1)))</f>
        <v>700</v>
      </c>
      <c r="E7" s="25">
        <f t="shared" si="7"/>
        <v>657</v>
      </c>
      <c r="F7" s="41">
        <f t="shared" si="8"/>
        <v>1.1130311038828999</v>
      </c>
      <c r="G7" s="41">
        <f t="shared" si="9"/>
        <v>9.7005591194248666</v>
      </c>
      <c r="H7" s="16"/>
      <c r="I7" s="16"/>
      <c r="J7" s="16"/>
      <c r="K7" s="16"/>
      <c r="L7" s="17"/>
      <c r="M7" s="17"/>
      <c r="N7" s="28" t="str">
        <f t="shared" si="0"/>
        <v>2025 Jun</v>
      </c>
      <c r="O7" s="29">
        <f t="shared" si="1"/>
        <v>60385</v>
      </c>
      <c r="P7" s="29">
        <f>C3+SUM(D3:D7)</f>
        <v>55228</v>
      </c>
      <c r="Q7" s="29">
        <f t="shared" si="2"/>
        <v>5157</v>
      </c>
      <c r="R7" s="17"/>
      <c r="S7" s="17"/>
      <c r="T7" s="17" t="str">
        <f t="shared" si="3"/>
        <v>Jun</v>
      </c>
      <c r="U7" s="31">
        <f t="shared" si="4"/>
        <v>60385</v>
      </c>
      <c r="V7" s="31">
        <f t="shared" si="5"/>
        <v>55228</v>
      </c>
      <c r="W7" s="31">
        <f t="shared" si="6"/>
        <v>5157</v>
      </c>
      <c r="X7" s="17"/>
      <c r="Y7" s="17"/>
      <c r="Z7" s="17"/>
    </row>
    <row r="8" spans="1:26" ht="19.5" customHeight="1" x14ac:dyDescent="0.25">
      <c r="A8" s="33" t="s">
        <v>64</v>
      </c>
      <c r="B8" s="24">
        <v>61988</v>
      </c>
      <c r="C8" s="34">
        <v>60385</v>
      </c>
      <c r="D8" s="34">
        <f>IF(AND(B8="",COUNTIFS(Movimientos!$D$6:$D$505,"&gt;="&amp;DATE(2025,7,1),Movimientos!$D$6:$D$505,"&lt;"&amp;DATE(2025,8,1))=0),"",SUMIFS(Movimientos!$B$6:$B$505,Movimientos!$D$6:$D$505,"&gt;="&amp;DATE(2025,7,1),Movimientos!$D$6:$D$505,"&lt;"&amp;DATE(2025,8,1)))</f>
        <v>700</v>
      </c>
      <c r="E8" s="34">
        <f t="shared" si="7"/>
        <v>903</v>
      </c>
      <c r="F8" s="35">
        <f t="shared" si="8"/>
        <v>1.4954044878695116</v>
      </c>
      <c r="G8" s="35">
        <f t="shared" si="9"/>
        <v>11.341026203714687</v>
      </c>
      <c r="H8" s="16"/>
      <c r="I8" s="16"/>
      <c r="J8" s="16"/>
      <c r="K8" s="16"/>
      <c r="L8" s="17"/>
      <c r="M8" s="17"/>
      <c r="N8" s="38" t="str">
        <f t="shared" si="0"/>
        <v>2025 Jul</v>
      </c>
      <c r="O8" s="40">
        <f t="shared" si="1"/>
        <v>61988</v>
      </c>
      <c r="P8" s="40">
        <f>C3+SUM(D3:D8)</f>
        <v>55928</v>
      </c>
      <c r="Q8" s="40">
        <f t="shared" si="2"/>
        <v>6060</v>
      </c>
      <c r="R8" s="17"/>
      <c r="S8" s="17"/>
      <c r="T8" s="17" t="str">
        <f t="shared" si="3"/>
        <v>Jul</v>
      </c>
      <c r="U8" s="31">
        <f t="shared" si="4"/>
        <v>61988</v>
      </c>
      <c r="V8" s="31">
        <f t="shared" si="5"/>
        <v>55928</v>
      </c>
      <c r="W8" s="31">
        <f t="shared" si="6"/>
        <v>6060</v>
      </c>
      <c r="X8" s="17"/>
      <c r="Y8" s="17"/>
      <c r="Z8" s="17"/>
    </row>
    <row r="9" spans="1:26" ht="19.5" customHeight="1" x14ac:dyDescent="0.25">
      <c r="A9" s="23" t="s">
        <v>70</v>
      </c>
      <c r="B9" s="24">
        <v>63184</v>
      </c>
      <c r="C9" s="25">
        <v>61988</v>
      </c>
      <c r="D9" s="25">
        <f>IF(AND(B9="",COUNTIFS(Movimientos!$D$6:$D$505,"&gt;="&amp;DATE(2025,8,1),Movimientos!$D$6:$D$505,"&lt;"&amp;DATE(2025,9,1))=0),"",SUMIFS(Movimientos!$B$6:$B$505,Movimientos!$D$6:$D$505,"&gt;="&amp;DATE(2025,8,1),Movimientos!$D$6:$D$505,"&lt;"&amp;DATE(2025,9,1)))</f>
        <v>700</v>
      </c>
      <c r="E9" s="25">
        <f t="shared" si="7"/>
        <v>496</v>
      </c>
      <c r="F9" s="41">
        <f t="shared" si="8"/>
        <v>0.80015486868425523</v>
      </c>
      <c r="G9" s="41">
        <f t="shared" si="9"/>
        <v>12.231926845726715</v>
      </c>
      <c r="H9" s="16"/>
      <c r="I9" s="16"/>
      <c r="J9" s="16"/>
      <c r="K9" s="16"/>
      <c r="L9" s="17"/>
      <c r="M9" s="17"/>
      <c r="N9" s="28" t="str">
        <f t="shared" si="0"/>
        <v>2025 Ago</v>
      </c>
      <c r="O9" s="29">
        <f t="shared" si="1"/>
        <v>63184</v>
      </c>
      <c r="P9" s="29">
        <f>C3+SUM(D3:D9)</f>
        <v>56628</v>
      </c>
      <c r="Q9" s="29">
        <f t="shared" si="2"/>
        <v>6556</v>
      </c>
      <c r="R9" s="17"/>
      <c r="S9" s="17"/>
      <c r="T9" s="17" t="str">
        <f t="shared" si="3"/>
        <v>Ago</v>
      </c>
      <c r="U9" s="31">
        <f t="shared" si="4"/>
        <v>63184</v>
      </c>
      <c r="V9" s="31">
        <f t="shared" si="5"/>
        <v>56628</v>
      </c>
      <c r="W9" s="31">
        <f t="shared" si="6"/>
        <v>6556</v>
      </c>
      <c r="X9" s="17"/>
      <c r="Y9" s="17"/>
      <c r="Z9" s="17"/>
    </row>
    <row r="10" spans="1:26" ht="19.5" customHeight="1" x14ac:dyDescent="0.25">
      <c r="A10" s="33" t="s">
        <v>71</v>
      </c>
      <c r="B10" s="24">
        <v>67169</v>
      </c>
      <c r="C10" s="34">
        <v>63184</v>
      </c>
      <c r="D10" s="34">
        <f>IF(AND(B10="",COUNTIFS(Movimientos!$D$6:$D$505,"&gt;="&amp;DATE(2025,9,1),Movimientos!$D$6:$D$505,"&lt;"&amp;DATE(2025,10,1))=0),"",SUMIFS(Movimientos!$B$6:$B$505,Movimientos!$D$6:$D$505,"&gt;="&amp;DATE(2025,9,1),Movimientos!$D$6:$D$505,"&lt;"&amp;DATE(2025,10,1)))</f>
        <v>700</v>
      </c>
      <c r="E10" s="34">
        <f t="shared" si="7"/>
        <v>3285</v>
      </c>
      <c r="F10" s="35">
        <f t="shared" si="8"/>
        <v>5.1991010382375302</v>
      </c>
      <c r="G10" s="35">
        <f t="shared" si="9"/>
        <v>18.066978119596875</v>
      </c>
      <c r="H10" s="16"/>
      <c r="I10" s="16"/>
      <c r="J10" s="16"/>
      <c r="K10" s="16"/>
      <c r="L10" s="17"/>
      <c r="M10" s="17"/>
      <c r="N10" s="38" t="str">
        <f t="shared" si="0"/>
        <v>2025 Sep</v>
      </c>
      <c r="O10" s="40">
        <f t="shared" si="1"/>
        <v>67169</v>
      </c>
      <c r="P10" s="40">
        <f>C3+SUM(D3:D10)</f>
        <v>57328</v>
      </c>
      <c r="Q10" s="40">
        <f t="shared" si="2"/>
        <v>9841</v>
      </c>
      <c r="R10" s="17"/>
      <c r="S10" s="17"/>
      <c r="T10" s="17" t="str">
        <f t="shared" si="3"/>
        <v>Sep</v>
      </c>
      <c r="U10" s="31">
        <f t="shared" si="4"/>
        <v>67169</v>
      </c>
      <c r="V10" s="31">
        <f t="shared" si="5"/>
        <v>57328</v>
      </c>
      <c r="W10" s="31">
        <f t="shared" si="6"/>
        <v>9841</v>
      </c>
      <c r="X10" s="17"/>
      <c r="Y10" s="17"/>
      <c r="Z10" s="17"/>
    </row>
    <row r="11" spans="1:26" ht="19.5" customHeight="1" x14ac:dyDescent="0.25">
      <c r="A11" s="23" t="s">
        <v>72</v>
      </c>
      <c r="B11" s="24">
        <v>69786</v>
      </c>
      <c r="C11" s="25">
        <v>67169</v>
      </c>
      <c r="D11" s="25">
        <f>IF(AND(B11="",COUNTIFS(Movimientos!$D$6:$D$505,"&gt;="&amp;DATE(2025,10,1),Movimientos!$D$6:$D$505,"&lt;"&amp;DATE(2025,11,1))=0),"",SUMIFS(Movimientos!$B$6:$B$505,Movimientos!$D$6:$D$505,"&gt;="&amp;DATE(2025,10,1),Movimientos!$D$6:$D$505,"&lt;"&amp;DATE(2025,11,1)))</f>
        <v>700</v>
      </c>
      <c r="E11" s="25">
        <f t="shared" si="7"/>
        <v>1917</v>
      </c>
      <c r="F11" s="41">
        <f t="shared" si="8"/>
        <v>2.8539951465705871</v>
      </c>
      <c r="G11" s="41">
        <f t="shared" si="9"/>
        <v>21.436603944832733</v>
      </c>
      <c r="H11" s="16"/>
      <c r="I11" s="16"/>
      <c r="J11" s="16"/>
      <c r="K11" s="16"/>
      <c r="L11" s="17"/>
      <c r="M11" s="17"/>
      <c r="N11" s="28" t="str">
        <f t="shared" si="0"/>
        <v>2025 Oct</v>
      </c>
      <c r="O11" s="29">
        <f t="shared" si="1"/>
        <v>69786</v>
      </c>
      <c r="P11" s="29">
        <f>C3+SUM(D3:D11)</f>
        <v>58028</v>
      </c>
      <c r="Q11" s="29">
        <f t="shared" si="2"/>
        <v>11758</v>
      </c>
      <c r="R11" s="17"/>
      <c r="S11" s="17"/>
      <c r="T11" s="17" t="str">
        <f t="shared" si="3"/>
        <v>Oct</v>
      </c>
      <c r="U11" s="31">
        <f t="shared" si="4"/>
        <v>69786</v>
      </c>
      <c r="V11" s="31">
        <f t="shared" si="5"/>
        <v>58028</v>
      </c>
      <c r="W11" s="31">
        <f t="shared" si="6"/>
        <v>11758</v>
      </c>
      <c r="X11" s="17"/>
      <c r="Y11" s="17"/>
      <c r="Z11" s="17"/>
    </row>
    <row r="12" spans="1:26" ht="19.5" customHeight="1" x14ac:dyDescent="0.25">
      <c r="A12" s="33" t="s">
        <v>73</v>
      </c>
      <c r="B12" s="24">
        <v>70299</v>
      </c>
      <c r="C12" s="34">
        <v>69786</v>
      </c>
      <c r="D12" s="34">
        <f>IF(AND(B12="",COUNTIFS(Movimientos!$D$6:$D$505,"&gt;="&amp;DATE(2025,11,1),Movimientos!$D$6:$D$505,"&lt;"&amp;DATE(2025,12,1))=0),"",SUMIFS(Movimientos!$B$6:$B$505,Movimientos!$D$6:$D$505,"&gt;="&amp;DATE(2025,11,1),Movimientos!$D$6:$D$505,"&lt;"&amp;DATE(2025,12,1)))</f>
        <v>700</v>
      </c>
      <c r="E12" s="34">
        <f t="shared" si="7"/>
        <v>-187</v>
      </c>
      <c r="F12" s="35">
        <f t="shared" si="8"/>
        <v>-0.26796205542658491</v>
      </c>
      <c r="G12" s="35">
        <f t="shared" si="9"/>
        <v>21.111199924861921</v>
      </c>
      <c r="H12" s="16"/>
      <c r="I12" s="16"/>
      <c r="J12" s="16"/>
      <c r="K12" s="16"/>
      <c r="L12" s="17"/>
      <c r="M12" s="17"/>
      <c r="N12" s="38" t="str">
        <f t="shared" si="0"/>
        <v>2025 Nov</v>
      </c>
      <c r="O12" s="40">
        <f t="shared" si="1"/>
        <v>70299</v>
      </c>
      <c r="P12" s="40">
        <f>C3+SUM(D3:D12)</f>
        <v>58728</v>
      </c>
      <c r="Q12" s="40">
        <f t="shared" si="2"/>
        <v>11571</v>
      </c>
      <c r="R12" s="17"/>
      <c r="S12" s="17"/>
      <c r="T12" s="17" t="str">
        <f t="shared" si="3"/>
        <v>Nov</v>
      </c>
      <c r="U12" s="31">
        <f t="shared" si="4"/>
        <v>70299</v>
      </c>
      <c r="V12" s="31">
        <f t="shared" si="5"/>
        <v>58728</v>
      </c>
      <c r="W12" s="31">
        <f t="shared" si="6"/>
        <v>11571</v>
      </c>
      <c r="X12" s="17"/>
      <c r="Y12" s="17"/>
      <c r="Z12" s="17"/>
    </row>
    <row r="13" spans="1:26" ht="19.5" customHeight="1" x14ac:dyDescent="0.25">
      <c r="A13" s="23" t="s">
        <v>74</v>
      </c>
      <c r="B13" s="24">
        <v>73708</v>
      </c>
      <c r="C13" s="25">
        <v>70299</v>
      </c>
      <c r="D13" s="25">
        <f>IF(AND(B13="",COUNTIFS(Movimientos!$D$6:$D$505,"&gt;="&amp;DATE(2025,12,1),Movimientos!$D$6:$D$505,"&lt;"&amp;DATE(2025,13,1))=0),"",SUMIFS(Movimientos!$B$6:$B$505,Movimientos!$D$6:$D$505,"&gt;="&amp;DATE(2025,12,1),Movimientos!$D$6:$D$505,"&lt;"&amp;DATE(2025,13,1)))</f>
        <v>700</v>
      </c>
      <c r="E13" s="25">
        <f t="shared" si="7"/>
        <v>2709</v>
      </c>
      <c r="F13" s="41">
        <f t="shared" si="8"/>
        <v>3.8535398796568865</v>
      </c>
      <c r="G13" s="41">
        <f t="shared" si="9"/>
        <v>25.778268312697449</v>
      </c>
      <c r="H13" s="16"/>
      <c r="I13" s="16"/>
      <c r="J13" s="16"/>
      <c r="K13" s="16"/>
      <c r="L13" s="17"/>
      <c r="M13" s="17"/>
      <c r="N13" s="28" t="str">
        <f t="shared" si="0"/>
        <v>2025 Dic</v>
      </c>
      <c r="O13" s="29">
        <f t="shared" si="1"/>
        <v>73708</v>
      </c>
      <c r="P13" s="29">
        <f>C3+SUM(D3:D13)</f>
        <v>59428</v>
      </c>
      <c r="Q13" s="29">
        <f t="shared" si="2"/>
        <v>14280</v>
      </c>
      <c r="R13" s="17"/>
      <c r="S13" s="17"/>
      <c r="T13" s="17" t="str">
        <f t="shared" si="3"/>
        <v>Dic</v>
      </c>
      <c r="U13" s="31">
        <f t="shared" si="4"/>
        <v>73708</v>
      </c>
      <c r="V13" s="31">
        <f t="shared" si="5"/>
        <v>59428</v>
      </c>
      <c r="W13" s="31">
        <f t="shared" si="6"/>
        <v>14280</v>
      </c>
      <c r="X13" s="17"/>
      <c r="Y13" s="17"/>
      <c r="Z13" s="17"/>
    </row>
    <row r="14" spans="1:26" ht="19.5" customHeight="1" x14ac:dyDescent="0.25">
      <c r="A14" s="49" t="s">
        <v>75</v>
      </c>
      <c r="B14" s="50">
        <f>B13</f>
        <v>73708</v>
      </c>
      <c r="C14" s="50">
        <f>C3</f>
        <v>51728</v>
      </c>
      <c r="D14" s="50">
        <f>SUM(D3:D13)</f>
        <v>7700</v>
      </c>
      <c r="E14" s="50">
        <f>SUM(E4:E13)</f>
        <v>14280</v>
      </c>
      <c r="F14" s="51">
        <f>IF(OR(B14="",C14=0),"",(B14-C14-D14)/C14)</f>
        <v>0.2760593875657284</v>
      </c>
      <c r="G14" s="52">
        <f ca="1">IFERROR(__xludf.DUMMYFUNCTION("IFERROR(INDEX(FILTER(G4:G13,ISNUMBER(G4:G13)),COUNT(FILTER(G4:G13,ISNUMBER(G4:G13)))),"""")"),25.7782683126974)</f>
        <v>25.778268312697399</v>
      </c>
      <c r="H14" s="16"/>
      <c r="I14" s="16"/>
      <c r="J14" s="16"/>
      <c r="K14" s="16"/>
      <c r="L14" s="17"/>
      <c r="M14" s="17"/>
      <c r="N14" s="38" t="str">
        <f t="shared" ref="N14:N25" si="10">"2026 "&amp;A19</f>
        <v>2026 Ene</v>
      </c>
      <c r="O14" s="40">
        <f t="shared" ref="O14:O25" si="11">B19</f>
        <v>76000</v>
      </c>
      <c r="P14" s="40">
        <f>C3+SUM(D3:D13)+SUM(D19)</f>
        <v>59928</v>
      </c>
      <c r="Q14" s="40">
        <f t="shared" si="2"/>
        <v>16072</v>
      </c>
      <c r="R14" s="17"/>
      <c r="S14" s="17"/>
      <c r="T14" s="17"/>
      <c r="U14" s="31"/>
      <c r="V14" s="31"/>
      <c r="W14" s="31"/>
      <c r="X14" s="17"/>
      <c r="Y14" s="17"/>
      <c r="Z14" s="17"/>
    </row>
    <row r="15" spans="1:26" ht="19.5" customHeight="1" x14ac:dyDescent="0.25">
      <c r="A15" s="53" t="s">
        <v>76</v>
      </c>
      <c r="B15" s="54">
        <f ca="1">IFERROR(__xludf.DUMMYFUNCTION("IFERROR(STDEV(FILTER(F4:F13,ISNUMBER(F4:F13)))*SQRT(12)/100,"""")"),0.0570294609061031)</f>
        <v>5.7029460906103099E-2</v>
      </c>
      <c r="C15" s="56" t="str">
        <f ca="1">IFERROR(__xludf.DUMMYFUNCTION("""Mensual · ""&amp;COUNT(FILTER(F4:F13,ISNUMBER(F4:F13)))&amp;"" meses"""),"Mensual · 10 meses")</f>
        <v>Mensual · 10 meses</v>
      </c>
      <c r="D15" s="58"/>
      <c r="E15" s="58"/>
      <c r="F15" s="59"/>
      <c r="G15" s="59"/>
      <c r="H15" s="16"/>
      <c r="I15" s="16"/>
      <c r="J15" s="16"/>
      <c r="K15" s="16"/>
      <c r="L15" s="17"/>
      <c r="M15" s="17"/>
      <c r="N15" s="28" t="str">
        <f t="shared" si="10"/>
        <v>2026 Feb</v>
      </c>
      <c r="O15" s="29">
        <f t="shared" si="11"/>
        <v>76422</v>
      </c>
      <c r="P15" s="29">
        <f>C3+SUM(D3:D13)+SUM(D19:D20)</f>
        <v>60628</v>
      </c>
      <c r="Q15" s="29">
        <f t="shared" si="2"/>
        <v>15794</v>
      </c>
      <c r="R15" s="17"/>
      <c r="S15" s="17"/>
      <c r="T15" s="17"/>
      <c r="U15" s="31"/>
      <c r="V15" s="31"/>
      <c r="W15" s="31"/>
      <c r="X15" s="17"/>
      <c r="Y15" s="17"/>
      <c r="Z15" s="17"/>
    </row>
    <row r="16" spans="1:26" ht="19.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/>
      <c r="M16" s="17"/>
      <c r="N16" s="38" t="str">
        <f t="shared" si="10"/>
        <v>2026 Mar</v>
      </c>
      <c r="O16" s="40">
        <f t="shared" si="11"/>
        <v>72950</v>
      </c>
      <c r="P16" s="40">
        <f>C3+SUM(D3:D13)+SUM(D19:D21)</f>
        <v>61228</v>
      </c>
      <c r="Q16" s="40">
        <f t="shared" si="2"/>
        <v>11722</v>
      </c>
      <c r="R16" s="17"/>
      <c r="S16" s="17"/>
      <c r="T16" s="17"/>
      <c r="U16" s="31"/>
      <c r="V16" s="31"/>
      <c r="W16" s="31"/>
      <c r="X16" s="17"/>
      <c r="Y16" s="17"/>
      <c r="Z16" s="17"/>
    </row>
    <row r="17" spans="1:26" ht="22.5" customHeight="1" x14ac:dyDescent="0.25">
      <c r="A17" s="115" t="s">
        <v>78</v>
      </c>
      <c r="B17" s="114"/>
      <c r="C17" s="114"/>
      <c r="D17" s="114"/>
      <c r="E17" s="114"/>
      <c r="F17" s="114"/>
      <c r="G17" s="114"/>
      <c r="H17" s="16"/>
      <c r="I17" s="16"/>
      <c r="J17" s="16"/>
      <c r="K17" s="16"/>
      <c r="L17" s="17"/>
      <c r="M17" s="17"/>
      <c r="N17" s="28" t="str">
        <f t="shared" si="10"/>
        <v>2026 Abr</v>
      </c>
      <c r="O17" s="29">
        <f t="shared" si="11"/>
        <v>76207</v>
      </c>
      <c r="P17" s="29">
        <f>C3+SUM(D3:D13)+SUM(D19:D22)</f>
        <v>60528</v>
      </c>
      <c r="Q17" s="29">
        <f t="shared" si="2"/>
        <v>15679</v>
      </c>
      <c r="R17" s="17"/>
      <c r="S17" s="17"/>
      <c r="T17" s="18" t="s">
        <v>21</v>
      </c>
      <c r="U17" s="20" t="s">
        <v>22</v>
      </c>
      <c r="V17" s="20" t="s">
        <v>32</v>
      </c>
      <c r="W17" s="20" t="s">
        <v>33</v>
      </c>
      <c r="X17" s="17"/>
      <c r="Y17" s="17"/>
      <c r="Z17" s="17"/>
    </row>
    <row r="18" spans="1:26" ht="29.25" customHeight="1" x14ac:dyDescent="0.25">
      <c r="A18" s="21" t="s">
        <v>21</v>
      </c>
      <c r="B18" s="21" t="s">
        <v>22</v>
      </c>
      <c r="C18" s="21" t="s">
        <v>23</v>
      </c>
      <c r="D18" s="62" t="s">
        <v>24</v>
      </c>
      <c r="E18" s="21" t="s">
        <v>25</v>
      </c>
      <c r="F18" s="21" t="s">
        <v>27</v>
      </c>
      <c r="G18" s="21" t="s">
        <v>28</v>
      </c>
      <c r="H18" s="15"/>
      <c r="I18" s="16"/>
      <c r="J18" s="16"/>
      <c r="K18" s="16"/>
      <c r="L18" s="17"/>
      <c r="M18" s="17"/>
      <c r="N18" s="38" t="str">
        <f t="shared" si="10"/>
        <v>2026 May</v>
      </c>
      <c r="O18" s="40">
        <f t="shared" si="11"/>
        <v>79485</v>
      </c>
      <c r="P18" s="40">
        <f>C3+SUM(D3:D13)+SUM(D19:D23)</f>
        <v>59828</v>
      </c>
      <c r="Q18" s="40">
        <f t="shared" si="2"/>
        <v>19657</v>
      </c>
      <c r="R18" s="17"/>
      <c r="S18" s="17"/>
      <c r="T18" s="17" t="str">
        <f t="shared" ref="T18:T29" si="12">A19</f>
        <v>Ene</v>
      </c>
      <c r="U18" s="31">
        <f t="shared" ref="U18:U29" si="13">IF(B19="","",B19)</f>
        <v>76000</v>
      </c>
      <c r="V18" s="31">
        <f t="shared" ref="V18:V29" si="14">IF(U18="","",$C$19+SUM($D$19:D19))</f>
        <v>74208</v>
      </c>
      <c r="W18" s="31">
        <f t="shared" ref="W18:W29" si="15">IF(U18="","",U18-V18)</f>
        <v>1792</v>
      </c>
      <c r="X18" s="17"/>
      <c r="Y18" s="17"/>
      <c r="Z18" s="17"/>
    </row>
    <row r="19" spans="1:26" ht="19.5" customHeight="1" x14ac:dyDescent="0.25">
      <c r="A19" s="23" t="s">
        <v>77</v>
      </c>
      <c r="B19" s="24">
        <v>76000</v>
      </c>
      <c r="C19" s="25">
        <f>73708</f>
        <v>73708</v>
      </c>
      <c r="D19" s="24">
        <f>IF(AND(B19="",COUNTIFS(Movimientos!$D$6:$D$505,"&gt;="&amp;DATE(2026,1,1),Movimientos!$D$6:$D$505,"&lt;"&amp;DATE(2026,2,1))=0),"",SUMIFS(Movimientos!$B$6:$B$505,Movimientos!$D$6:$D$505,"&gt;="&amp;DATE(2026,1,1),Movimientos!$D$6:$D$505,"&lt;"&amp;DATE(2026,2,1)))</f>
        <v>500</v>
      </c>
      <c r="E19" s="25">
        <f t="shared" ref="E19:E25" si="16">B19-C19-D19</f>
        <v>1792</v>
      </c>
      <c r="F19" s="41">
        <f t="shared" ref="F19:F30" si="17">IF(OR(B19="",C19=0),"",((B19-IF(D19="",0,D19))/C19-1)*100)</f>
        <v>2.4312150648504893</v>
      </c>
      <c r="G19" s="41">
        <f>IF(F19="","",F19)</f>
        <v>2.4312150648504893</v>
      </c>
      <c r="H19" s="16"/>
      <c r="I19" s="16"/>
      <c r="J19" s="16"/>
      <c r="K19" s="16"/>
      <c r="L19" s="17"/>
      <c r="M19" s="17"/>
      <c r="N19" s="38" t="str">
        <f t="shared" si="10"/>
        <v>2026 Jun</v>
      </c>
      <c r="O19" s="40">
        <f t="shared" si="11"/>
        <v>76115</v>
      </c>
      <c r="P19" s="40">
        <f>IF(O19="","",C3+SUM(D3:D13)+SUM(D19:D24))</f>
        <v>56388</v>
      </c>
      <c r="Q19" s="40">
        <f t="shared" ref="Q19:Q25" si="18">IF(O19="","",O19-P19)</f>
        <v>19727</v>
      </c>
      <c r="R19" s="17"/>
      <c r="S19" s="17"/>
      <c r="T19" s="17" t="str">
        <f t="shared" si="12"/>
        <v>Feb</v>
      </c>
      <c r="U19" s="31">
        <f t="shared" si="13"/>
        <v>76422</v>
      </c>
      <c r="V19" s="31">
        <f t="shared" si="14"/>
        <v>74908</v>
      </c>
      <c r="W19" s="31">
        <f t="shared" si="15"/>
        <v>1514</v>
      </c>
      <c r="X19" s="17"/>
      <c r="Y19" s="17"/>
      <c r="Z19" s="17"/>
    </row>
    <row r="20" spans="1:26" ht="19.5" customHeight="1" x14ac:dyDescent="0.25">
      <c r="A20" s="33" t="s">
        <v>34</v>
      </c>
      <c r="B20" s="24">
        <v>76422</v>
      </c>
      <c r="C20" s="34">
        <f t="shared" ref="C20:C30" si="19">B19</f>
        <v>76000</v>
      </c>
      <c r="D20" s="24">
        <f>IF(AND(B20="",COUNTIFS(Movimientos!$D$6:$D$505,"&gt;="&amp;DATE(2026,2,1),Movimientos!$D$6:$D$505,"&lt;"&amp;DATE(2026,3,1))=0),"",SUMIFS(Movimientos!$B$6:$B$505,Movimientos!$D$6:$D$505,"&gt;="&amp;DATE(2026,2,1),Movimientos!$D$6:$D$505,"&lt;"&amp;DATE(2026,3,1)))</f>
        <v>700</v>
      </c>
      <c r="E20" s="34">
        <f t="shared" si="16"/>
        <v>-278</v>
      </c>
      <c r="F20" s="35">
        <f t="shared" si="17"/>
        <v>-0.36578947368420822</v>
      </c>
      <c r="G20" s="35">
        <f t="shared" ref="G20:G30" si="20">IF(F20="","",((1+G19/100)*(1+F20/100)-1)*100)</f>
        <v>2.0565324623764258</v>
      </c>
      <c r="H20" s="16"/>
      <c r="I20" s="16"/>
      <c r="J20" s="16"/>
      <c r="K20" s="16"/>
      <c r="L20" s="17"/>
      <c r="M20" s="17"/>
      <c r="N20" s="28" t="str">
        <f t="shared" si="10"/>
        <v>2026 Jul</v>
      </c>
      <c r="O20" s="29">
        <f t="shared" ca="1" si="11"/>
        <v>83862</v>
      </c>
      <c r="P20" s="29">
        <f ca="1">IF(O20="","",C3+SUM(D3:D13)+SUM(D19:D25))</f>
        <v>62388</v>
      </c>
      <c r="Q20" s="29">
        <f t="shared" ca="1" si="18"/>
        <v>21474</v>
      </c>
      <c r="R20" s="17"/>
      <c r="S20" s="17"/>
      <c r="T20" s="17" t="str">
        <f t="shared" si="12"/>
        <v>Mar</v>
      </c>
      <c r="U20" s="31">
        <f t="shared" si="13"/>
        <v>72950</v>
      </c>
      <c r="V20" s="31">
        <f t="shared" si="14"/>
        <v>75508</v>
      </c>
      <c r="W20" s="31">
        <f t="shared" si="15"/>
        <v>-2558</v>
      </c>
      <c r="X20" s="17"/>
      <c r="Y20" s="17"/>
      <c r="Z20" s="17"/>
    </row>
    <row r="21" spans="1:26" ht="19.5" customHeight="1" x14ac:dyDescent="0.25">
      <c r="A21" s="23" t="s">
        <v>52</v>
      </c>
      <c r="B21" s="24">
        <v>72950</v>
      </c>
      <c r="C21" s="25">
        <f t="shared" si="19"/>
        <v>76422</v>
      </c>
      <c r="D21" s="24">
        <f>IF(AND(B21="",COUNTIFS(Movimientos!$D$6:$D$505,"&gt;="&amp;DATE(2026,3,1),Movimientos!$D$6:$D$505,"&lt;"&amp;DATE(2026,4,1))=0),"",SUMIFS(Movimientos!$B$6:$B$505,Movimientos!$D$6:$D$505,"&gt;="&amp;DATE(2026,3,1),Movimientos!$D$6:$D$505,"&lt;"&amp;DATE(2026,4,1)))</f>
        <v>600</v>
      </c>
      <c r="E21" s="25">
        <f t="shared" si="16"/>
        <v>-4072</v>
      </c>
      <c r="F21" s="41">
        <f t="shared" si="17"/>
        <v>-5.3283086022349551</v>
      </c>
      <c r="G21" s="41">
        <f t="shared" si="20"/>
        <v>-3.3813545359590913</v>
      </c>
      <c r="H21" s="16"/>
      <c r="I21" s="16"/>
      <c r="J21" s="16"/>
      <c r="K21" s="16"/>
      <c r="L21" s="17"/>
      <c r="M21" s="17"/>
      <c r="N21" s="38" t="str">
        <f t="shared" si="10"/>
        <v>2026 Ago</v>
      </c>
      <c r="O21" s="40">
        <f t="shared" ca="1" si="11"/>
        <v>86713</v>
      </c>
      <c r="P21" s="40">
        <f ca="1">IF(O21="","",C3+SUM(D3:D13)+SUM(D19:D26))</f>
        <v>63896</v>
      </c>
      <c r="Q21" s="40">
        <f t="shared" ca="1" si="18"/>
        <v>22817</v>
      </c>
      <c r="R21" s="17"/>
      <c r="S21" s="17"/>
      <c r="T21" s="17" t="str">
        <f t="shared" si="12"/>
        <v>Abr</v>
      </c>
      <c r="U21" s="31">
        <f t="shared" si="13"/>
        <v>76207</v>
      </c>
      <c r="V21" s="31">
        <f t="shared" si="14"/>
        <v>74808</v>
      </c>
      <c r="W21" s="31">
        <f t="shared" si="15"/>
        <v>1399</v>
      </c>
      <c r="X21" s="17"/>
      <c r="Y21" s="17"/>
      <c r="Z21" s="17"/>
    </row>
    <row r="22" spans="1:26" ht="19.5" customHeight="1" x14ac:dyDescent="0.25">
      <c r="A22" s="33" t="s">
        <v>61</v>
      </c>
      <c r="B22" s="24">
        <v>76207</v>
      </c>
      <c r="C22" s="34">
        <f t="shared" si="19"/>
        <v>72950</v>
      </c>
      <c r="D22" s="24">
        <f>IF(AND(B22="",COUNTIFS(Movimientos!$D$6:$D$505,"&gt;="&amp;DATE(2026,4,1),Movimientos!$D$6:$D$505,"&lt;"&amp;DATE(2026,5,1))=0),"",SUMIFS(Movimientos!$B$6:$B$505,Movimientos!$D$6:$D$505,"&gt;="&amp;DATE(2026,4,1),Movimientos!$D$6:$D$505,"&lt;"&amp;DATE(2026,5,1)))</f>
        <v>-700</v>
      </c>
      <c r="E22" s="34">
        <f t="shared" si="16"/>
        <v>3957</v>
      </c>
      <c r="F22" s="35">
        <f t="shared" si="17"/>
        <v>5.4242631939684705</v>
      </c>
      <c r="G22" s="35">
        <f t="shared" si="20"/>
        <v>1.8594950884577743</v>
      </c>
      <c r="H22" s="16"/>
      <c r="I22" s="16"/>
      <c r="J22" s="16"/>
      <c r="K22" s="16"/>
      <c r="L22" s="17"/>
      <c r="M22" s="17"/>
      <c r="N22" s="28" t="str">
        <f t="shared" si="10"/>
        <v>2026 Sep</v>
      </c>
      <c r="O22" s="29">
        <f t="shared" ca="1" si="11"/>
        <v>85387</v>
      </c>
      <c r="P22" s="29">
        <f ca="1">IF(O22="","",C3+SUM(D3:D13)+SUM(D19:D27))</f>
        <v>63896</v>
      </c>
      <c r="Q22" s="29">
        <f t="shared" ca="1" si="18"/>
        <v>21491</v>
      </c>
      <c r="R22" s="17"/>
      <c r="S22" s="17"/>
      <c r="T22" s="17" t="str">
        <f t="shared" si="12"/>
        <v>May</v>
      </c>
      <c r="U22" s="31">
        <f t="shared" si="13"/>
        <v>79485</v>
      </c>
      <c r="V22" s="31">
        <f t="shared" si="14"/>
        <v>74108</v>
      </c>
      <c r="W22" s="31">
        <f t="shared" si="15"/>
        <v>5377</v>
      </c>
      <c r="X22" s="17"/>
      <c r="Y22" s="17"/>
      <c r="Z22" s="17"/>
    </row>
    <row r="23" spans="1:26" ht="19.5" customHeight="1" x14ac:dyDescent="0.25">
      <c r="A23" s="23" t="s">
        <v>62</v>
      </c>
      <c r="B23" s="24">
        <v>79485</v>
      </c>
      <c r="C23" s="25">
        <f t="shared" si="19"/>
        <v>76207</v>
      </c>
      <c r="D23" s="24">
        <f>IF(AND(B23="",COUNTIFS(Movimientos!$D$6:$D$505,"&gt;="&amp;DATE(2026,5,1),Movimientos!$D$6:$D$505,"&lt;"&amp;DATE(2026,6,1))=0),"",SUMIFS(Movimientos!$B$6:$B$505,Movimientos!$D$6:$D$505,"&gt;="&amp;DATE(2026,5,1),Movimientos!$D$6:$D$505,"&lt;"&amp;DATE(2026,6,1)))</f>
        <v>-700</v>
      </c>
      <c r="E23" s="25">
        <f t="shared" si="16"/>
        <v>3978</v>
      </c>
      <c r="F23" s="41">
        <f t="shared" si="17"/>
        <v>5.219992914036764</v>
      </c>
      <c r="G23" s="41">
        <f t="shared" si="20"/>
        <v>7.1765535143488934</v>
      </c>
      <c r="H23" s="16"/>
      <c r="I23" s="16"/>
      <c r="J23" s="16"/>
      <c r="K23" s="16"/>
      <c r="L23" s="17"/>
      <c r="M23" s="17"/>
      <c r="N23" s="38" t="str">
        <f t="shared" si="10"/>
        <v>2026 Oct</v>
      </c>
      <c r="O23" s="40" t="str">
        <f t="shared" ca="1" si="11"/>
        <v/>
      </c>
      <c r="P23" s="40" t="str">
        <f ca="1">IF(O23="","",C3+SUM(D3:D13)+SUM(D19:D28))</f>
        <v/>
      </c>
      <c r="Q23" s="40" t="str">
        <f t="shared" ca="1" si="18"/>
        <v/>
      </c>
      <c r="R23" s="17"/>
      <c r="S23" s="17"/>
      <c r="T23" s="17" t="str">
        <f t="shared" si="12"/>
        <v>Jun</v>
      </c>
      <c r="U23" s="31">
        <f t="shared" si="13"/>
        <v>76115</v>
      </c>
      <c r="V23" s="31">
        <f t="shared" si="14"/>
        <v>70668</v>
      </c>
      <c r="W23" s="31">
        <f t="shared" si="15"/>
        <v>5447</v>
      </c>
      <c r="X23" s="17"/>
      <c r="Y23" s="17"/>
      <c r="Z23" s="17"/>
    </row>
    <row r="24" spans="1:26" ht="19.5" customHeight="1" x14ac:dyDescent="0.25">
      <c r="A24" s="33" t="s">
        <v>63</v>
      </c>
      <c r="B24" s="67">
        <v>76115</v>
      </c>
      <c r="C24" s="34">
        <f t="shared" si="19"/>
        <v>79485</v>
      </c>
      <c r="D24" s="24">
        <f>IF(AND(B24="",COUNTIFS(Movimientos!$D$6:$D$505,"&gt;="&amp;DATE(2026,6,1),Movimientos!$D$6:$D$505,"&lt;"&amp;DATE(2026,7,1))=0),"",SUMIFS(Movimientos!$B$6:$B$505,Movimientos!$D$6:$D$505,"&gt;="&amp;DATE(2026,6,1),Movimientos!$D$6:$D$505,"&lt;"&amp;DATE(2026,7,1)))</f>
        <v>-3440</v>
      </c>
      <c r="E24" s="34">
        <f t="shared" si="16"/>
        <v>70</v>
      </c>
      <c r="F24" s="35">
        <f t="shared" si="17"/>
        <v>8.806693086746975E-2</v>
      </c>
      <c r="G24" s="35">
        <f t="shared" si="20"/>
        <v>7.2709406156385104</v>
      </c>
      <c r="H24" s="16"/>
      <c r="I24" s="16"/>
      <c r="J24" s="16"/>
      <c r="K24" s="16"/>
      <c r="L24" s="17"/>
      <c r="M24" s="17"/>
      <c r="N24" s="38" t="str">
        <f t="shared" si="10"/>
        <v>2026 Nov</v>
      </c>
      <c r="O24" s="40" t="str">
        <f t="shared" ca="1" si="11"/>
        <v/>
      </c>
      <c r="P24" s="40" t="str">
        <f ca="1">IF(O24="","",C3+SUM(D3:D13)+SUM(D19:D29))</f>
        <v/>
      </c>
      <c r="Q24" s="40" t="str">
        <f t="shared" ca="1" si="18"/>
        <v/>
      </c>
      <c r="R24" s="17"/>
      <c r="S24" s="17"/>
      <c r="T24" s="17" t="str">
        <f t="shared" si="12"/>
        <v>Jul</v>
      </c>
      <c r="U24" s="31">
        <f t="shared" ca="1" si="13"/>
        <v>83862</v>
      </c>
      <c r="V24" s="31">
        <f t="shared" ca="1" si="14"/>
        <v>76668</v>
      </c>
      <c r="W24" s="31">
        <f t="shared" ca="1" si="15"/>
        <v>7194</v>
      </c>
      <c r="X24" s="17"/>
      <c r="Y24" s="17"/>
      <c r="Z24" s="17"/>
    </row>
    <row r="25" spans="1:26" ht="19.5" customHeight="1" x14ac:dyDescent="0.25">
      <c r="A25" s="23" t="s">
        <v>64</v>
      </c>
      <c r="B25" s="68">
        <f ca="1">IFERROR(__xludf.DUMMYFUNCTION("IFERROR(XLOOKUP(MAX(FILTER('Datos diarios'!$A$2:$A$366,'Datos diarios'!$A$2:$A$366&gt;=DATE(2026,7,1),'Datos diarios'!$A$2:$A$366&lt;DATE(2026,8,1),'Datos diarios'!$B$2:$B$366&lt;&gt;"""")),'Datos diarios'!$A$2:$A$366,'Datos diarios'!$B$2:$B$366,""""),"""")"),83862)</f>
        <v>83862</v>
      </c>
      <c r="C25" s="25">
        <f t="shared" si="19"/>
        <v>76115</v>
      </c>
      <c r="D25" s="24">
        <f ca="1">IF(AND(B25="",COUNTIFS(Movimientos!$D$6:$D$505,"&gt;="&amp;DATE(2026,7,1),Movimientos!$D$6:$D$505,"&lt;"&amp;DATE(2026,8,1))=0),"",SUMIFS(Movimientos!$B$6:$B$505,Movimientos!$D$6:$D$505,"&gt;="&amp;DATE(2026,7,1),Movimientos!$D$6:$D$505,"&lt;"&amp;DATE(2026,8,1)))</f>
        <v>6000</v>
      </c>
      <c r="E25" s="25">
        <f t="shared" ca="1" si="16"/>
        <v>1747</v>
      </c>
      <c r="F25" s="41">
        <f t="shared" ca="1" si="17"/>
        <v>2.2952111935886421</v>
      </c>
      <c r="G25" s="41">
        <f t="shared" ca="1" si="20"/>
        <v>9.733035252116462</v>
      </c>
      <c r="H25" s="16"/>
      <c r="I25" s="16"/>
      <c r="J25" s="16"/>
      <c r="K25" s="16"/>
      <c r="L25" s="17"/>
      <c r="M25" s="17"/>
      <c r="N25" s="38" t="str">
        <f t="shared" si="10"/>
        <v>2026 Dic</v>
      </c>
      <c r="O25" s="40" t="str">
        <f t="shared" ca="1" si="11"/>
        <v/>
      </c>
      <c r="P25" s="40" t="str">
        <f ca="1">IF(O25="","",C3+SUM(D3:D13)+SUM(D19:D30))</f>
        <v/>
      </c>
      <c r="Q25" s="40" t="str">
        <f t="shared" ca="1" si="18"/>
        <v/>
      </c>
      <c r="R25" s="17"/>
      <c r="S25" s="17"/>
      <c r="T25" s="17" t="str">
        <f t="shared" si="12"/>
        <v>Ago</v>
      </c>
      <c r="U25" s="31">
        <f t="shared" ca="1" si="13"/>
        <v>86713</v>
      </c>
      <c r="V25" s="31">
        <f t="shared" ca="1" si="14"/>
        <v>78176</v>
      </c>
      <c r="W25" s="31">
        <f t="shared" ca="1" si="15"/>
        <v>8537</v>
      </c>
      <c r="X25" s="17"/>
      <c r="Y25" s="17"/>
      <c r="Z25" s="17"/>
    </row>
    <row r="26" spans="1:26" ht="19.5" customHeight="1" x14ac:dyDescent="0.25">
      <c r="A26" s="33" t="s">
        <v>70</v>
      </c>
      <c r="B26" s="69">
        <f ca="1">IFERROR(__xludf.DUMMYFUNCTION("IFERROR(XLOOKUP(MAX(FILTER('Datos diarios'!$A$2:$A$366,'Datos diarios'!$A$2:$A$366&gt;=DATE(2026,8,1),'Datos diarios'!$A$2:$A$366&lt;DATE(2026,9,1),'Datos diarios'!$B$2:$B$366&lt;&gt;"""")),'Datos diarios'!$A$2:$A$366,'Datos diarios'!$B$2:$B$366,""""),"""")"),86713)</f>
        <v>86713</v>
      </c>
      <c r="C26" s="34">
        <f t="shared" ca="1" si="19"/>
        <v>83862</v>
      </c>
      <c r="D26" s="24">
        <f ca="1">IF(AND(B26="",COUNTIFS(Movimientos!$D$6:$D$505,"&gt;="&amp;DATE(2026,8,1),Movimientos!$D$6:$D$505,"&lt;"&amp;DATE(2026,9,1))=0),"",SUMIFS(Movimientos!$B$6:$B$505,Movimientos!$D$6:$D$505,"&gt;="&amp;DATE(2026,8,1),Movimientos!$D$6:$D$505,"&lt;"&amp;DATE(2026,9,1)))</f>
        <v>1508</v>
      </c>
      <c r="E26" s="34">
        <f t="shared" ref="E26:E30" ca="1" si="21">IF(B26="","",B26-C26-IF(D26="",0,D26))</f>
        <v>1343</v>
      </c>
      <c r="F26" s="35">
        <f t="shared" ca="1" si="17"/>
        <v>1.6014404617109124</v>
      </c>
      <c r="G26" s="35">
        <f t="shared" ca="1" si="20"/>
        <v>11.490344478507364</v>
      </c>
      <c r="H26" s="16"/>
      <c r="I26" s="16"/>
      <c r="J26" s="16"/>
      <c r="K26" s="16"/>
      <c r="L26" s="17"/>
      <c r="M26" s="17"/>
      <c r="N26" s="17"/>
      <c r="O26" s="17"/>
      <c r="P26" s="17"/>
      <c r="Q26" s="17"/>
      <c r="R26" s="17"/>
      <c r="S26" s="17"/>
      <c r="T26" s="17" t="str">
        <f t="shared" si="12"/>
        <v>Sep</v>
      </c>
      <c r="U26" s="31">
        <f t="shared" ca="1" si="13"/>
        <v>85387</v>
      </c>
      <c r="V26" s="31">
        <f t="shared" ca="1" si="14"/>
        <v>78176</v>
      </c>
      <c r="W26" s="31">
        <f t="shared" ca="1" si="15"/>
        <v>7211</v>
      </c>
      <c r="X26" s="17"/>
      <c r="Y26" s="17"/>
      <c r="Z26" s="17"/>
    </row>
    <row r="27" spans="1:26" ht="19.5" customHeight="1" x14ac:dyDescent="0.25">
      <c r="A27" s="23" t="s">
        <v>71</v>
      </c>
      <c r="B27" s="68">
        <f ca="1">IFERROR(__xludf.DUMMYFUNCTION("IFERROR(XLOOKUP(MAX(FILTER('Datos diarios'!$A$2:$A$366,'Datos diarios'!$A$2:$A$366&gt;=DATE(2026,9,1),'Datos diarios'!$A$2:$A$366&lt;DATE(2026,10,1),'Datos diarios'!$B$2:$B$366&lt;&gt;"""")),'Datos diarios'!$A$2:$A$366,'Datos diarios'!$B$2:$B$366,""""),"""")"),85387)</f>
        <v>85387</v>
      </c>
      <c r="C27" s="25">
        <f t="shared" ca="1" si="19"/>
        <v>86713</v>
      </c>
      <c r="D27" s="24">
        <f ca="1">IF(AND(B27="",COUNTIFS(Movimientos!$D$6:$D$505,"&gt;="&amp;DATE(2026,9,1),Movimientos!$D$6:$D$505,"&lt;"&amp;DATE(2026,10,1))=0),"",SUMIFS(Movimientos!$B$6:$B$505,Movimientos!$D$6:$D$505,"&gt;="&amp;DATE(2026,9,1),Movimientos!$D$6:$D$505,"&lt;"&amp;DATE(2026,10,1)))</f>
        <v>0</v>
      </c>
      <c r="E27" s="25">
        <f t="shared" ca="1" si="21"/>
        <v>-1326</v>
      </c>
      <c r="F27" s="41">
        <f t="shared" ca="1" si="17"/>
        <v>-1.5291824755227057</v>
      </c>
      <c r="G27" s="41">
        <f t="shared" ca="1" si="20"/>
        <v>9.7854536688421376</v>
      </c>
      <c r="H27" s="16"/>
      <c r="I27" s="16"/>
      <c r="J27" s="16"/>
      <c r="K27" s="16"/>
      <c r="L27" s="17"/>
      <c r="M27" s="17"/>
      <c r="N27" s="17"/>
      <c r="O27" s="17"/>
      <c r="P27" s="17"/>
      <c r="Q27" s="17"/>
      <c r="R27" s="17"/>
      <c r="S27" s="17"/>
      <c r="T27" s="17" t="str">
        <f t="shared" si="12"/>
        <v>Oct</v>
      </c>
      <c r="U27" s="31" t="str">
        <f t="shared" ca="1" si="13"/>
        <v/>
      </c>
      <c r="V27" s="31" t="str">
        <f t="shared" ca="1" si="14"/>
        <v/>
      </c>
      <c r="W27" s="31" t="str">
        <f t="shared" ca="1" si="15"/>
        <v/>
      </c>
      <c r="X27" s="17"/>
      <c r="Y27" s="17"/>
      <c r="Z27" s="17"/>
    </row>
    <row r="28" spans="1:26" ht="19.5" customHeight="1" x14ac:dyDescent="0.25">
      <c r="A28" s="33" t="s">
        <v>72</v>
      </c>
      <c r="B28" s="69" t="str">
        <f ca="1">IFERROR(__xludf.DUMMYFUNCTION("IFERROR(XLOOKUP(MAX(FILTER('Datos diarios'!$A$2:$A$366,'Datos diarios'!$A$2:$A$366&gt;=DATE(2026,10,1),'Datos diarios'!$A$2:$A$366&lt;DATE(2026,11,1),'Datos diarios'!$B$2:$B$366&lt;&gt;"""")),'Datos diarios'!$A$2:$A$366,'Datos diarios'!$B$2:$B$366,""""),"""")"),"")</f>
        <v/>
      </c>
      <c r="C28" s="34">
        <f t="shared" ca="1" si="19"/>
        <v>85387</v>
      </c>
      <c r="D28" s="24" t="str">
        <f ca="1">IF(AND(B28="",COUNTIFS(Movimientos!$D$6:$D$505,"&gt;="&amp;DATE(2026,10,1),Movimientos!$D$6:$D$505,"&lt;"&amp;DATE(2026,11,1))=0),"",SUMIFS(Movimientos!$B$6:$B$505,Movimientos!$D$6:$D$505,"&gt;="&amp;DATE(2026,10,1),Movimientos!$D$6:$D$505,"&lt;"&amp;DATE(2026,11,1)))</f>
        <v/>
      </c>
      <c r="E28" s="34" t="str">
        <f t="shared" ca="1" si="21"/>
        <v/>
      </c>
      <c r="F28" s="35" t="str">
        <f t="shared" ca="1" si="17"/>
        <v/>
      </c>
      <c r="G28" s="35" t="str">
        <f t="shared" ca="1" si="20"/>
        <v/>
      </c>
      <c r="H28" s="16"/>
      <c r="I28" s="16"/>
      <c r="J28" s="16"/>
      <c r="K28" s="16"/>
      <c r="L28" s="17"/>
      <c r="M28" s="17"/>
      <c r="N28" s="17"/>
      <c r="O28" s="17"/>
      <c r="P28" s="17"/>
      <c r="Q28" s="17"/>
      <c r="R28" s="17"/>
      <c r="S28" s="17"/>
      <c r="T28" s="17" t="str">
        <f t="shared" si="12"/>
        <v>Nov</v>
      </c>
      <c r="U28" s="31" t="str">
        <f t="shared" ca="1" si="13"/>
        <v/>
      </c>
      <c r="V28" s="31" t="str">
        <f t="shared" ca="1" si="14"/>
        <v/>
      </c>
      <c r="W28" s="31" t="str">
        <f t="shared" ca="1" si="15"/>
        <v/>
      </c>
      <c r="X28" s="17"/>
      <c r="Y28" s="17"/>
      <c r="Z28" s="17"/>
    </row>
    <row r="29" spans="1:26" ht="19.5" customHeight="1" x14ac:dyDescent="0.25">
      <c r="A29" s="23" t="s">
        <v>73</v>
      </c>
      <c r="B29" s="68" t="str">
        <f ca="1">IFERROR(__xludf.DUMMYFUNCTION("IFERROR(XLOOKUP(MAX(FILTER('Datos diarios'!$A$2:$A$366,'Datos diarios'!$A$2:$A$366&gt;=DATE(2026,11,1),'Datos diarios'!$A$2:$A$366&lt;DATE(2026,12,1),'Datos diarios'!$B$2:$B$366&lt;&gt;"""")),'Datos diarios'!$A$2:$A$366,'Datos diarios'!$B$2:$B$366,""""),"""")"),"")</f>
        <v/>
      </c>
      <c r="C29" s="25" t="str">
        <f t="shared" ca="1" si="19"/>
        <v/>
      </c>
      <c r="D29" s="24" t="str">
        <f ca="1">IF(AND(B29="",COUNTIFS(Movimientos!$D$6:$D$505,"&gt;="&amp;DATE(2026,11,1),Movimientos!$D$6:$D$505,"&lt;"&amp;DATE(2026,12,1))=0),"",SUMIFS(Movimientos!$B$6:$B$505,Movimientos!$D$6:$D$505,"&gt;="&amp;DATE(2026,11,1),Movimientos!$D$6:$D$505,"&lt;"&amp;DATE(2026,12,1)))</f>
        <v/>
      </c>
      <c r="E29" s="25" t="str">
        <f t="shared" ca="1" si="21"/>
        <v/>
      </c>
      <c r="F29" s="41" t="str">
        <f t="shared" ca="1" si="17"/>
        <v/>
      </c>
      <c r="G29" s="41" t="str">
        <f t="shared" ca="1" si="20"/>
        <v/>
      </c>
      <c r="H29" s="16"/>
      <c r="I29" s="16"/>
      <c r="J29" s="16"/>
      <c r="K29" s="16"/>
      <c r="L29" s="17"/>
      <c r="M29" s="17"/>
      <c r="N29" s="17"/>
      <c r="O29" s="17"/>
      <c r="P29" s="17"/>
      <c r="Q29" s="17"/>
      <c r="R29" s="17"/>
      <c r="S29" s="17"/>
      <c r="T29" s="17" t="str">
        <f t="shared" si="12"/>
        <v>Dic</v>
      </c>
      <c r="U29" s="31" t="str">
        <f t="shared" ca="1" si="13"/>
        <v/>
      </c>
      <c r="V29" s="31" t="str">
        <f t="shared" ca="1" si="14"/>
        <v/>
      </c>
      <c r="W29" s="31" t="str">
        <f t="shared" ca="1" si="15"/>
        <v/>
      </c>
      <c r="X29" s="17"/>
      <c r="Y29" s="17"/>
      <c r="Z29" s="17"/>
    </row>
    <row r="30" spans="1:26" ht="19.5" customHeight="1" x14ac:dyDescent="0.25">
      <c r="A30" s="33" t="s">
        <v>74</v>
      </c>
      <c r="B30" s="69" t="str">
        <f ca="1">IFERROR(__xludf.DUMMYFUNCTION("IFERROR(XLOOKUP(MAX(FILTER('Datos diarios'!$A$2:$A$366,'Datos diarios'!$A$2:$A$366&gt;=DATE(2026,12,1),'Datos diarios'!$A$2:$A$366&lt;DATE(2027,1,1),'Datos diarios'!$B$2:$B$366&lt;&gt;"""")),'Datos diarios'!$A$2:$A$366,'Datos diarios'!$B$2:$B$366,""""),"""")"),"")</f>
        <v/>
      </c>
      <c r="C30" s="34" t="str">
        <f t="shared" ca="1" si="19"/>
        <v/>
      </c>
      <c r="D30" s="24" t="str">
        <f ca="1">IF(AND(B30="",COUNTIFS(Movimientos!$D$6:$D$505,"&gt;="&amp;DATE(2026,12,1),Movimientos!$D$6:$D$505,"&lt;"&amp;DATE(2026,13,1))=0),"",SUMIFS(Movimientos!$B$6:$B$505,Movimientos!$D$6:$D$505,"&gt;="&amp;DATE(2026,12,1),Movimientos!$D$6:$D$505,"&lt;"&amp;DATE(2026,13,1)))</f>
        <v/>
      </c>
      <c r="E30" s="34" t="str">
        <f t="shared" ca="1" si="21"/>
        <v/>
      </c>
      <c r="F30" s="35" t="str">
        <f t="shared" ca="1" si="17"/>
        <v/>
      </c>
      <c r="G30" s="35" t="str">
        <f t="shared" ca="1" si="20"/>
        <v/>
      </c>
      <c r="H30" s="16"/>
      <c r="I30" s="16"/>
      <c r="J30" s="16"/>
      <c r="K30" s="16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1" customHeight="1" x14ac:dyDescent="0.25">
      <c r="A31" s="49" t="s">
        <v>104</v>
      </c>
      <c r="B31" s="50">
        <f ca="1">IFERROR(__xludf.DUMMYFUNCTION("IFERROR(INDEX(FILTER(B19:B30,ISNUMBER(B19:B30)),COUNT(FILTER(B19:B30,ISNUMBER(B19:B30)))),"""")"),85387)</f>
        <v>85387</v>
      </c>
      <c r="C31" s="50">
        <f>C19</f>
        <v>73708</v>
      </c>
      <c r="D31" s="50">
        <f t="shared" ref="D31:E31" ca="1" si="22">SUM(D19:D30)</f>
        <v>4468</v>
      </c>
      <c r="E31" s="50">
        <f t="shared" ca="1" si="22"/>
        <v>7211</v>
      </c>
      <c r="F31" s="51">
        <f ca="1">IF(OR(B31="",C31=0),"",(B31-C31-D31)/C31)</f>
        <v>9.7831985673196939E-2</v>
      </c>
      <c r="G31" s="52">
        <f ca="1">IFERROR(__xludf.DUMMYFUNCTION("IFERROR(INDEX(FILTER(G19:G30,ISNUMBER(G19:G30)),COUNT(FILTER(G19:G30,ISNUMBER(G19:G30)))),"""")"),9.78545366884213)</f>
        <v>9.7854536688421305</v>
      </c>
      <c r="H31" s="16"/>
      <c r="I31" s="16"/>
      <c r="J31" s="16"/>
      <c r="K31" s="16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21" customHeight="1" x14ac:dyDescent="0.25">
      <c r="A32" s="53" t="s">
        <v>110</v>
      </c>
      <c r="B32" s="54">
        <f ca="1">IFERROR(__xludf.DUMMYFUNCTION("LET(m,FILTER(F19:F24,ISNUMBER(F19:F24)),d,FILTER('Datos diarios'!D2:D366,'Datos diarios'!A2:A366&gt;=DATE(2026,7,7),'Datos diarios'!A2:A366&lt;=TODAY(),ISNUMBER('Datos diarios'!D2:D366)),vm,VAR(m)*12/10000,vd,VAR(d)*365/10000,wm,COUNT(m)/12,wd,COUNT(d)/365,SQRT"&amp;"((vm*wm+vd*wd)/(wm+wd)))"),0.127843428409182)</f>
        <v>0.127843428409182</v>
      </c>
      <c r="C32" s="56" t="str">
        <f ca="1">IFERROR(__xludf.DUMMYFUNCTION("""6 meses · ""&amp;COUNT(FILTER('Datos diarios'!D2:D366,'Datos diarios'!A2:A366&gt;=DATE(2026,7,7),'Datos diarios'!A2:A366&lt;=TODAY(),ISNUMBER('Datos diarios'!D2:D366)))&amp;"" días"""),"6 meses · 54 días")</f>
        <v>6 meses · 54 días</v>
      </c>
      <c r="D32" s="58"/>
      <c r="E32" s="58"/>
      <c r="F32" s="59"/>
      <c r="G32" s="59"/>
      <c r="H32" s="16"/>
      <c r="I32" s="16"/>
      <c r="J32" s="16"/>
      <c r="K32" s="16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22.5" customHeight="1" x14ac:dyDescent="0.25">
      <c r="A34" s="113" t="s">
        <v>114</v>
      </c>
      <c r="B34" s="114"/>
      <c r="C34" s="114"/>
      <c r="D34" s="114"/>
      <c r="E34" s="114"/>
      <c r="F34" s="114"/>
      <c r="G34" s="114"/>
      <c r="H34" s="16"/>
      <c r="I34" s="16"/>
      <c r="J34" s="16"/>
      <c r="K34" s="16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30" customHeight="1" x14ac:dyDescent="0.25">
      <c r="A35" s="21" t="s">
        <v>21</v>
      </c>
      <c r="B35" s="21" t="s">
        <v>22</v>
      </c>
      <c r="C35" s="21" t="s">
        <v>23</v>
      </c>
      <c r="D35" s="21" t="s">
        <v>24</v>
      </c>
      <c r="E35" s="21" t="s">
        <v>25</v>
      </c>
      <c r="F35" s="21" t="s">
        <v>27</v>
      </c>
      <c r="G35" s="21" t="s">
        <v>28</v>
      </c>
      <c r="H35" s="16"/>
      <c r="I35" s="16"/>
      <c r="J35" s="16"/>
      <c r="K35" s="16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36" customHeight="1" x14ac:dyDescent="0.25">
      <c r="A36" s="23" t="s">
        <v>77</v>
      </c>
      <c r="B36" s="24"/>
      <c r="C36" s="25" t="str">
        <f ca="1">B30</f>
        <v/>
      </c>
      <c r="D36" s="24" t="str">
        <f>IF(AND(B36="",COUNTIFS(Movimientos!$D$6:$D$505,"&gt;="&amp;DATE(2027,1,1),Movimientos!$D$6:$D$505,"&lt;"&amp;DATE(2027,2,1))=0),"",SUMIFS(Movimientos!$B$6:$B$505,Movimientos!$D$6:$D$505,"&gt;="&amp;DATE(2027,1,1),Movimientos!$D$6:$D$505,"&lt;"&amp;DATE(2027,2,1)))</f>
        <v/>
      </c>
      <c r="E36" s="25" t="str">
        <f t="shared" ref="E36:E47" si="23">IF(B36="","",B36-C36-IF(D36="",0,D36))</f>
        <v/>
      </c>
      <c r="F36" s="41" t="str">
        <f t="shared" ref="F36:F47" ca="1" si="24">IF(OR(B36="",C36=0),"",((B36-IF(D36="",0,D36))/C36-1)*100)</f>
        <v/>
      </c>
      <c r="G36" s="41" t="str">
        <f ca="1">IF(F36="","",F36)</f>
        <v/>
      </c>
      <c r="H36" s="16"/>
      <c r="I36" s="73"/>
      <c r="J36" s="116"/>
      <c r="K36" s="106"/>
      <c r="L36" s="106"/>
      <c r="M36" s="106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33" t="s">
        <v>34</v>
      </c>
      <c r="B37" s="24"/>
      <c r="C37" s="34">
        <f t="shared" ref="C37:C47" si="25">B36</f>
        <v>0</v>
      </c>
      <c r="D37" s="24" t="str">
        <f>IF(AND(B37="",COUNTIFS(Movimientos!$D$6:$D$505,"&gt;="&amp;DATE(2027,2,1),Movimientos!$D$6:$D$505,"&lt;"&amp;DATE(2027,3,1))=0),"",SUMIFS(Movimientos!$B$6:$B$505,Movimientos!$D$6:$D$505,"&gt;="&amp;DATE(2027,2,1),Movimientos!$D$6:$D$505,"&lt;"&amp;DATE(2027,3,1)))</f>
        <v/>
      </c>
      <c r="E37" s="34" t="str">
        <f t="shared" si="23"/>
        <v/>
      </c>
      <c r="F37" s="35" t="str">
        <f t="shared" si="24"/>
        <v/>
      </c>
      <c r="G37" s="35" t="str">
        <f t="shared" ref="G37:G47" si="26">IF(F37="","",((1+G36/100)*(1+F37/100)-1)*100)</f>
        <v/>
      </c>
      <c r="H37" s="16"/>
      <c r="I37" s="16"/>
      <c r="J37" s="16"/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23" t="s">
        <v>52</v>
      </c>
      <c r="B38" s="24"/>
      <c r="C38" s="25">
        <f t="shared" si="25"/>
        <v>0</v>
      </c>
      <c r="D38" s="24" t="str">
        <f>IF(AND(B38="",COUNTIFS(Movimientos!$D$6:$D$505,"&gt;="&amp;DATE(2027,3,1),Movimientos!$D$6:$D$505,"&lt;"&amp;DATE(2027,4,1))=0),"",SUMIFS(Movimientos!$B$6:$B$505,Movimientos!$D$6:$D$505,"&gt;="&amp;DATE(2027,3,1),Movimientos!$D$6:$D$505,"&lt;"&amp;DATE(2027,4,1)))</f>
        <v/>
      </c>
      <c r="E38" s="25" t="str">
        <f t="shared" si="23"/>
        <v/>
      </c>
      <c r="F38" s="41" t="str">
        <f t="shared" si="24"/>
        <v/>
      </c>
      <c r="G38" s="41" t="str">
        <f t="shared" si="26"/>
        <v/>
      </c>
      <c r="H38" s="16"/>
      <c r="I38" s="16"/>
      <c r="J38" s="16"/>
      <c r="K38" s="16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33" t="s">
        <v>61</v>
      </c>
      <c r="B39" s="24"/>
      <c r="C39" s="34">
        <f t="shared" si="25"/>
        <v>0</v>
      </c>
      <c r="D39" s="24" t="str">
        <f>IF(AND(B39="",COUNTIFS(Movimientos!$D$6:$D$505,"&gt;="&amp;DATE(2027,4,1),Movimientos!$D$6:$D$505,"&lt;"&amp;DATE(2027,5,1))=0),"",SUMIFS(Movimientos!$B$6:$B$505,Movimientos!$D$6:$D$505,"&gt;="&amp;DATE(2027,4,1),Movimientos!$D$6:$D$505,"&lt;"&amp;DATE(2027,5,1)))</f>
        <v/>
      </c>
      <c r="E39" s="34" t="str">
        <f t="shared" si="23"/>
        <v/>
      </c>
      <c r="F39" s="35" t="str">
        <f t="shared" si="24"/>
        <v/>
      </c>
      <c r="G39" s="35" t="str">
        <f t="shared" si="26"/>
        <v/>
      </c>
      <c r="H39" s="16"/>
      <c r="I39" s="16"/>
      <c r="J39" s="16"/>
      <c r="K39" s="16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23" t="s">
        <v>62</v>
      </c>
      <c r="B40" s="24"/>
      <c r="C40" s="25">
        <f t="shared" si="25"/>
        <v>0</v>
      </c>
      <c r="D40" s="24" t="str">
        <f>IF(AND(B40="",COUNTIFS(Movimientos!$D$6:$D$505,"&gt;="&amp;DATE(2027,5,1),Movimientos!$D$6:$D$505,"&lt;"&amp;DATE(2027,6,1))=0),"",SUMIFS(Movimientos!$B$6:$B$505,Movimientos!$D$6:$D$505,"&gt;="&amp;DATE(2027,5,1),Movimientos!$D$6:$D$505,"&lt;"&amp;DATE(2027,6,1)))</f>
        <v/>
      </c>
      <c r="E40" s="25" t="str">
        <f t="shared" si="23"/>
        <v/>
      </c>
      <c r="F40" s="41" t="str">
        <f t="shared" si="24"/>
        <v/>
      </c>
      <c r="G40" s="41" t="str">
        <f t="shared" si="26"/>
        <v/>
      </c>
      <c r="H40" s="16"/>
      <c r="I40" s="16"/>
      <c r="J40" s="16"/>
      <c r="K40" s="16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33" t="s">
        <v>63</v>
      </c>
      <c r="B41" s="24"/>
      <c r="C41" s="34">
        <f t="shared" si="25"/>
        <v>0</v>
      </c>
      <c r="D41" s="24" t="str">
        <f>IF(AND(B41="",COUNTIFS(Movimientos!$D$6:$D$505,"&gt;="&amp;DATE(2027,6,1),Movimientos!$D$6:$D$505,"&lt;"&amp;DATE(2027,7,1))=0),"",SUMIFS(Movimientos!$B$6:$B$505,Movimientos!$D$6:$D$505,"&gt;="&amp;DATE(2027,6,1),Movimientos!$D$6:$D$505,"&lt;"&amp;DATE(2027,7,1)))</f>
        <v/>
      </c>
      <c r="E41" s="34" t="str">
        <f t="shared" si="23"/>
        <v/>
      </c>
      <c r="F41" s="35" t="str">
        <f t="shared" si="24"/>
        <v/>
      </c>
      <c r="G41" s="35" t="str">
        <f t="shared" si="26"/>
        <v/>
      </c>
      <c r="H41" s="16"/>
      <c r="I41" s="16"/>
      <c r="J41" s="16"/>
      <c r="K41" s="16"/>
      <c r="L41" s="17"/>
      <c r="M41" s="17"/>
      <c r="N41" s="16"/>
      <c r="O41" s="16"/>
      <c r="P41" s="16"/>
      <c r="Q41" s="16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23" t="s">
        <v>64</v>
      </c>
      <c r="B42" s="24"/>
      <c r="C42" s="25">
        <f t="shared" si="25"/>
        <v>0</v>
      </c>
      <c r="D42" s="24" t="str">
        <f>IF(AND(B42="",COUNTIFS(Movimientos!$D$6:$D$505,"&gt;="&amp;DATE(2027,7,1),Movimientos!$D$6:$D$505,"&lt;"&amp;DATE(2027,8,1))=0),"",SUMIFS(Movimientos!$B$6:$B$505,Movimientos!$D$6:$D$505,"&gt;="&amp;DATE(2027,7,1),Movimientos!$D$6:$D$505,"&lt;"&amp;DATE(2027,8,1)))</f>
        <v/>
      </c>
      <c r="E42" s="25" t="str">
        <f t="shared" si="23"/>
        <v/>
      </c>
      <c r="F42" s="41" t="str">
        <f t="shared" si="24"/>
        <v/>
      </c>
      <c r="G42" s="41" t="str">
        <f t="shared" si="26"/>
        <v/>
      </c>
      <c r="H42" s="16"/>
      <c r="I42" s="16"/>
      <c r="J42" s="16"/>
      <c r="K42" s="16"/>
      <c r="L42" s="17"/>
      <c r="M42" s="17"/>
      <c r="N42" s="16"/>
      <c r="O42" s="16"/>
      <c r="P42" s="16"/>
      <c r="Q42" s="16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33" t="s">
        <v>70</v>
      </c>
      <c r="B43" s="24"/>
      <c r="C43" s="34">
        <f t="shared" si="25"/>
        <v>0</v>
      </c>
      <c r="D43" s="24" t="str">
        <f>IF(AND(B43="",COUNTIFS(Movimientos!$D$6:$D$505,"&gt;="&amp;DATE(2027,8,1),Movimientos!$D$6:$D$505,"&lt;"&amp;DATE(2027,9,1))=0),"",SUMIFS(Movimientos!$B$6:$B$505,Movimientos!$D$6:$D$505,"&gt;="&amp;DATE(2027,8,1),Movimientos!$D$6:$D$505,"&lt;"&amp;DATE(2027,9,1)))</f>
        <v/>
      </c>
      <c r="E43" s="34" t="str">
        <f t="shared" si="23"/>
        <v/>
      </c>
      <c r="F43" s="35" t="str">
        <f t="shared" si="24"/>
        <v/>
      </c>
      <c r="G43" s="35" t="str">
        <f t="shared" si="26"/>
        <v/>
      </c>
      <c r="H43" s="16"/>
      <c r="I43" s="16"/>
      <c r="J43" s="16"/>
      <c r="K43" s="16"/>
      <c r="L43" s="17"/>
      <c r="M43" s="17"/>
      <c r="N43" s="16"/>
      <c r="O43" s="16"/>
      <c r="P43" s="16"/>
      <c r="Q43" s="16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23" t="s">
        <v>71</v>
      </c>
      <c r="B44" s="24"/>
      <c r="C44" s="25">
        <f t="shared" si="25"/>
        <v>0</v>
      </c>
      <c r="D44" s="24" t="str">
        <f>IF(AND(B44="",COUNTIFS(Movimientos!$D$6:$D$505,"&gt;="&amp;DATE(2027,9,1),Movimientos!$D$6:$D$505,"&lt;"&amp;DATE(2027,10,1))=0),"",SUMIFS(Movimientos!$B$6:$B$505,Movimientos!$D$6:$D$505,"&gt;="&amp;DATE(2027,9,1),Movimientos!$D$6:$D$505,"&lt;"&amp;DATE(2027,10,1)))</f>
        <v/>
      </c>
      <c r="E44" s="25" t="str">
        <f t="shared" si="23"/>
        <v/>
      </c>
      <c r="F44" s="41" t="str">
        <f t="shared" si="24"/>
        <v/>
      </c>
      <c r="G44" s="41" t="str">
        <f t="shared" si="26"/>
        <v/>
      </c>
      <c r="H44" s="16"/>
      <c r="I44" s="16"/>
      <c r="J44" s="16"/>
      <c r="K44" s="16"/>
      <c r="L44" s="17"/>
      <c r="M44" s="17"/>
      <c r="N44" s="16"/>
      <c r="O44" s="16"/>
      <c r="P44" s="16"/>
      <c r="Q44" s="16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33" t="s">
        <v>72</v>
      </c>
      <c r="B45" s="24"/>
      <c r="C45" s="34">
        <f t="shared" si="25"/>
        <v>0</v>
      </c>
      <c r="D45" s="24" t="str">
        <f>IF(AND(B45="",COUNTIFS(Movimientos!$D$6:$D$505,"&gt;="&amp;DATE(2027,10,1),Movimientos!$D$6:$D$505,"&lt;"&amp;DATE(2027,11,1))=0),"",SUMIFS(Movimientos!$B$6:$B$505,Movimientos!$D$6:$D$505,"&gt;="&amp;DATE(2027,10,1),Movimientos!$D$6:$D$505,"&lt;"&amp;DATE(2027,11,1)))</f>
        <v/>
      </c>
      <c r="E45" s="34" t="str">
        <f t="shared" si="23"/>
        <v/>
      </c>
      <c r="F45" s="35" t="str">
        <f t="shared" si="24"/>
        <v/>
      </c>
      <c r="G45" s="35" t="str">
        <f t="shared" si="26"/>
        <v/>
      </c>
      <c r="H45" s="16"/>
      <c r="I45" s="16"/>
      <c r="J45" s="16"/>
      <c r="K45" s="16"/>
      <c r="L45" s="17"/>
      <c r="M45" s="17"/>
      <c r="N45" s="16"/>
      <c r="O45" s="16"/>
      <c r="P45" s="16"/>
      <c r="Q45" s="16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23" t="s">
        <v>73</v>
      </c>
      <c r="B46" s="24"/>
      <c r="C46" s="25">
        <f t="shared" si="25"/>
        <v>0</v>
      </c>
      <c r="D46" s="24" t="str">
        <f>IF(AND(B46="",COUNTIFS(Movimientos!$D$6:$D$505,"&gt;="&amp;DATE(2027,11,1),Movimientos!$D$6:$D$505,"&lt;"&amp;DATE(2027,12,1))=0),"",SUMIFS(Movimientos!$B$6:$B$505,Movimientos!$D$6:$D$505,"&gt;="&amp;DATE(2027,11,1),Movimientos!$D$6:$D$505,"&lt;"&amp;DATE(2027,12,1)))</f>
        <v/>
      </c>
      <c r="E46" s="25" t="str">
        <f t="shared" si="23"/>
        <v/>
      </c>
      <c r="F46" s="41" t="str">
        <f t="shared" si="24"/>
        <v/>
      </c>
      <c r="G46" s="41" t="str">
        <f t="shared" si="26"/>
        <v/>
      </c>
      <c r="H46" s="16"/>
      <c r="I46" s="16"/>
      <c r="J46" s="16"/>
      <c r="K46" s="16"/>
      <c r="L46" s="17"/>
      <c r="M46" s="17"/>
      <c r="N46" s="16"/>
      <c r="O46" s="16"/>
      <c r="P46" s="16"/>
      <c r="Q46" s="16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33" t="s">
        <v>74</v>
      </c>
      <c r="B47" s="24"/>
      <c r="C47" s="34">
        <f t="shared" si="25"/>
        <v>0</v>
      </c>
      <c r="D47" s="24" t="str">
        <f>IF(AND(B47="",COUNTIFS(Movimientos!$D$6:$D$505,"&gt;="&amp;DATE(2027,12,1),Movimientos!$D$6:$D$505,"&lt;"&amp;DATE(2027,13,1))=0),"",SUMIFS(Movimientos!$B$6:$B$505,Movimientos!$D$6:$D$505,"&gt;="&amp;DATE(2027,12,1),Movimientos!$D$6:$D$505,"&lt;"&amp;DATE(2027,13,1)))</f>
        <v/>
      </c>
      <c r="E47" s="34" t="str">
        <f t="shared" si="23"/>
        <v/>
      </c>
      <c r="F47" s="35" t="str">
        <f t="shared" si="24"/>
        <v/>
      </c>
      <c r="G47" s="35" t="str">
        <f t="shared" si="26"/>
        <v/>
      </c>
      <c r="H47" s="16"/>
      <c r="I47" s="16"/>
      <c r="J47" s="16"/>
      <c r="K47" s="16"/>
      <c r="L47" s="17"/>
      <c r="M47" s="17"/>
      <c r="N47" s="16"/>
      <c r="O47" s="16"/>
      <c r="P47" s="16"/>
      <c r="Q47" s="16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49" t="s">
        <v>150</v>
      </c>
      <c r="B48" s="50" t="str">
        <f ca="1">IFERROR(__xludf.DUMMYFUNCTION("IFERROR(INDEX(FILTER(B36:B47,ISNUMBER(B36:B47)),COUNT(FILTER(B36:B47,ISNUMBER(B36:B47)))),"""")"),"")</f>
        <v/>
      </c>
      <c r="C48" s="50" t="str">
        <f ca="1">C36</f>
        <v/>
      </c>
      <c r="D48" s="50">
        <f t="shared" ref="D48:E48" si="27">SUM(D36:D47)</f>
        <v>0</v>
      </c>
      <c r="E48" s="50">
        <f t="shared" si="27"/>
        <v>0</v>
      </c>
      <c r="F48" s="51" t="str">
        <f ca="1">IF(OR(B48="",C48=0),"",(B48-C48-D48)/C48)</f>
        <v/>
      </c>
      <c r="G48" s="52" t="str">
        <f ca="1">IFERROR(__xludf.DUMMYFUNCTION("IFERROR(INDEX(FILTER(G36:G47,ISNUMBER(G36:G47)),COUNT(FILTER(G36:G47,ISNUMBER(G36:G47)))),"""")"),"")</f>
        <v/>
      </c>
      <c r="H48" s="16"/>
      <c r="I48" s="16"/>
      <c r="J48" s="16"/>
      <c r="K48" s="16"/>
      <c r="L48" s="17"/>
      <c r="M48" s="17"/>
      <c r="N48" s="16"/>
      <c r="O48" s="16"/>
      <c r="P48" s="16"/>
      <c r="Q48" s="16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53" t="s">
        <v>151</v>
      </c>
      <c r="B49" s="54" t="str">
        <f ca="1">IFERROR(__xludf.DUMMYFUNCTION("IF(IFERROR(COUNT(FILTER('Datos diarios'!D2:D366,'Datos diarios'!A2:A366&lt;&gt;"""",YEAR('Datos diarios'!A2:A366)=2027,ISNUMBER('Datos diarios'!D2:D366))),0)&gt;=20,STDEV(FILTER('Datos diarios'!D2:D366,'Datos diarios'!A2:A366&lt;&gt;"""",YEAR('Datos diarios'!A2:A366)=20"&amp;"27,ISNUMBER('Datos diarios'!D2:D366)))*SQRT(365)/100,IFERROR(STDEV(FILTER(F36:F47,ISNUMBER(F36:F47)))*SQRT(12)/100,""""))"),"")</f>
        <v/>
      </c>
      <c r="C49" s="56" t="str">
        <f ca="1">IFERROR(__xludf.DUMMYFUNCTION("IF(IFERROR(COUNT(FILTER('Datos diarios'!D2:D366,'Datos diarios'!A2:A366&lt;&gt;"""",YEAR('Datos diarios'!A2:A366)=2027,ISNUMBER('Datos diarios'!D2:D366))),0)&gt;=20,""Diaria · ""&amp;COUNT(FILTER('Datos diarios'!D2:D366,'Datos diarios'!A2:A366&lt;&gt;"""",YEAR('Datos diario"&amp;"s'!A2:A366)=2027,ISNUMBER('Datos diarios'!D2:D366)))&amp;"" días"",""Mensual · ""&amp;COUNT(FILTER(F36:F47,ISNUMBER(F36:F47)))&amp;"" meses"")"),"Mensual · 0 meses")</f>
        <v>Mensual · 0 meses</v>
      </c>
      <c r="D49" s="58"/>
      <c r="E49" s="58"/>
      <c r="F49" s="59"/>
      <c r="G49" s="59"/>
      <c r="H49" s="16"/>
      <c r="I49" s="16"/>
      <c r="J49" s="16"/>
      <c r="K49" s="16"/>
      <c r="L49" s="17"/>
      <c r="M49" s="17"/>
      <c r="N49" s="16"/>
      <c r="O49" s="16"/>
      <c r="P49" s="16"/>
      <c r="Q49" s="16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N50" s="6"/>
      <c r="O50" s="6"/>
      <c r="P50" s="6"/>
      <c r="Q50" s="6"/>
    </row>
    <row r="51" spans="1:26" ht="1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N51" s="6"/>
      <c r="O51" s="6"/>
      <c r="P51" s="6"/>
      <c r="Q51" s="6"/>
    </row>
    <row r="52" spans="1:26" ht="1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N52" s="6"/>
      <c r="O52" s="6"/>
      <c r="P52" s="6"/>
      <c r="Q52" s="6"/>
    </row>
    <row r="53" spans="1:26" ht="1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N53" s="6"/>
      <c r="O53" s="6"/>
      <c r="P53" s="6"/>
      <c r="Q53" s="6"/>
    </row>
    <row r="54" spans="1:26" ht="1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N54" s="6"/>
      <c r="O54" s="6"/>
      <c r="P54" s="6"/>
      <c r="Q54" s="6"/>
    </row>
    <row r="55" spans="1:26" ht="1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N55" s="6"/>
      <c r="O55" s="6"/>
      <c r="P55" s="6"/>
      <c r="Q55" s="6"/>
    </row>
    <row r="56" spans="1:26" ht="1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N56" s="6"/>
      <c r="O56" s="6"/>
      <c r="P56" s="6"/>
      <c r="Q56" s="6"/>
    </row>
    <row r="57" spans="1:26" ht="1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N57" s="6"/>
      <c r="O57" s="6"/>
      <c r="P57" s="6"/>
      <c r="Q57" s="6"/>
    </row>
    <row r="58" spans="1:26" ht="1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N58" s="6"/>
      <c r="O58" s="6"/>
      <c r="P58" s="6"/>
      <c r="Q58" s="6"/>
    </row>
    <row r="59" spans="1:26" ht="1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N59" s="6"/>
      <c r="O59" s="6"/>
      <c r="P59" s="6"/>
      <c r="Q59" s="6"/>
    </row>
    <row r="60" spans="1:26" ht="1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N60" s="6"/>
      <c r="O60" s="6"/>
      <c r="P60" s="6"/>
      <c r="Q60" s="6"/>
    </row>
    <row r="61" spans="1:26" ht="1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N61" s="6"/>
      <c r="O61" s="6"/>
      <c r="P61" s="6"/>
      <c r="Q61" s="6"/>
    </row>
    <row r="62" spans="1:26" ht="1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N62" s="6"/>
      <c r="O62" s="6"/>
      <c r="P62" s="6"/>
      <c r="Q62" s="6"/>
    </row>
    <row r="63" spans="1:26" ht="1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N63" s="6"/>
      <c r="O63" s="6"/>
      <c r="P63" s="6"/>
      <c r="Q63" s="6"/>
    </row>
    <row r="64" spans="1:26" ht="1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N64" s="6"/>
      <c r="O64" s="6"/>
      <c r="P64" s="6"/>
      <c r="Q64" s="6"/>
    </row>
    <row r="65" spans="1:17" ht="1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N65" s="6"/>
      <c r="O65" s="6"/>
      <c r="P65" s="6"/>
      <c r="Q65" s="6"/>
    </row>
    <row r="66" spans="1:17" ht="1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N66" s="6"/>
      <c r="O66" s="6"/>
      <c r="P66" s="6"/>
      <c r="Q66" s="6"/>
    </row>
    <row r="67" spans="1:17" ht="1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N67" s="6"/>
      <c r="O67" s="6"/>
      <c r="P67" s="6"/>
      <c r="Q67" s="6"/>
    </row>
    <row r="68" spans="1:17" ht="1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N68" s="6"/>
      <c r="O68" s="6"/>
      <c r="P68" s="6"/>
      <c r="Q68" s="6"/>
    </row>
    <row r="69" spans="1:17" ht="1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N69" s="6"/>
      <c r="O69" s="6"/>
      <c r="P69" s="6"/>
      <c r="Q69" s="6"/>
    </row>
    <row r="70" spans="1:17" ht="1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N70" s="6"/>
      <c r="O70" s="6"/>
      <c r="P70" s="6"/>
      <c r="Q70" s="6"/>
    </row>
    <row r="71" spans="1:17" ht="1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N71" s="6"/>
      <c r="O71" s="6"/>
      <c r="P71" s="6"/>
      <c r="Q71" s="6"/>
    </row>
    <row r="72" spans="1:17" ht="1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N72" s="6"/>
      <c r="O72" s="6"/>
      <c r="P72" s="6"/>
      <c r="Q72" s="6"/>
    </row>
    <row r="73" spans="1:17" ht="1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N73" s="6"/>
      <c r="O73" s="6"/>
      <c r="P73" s="6"/>
      <c r="Q73" s="6"/>
    </row>
    <row r="74" spans="1:17" ht="1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N74" s="6"/>
      <c r="O74" s="6"/>
      <c r="P74" s="6"/>
      <c r="Q74" s="6"/>
    </row>
    <row r="75" spans="1:17" ht="1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N75" s="6"/>
      <c r="O75" s="6"/>
      <c r="P75" s="6"/>
      <c r="Q75" s="6"/>
    </row>
    <row r="76" spans="1:17" ht="1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N76" s="6"/>
      <c r="O76" s="6"/>
      <c r="P76" s="6"/>
      <c r="Q76" s="6"/>
    </row>
    <row r="77" spans="1:17" ht="1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N77" s="6"/>
      <c r="O77" s="6"/>
      <c r="P77" s="6"/>
      <c r="Q77" s="6"/>
    </row>
    <row r="78" spans="1:17" ht="1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N78" s="6"/>
      <c r="O78" s="6"/>
      <c r="P78" s="6"/>
      <c r="Q78" s="6"/>
    </row>
    <row r="79" spans="1:17" ht="1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N79" s="6"/>
      <c r="O79" s="6"/>
      <c r="P79" s="6"/>
      <c r="Q79" s="6"/>
    </row>
    <row r="80" spans="1:17" ht="1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N80" s="6"/>
      <c r="O80" s="6"/>
      <c r="P80" s="6"/>
      <c r="Q80" s="6"/>
    </row>
    <row r="81" spans="1:17" ht="1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N81" s="6"/>
      <c r="O81" s="6"/>
      <c r="P81" s="6"/>
      <c r="Q81" s="6"/>
    </row>
    <row r="82" spans="1:17" ht="1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N82" s="6"/>
      <c r="O82" s="6"/>
      <c r="P82" s="6"/>
      <c r="Q82" s="6"/>
    </row>
    <row r="83" spans="1:17" ht="1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N83" s="6"/>
      <c r="O83" s="6"/>
      <c r="P83" s="6"/>
      <c r="Q83" s="6"/>
    </row>
    <row r="84" spans="1:17" ht="1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N84" s="6"/>
      <c r="O84" s="6"/>
      <c r="P84" s="6"/>
      <c r="Q84" s="6"/>
    </row>
    <row r="85" spans="1:17" ht="1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N85" s="6"/>
      <c r="O85" s="6"/>
      <c r="P85" s="6"/>
      <c r="Q85" s="6"/>
    </row>
    <row r="86" spans="1:17" ht="1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N86" s="6"/>
      <c r="O86" s="6"/>
      <c r="P86" s="6"/>
      <c r="Q86" s="6"/>
    </row>
    <row r="87" spans="1:17" ht="1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N87" s="6"/>
      <c r="O87" s="6"/>
      <c r="P87" s="6"/>
      <c r="Q87" s="6"/>
    </row>
    <row r="88" spans="1:17" ht="1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N88" s="6"/>
      <c r="O88" s="6"/>
      <c r="P88" s="6"/>
      <c r="Q88" s="6"/>
    </row>
    <row r="89" spans="1:17" ht="1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N89" s="6"/>
      <c r="O89" s="6"/>
      <c r="P89" s="6"/>
      <c r="Q89" s="6"/>
    </row>
    <row r="90" spans="1:17" ht="1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N90" s="6"/>
      <c r="O90" s="6"/>
      <c r="P90" s="6"/>
      <c r="Q90" s="6"/>
    </row>
    <row r="91" spans="1:17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N91" s="6"/>
      <c r="O91" s="6"/>
      <c r="P91" s="6"/>
      <c r="Q91" s="6"/>
    </row>
    <row r="92" spans="1:17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N92" s="6"/>
      <c r="O92" s="6"/>
      <c r="P92" s="6"/>
      <c r="Q92" s="6"/>
    </row>
    <row r="93" spans="1:17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N93" s="6"/>
      <c r="O93" s="6"/>
      <c r="P93" s="6"/>
      <c r="Q93" s="6"/>
    </row>
    <row r="94" spans="1:17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N94" s="6"/>
      <c r="O94" s="6"/>
      <c r="P94" s="6"/>
      <c r="Q94" s="6"/>
    </row>
    <row r="95" spans="1:17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N95" s="6"/>
      <c r="O95" s="6"/>
      <c r="P95" s="6"/>
      <c r="Q95" s="6"/>
    </row>
    <row r="96" spans="1:17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N96" s="6"/>
      <c r="O96" s="6"/>
      <c r="P96" s="6"/>
      <c r="Q96" s="6"/>
    </row>
    <row r="97" spans="1:17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N97" s="6"/>
      <c r="O97" s="6"/>
      <c r="P97" s="6"/>
      <c r="Q97" s="6"/>
    </row>
    <row r="98" spans="1:17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N98" s="6"/>
      <c r="O98" s="6"/>
      <c r="P98" s="6"/>
      <c r="Q98" s="6"/>
    </row>
    <row r="99" spans="1:17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N99" s="6"/>
      <c r="O99" s="6"/>
      <c r="P99" s="6"/>
      <c r="Q99" s="6"/>
    </row>
    <row r="100" spans="1:17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N100" s="6"/>
      <c r="O100" s="6"/>
      <c r="P100" s="6"/>
      <c r="Q100" s="6"/>
    </row>
    <row r="101" spans="1:17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N101" s="6"/>
      <c r="O101" s="6"/>
      <c r="P101" s="6"/>
      <c r="Q101" s="6"/>
    </row>
    <row r="102" spans="1:17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N102" s="6"/>
      <c r="O102" s="6"/>
      <c r="P102" s="6"/>
      <c r="Q102" s="6"/>
    </row>
    <row r="103" spans="1:17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N103" s="6"/>
      <c r="O103" s="6"/>
      <c r="P103" s="6"/>
      <c r="Q103" s="6"/>
    </row>
    <row r="104" spans="1:17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N104" s="6"/>
      <c r="O104" s="6"/>
      <c r="P104" s="6"/>
      <c r="Q104" s="6"/>
    </row>
    <row r="105" spans="1:17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N105" s="6"/>
      <c r="O105" s="6"/>
      <c r="P105" s="6"/>
      <c r="Q105" s="6"/>
    </row>
    <row r="106" spans="1:17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N106" s="6"/>
      <c r="O106" s="6"/>
      <c r="P106" s="6"/>
      <c r="Q106" s="6"/>
    </row>
    <row r="107" spans="1:17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N107" s="6"/>
      <c r="O107" s="6"/>
      <c r="P107" s="6"/>
      <c r="Q107" s="6"/>
    </row>
    <row r="108" spans="1:17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N108" s="6"/>
      <c r="O108" s="6"/>
      <c r="P108" s="6"/>
      <c r="Q108" s="6"/>
    </row>
    <row r="109" spans="1:17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N109" s="6"/>
      <c r="O109" s="6"/>
      <c r="P109" s="6"/>
      <c r="Q109" s="6"/>
    </row>
    <row r="110" spans="1:17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N110" s="6"/>
      <c r="O110" s="6"/>
      <c r="P110" s="6"/>
      <c r="Q110" s="6"/>
    </row>
    <row r="111" spans="1:17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N111" s="6"/>
      <c r="O111" s="6"/>
      <c r="P111" s="6"/>
      <c r="Q111" s="6"/>
    </row>
    <row r="112" spans="1:17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N112" s="6"/>
      <c r="O112" s="6"/>
      <c r="P112" s="6"/>
      <c r="Q112" s="6"/>
    </row>
    <row r="113" spans="1:17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N113" s="6"/>
      <c r="O113" s="6"/>
      <c r="P113" s="6"/>
      <c r="Q113" s="6"/>
    </row>
    <row r="114" spans="1:17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N114" s="6"/>
      <c r="O114" s="6"/>
      <c r="P114" s="6"/>
      <c r="Q114" s="6"/>
    </row>
    <row r="115" spans="1:17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N115" s="6"/>
      <c r="O115" s="6"/>
      <c r="P115" s="6"/>
      <c r="Q115" s="6"/>
    </row>
    <row r="116" spans="1:17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N116" s="6"/>
      <c r="O116" s="6"/>
      <c r="P116" s="6"/>
      <c r="Q116" s="6"/>
    </row>
    <row r="117" spans="1:17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N117" s="6"/>
      <c r="O117" s="6"/>
      <c r="P117" s="6"/>
      <c r="Q117" s="6"/>
    </row>
    <row r="118" spans="1:17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N118" s="6"/>
      <c r="O118" s="6"/>
      <c r="P118" s="6"/>
      <c r="Q118" s="6"/>
    </row>
    <row r="119" spans="1:17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N119" s="6"/>
      <c r="O119" s="6"/>
      <c r="P119" s="6"/>
      <c r="Q119" s="6"/>
    </row>
    <row r="120" spans="1:17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N120" s="6"/>
      <c r="O120" s="6"/>
      <c r="P120" s="6"/>
      <c r="Q120" s="6"/>
    </row>
    <row r="121" spans="1:17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N121" s="6"/>
      <c r="O121" s="6"/>
      <c r="P121" s="6"/>
      <c r="Q121" s="6"/>
    </row>
    <row r="122" spans="1:17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N122" s="6"/>
      <c r="O122" s="6"/>
      <c r="P122" s="6"/>
      <c r="Q122" s="6"/>
    </row>
    <row r="123" spans="1:17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N123" s="6"/>
      <c r="O123" s="6"/>
      <c r="P123" s="6"/>
      <c r="Q123" s="6"/>
    </row>
    <row r="124" spans="1:17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N124" s="6"/>
      <c r="O124" s="6"/>
      <c r="P124" s="6"/>
      <c r="Q124" s="6"/>
    </row>
    <row r="125" spans="1:17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N125" s="6"/>
      <c r="O125" s="6"/>
      <c r="P125" s="6"/>
      <c r="Q125" s="6"/>
    </row>
    <row r="126" spans="1:17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N126" s="6"/>
      <c r="O126" s="6"/>
      <c r="P126" s="6"/>
      <c r="Q126" s="6"/>
    </row>
    <row r="127" spans="1:17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N127" s="6"/>
      <c r="O127" s="6"/>
      <c r="P127" s="6"/>
      <c r="Q127" s="6"/>
    </row>
    <row r="128" spans="1:17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N128" s="6"/>
      <c r="O128" s="6"/>
      <c r="P128" s="6"/>
      <c r="Q128" s="6"/>
    </row>
    <row r="129" spans="1:17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N129" s="6"/>
      <c r="O129" s="6"/>
      <c r="P129" s="6"/>
      <c r="Q129" s="6"/>
    </row>
    <row r="130" spans="1:17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N130" s="6"/>
      <c r="O130" s="6"/>
      <c r="P130" s="6"/>
      <c r="Q130" s="6"/>
    </row>
    <row r="131" spans="1:17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N131" s="6"/>
      <c r="O131" s="6"/>
      <c r="P131" s="6"/>
      <c r="Q131" s="6"/>
    </row>
    <row r="132" spans="1:17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N132" s="6"/>
      <c r="O132" s="6"/>
      <c r="P132" s="6"/>
      <c r="Q132" s="6"/>
    </row>
    <row r="133" spans="1:17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N133" s="6"/>
      <c r="O133" s="6"/>
      <c r="P133" s="6"/>
      <c r="Q133" s="6"/>
    </row>
    <row r="134" spans="1:17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N134" s="6"/>
      <c r="O134" s="6"/>
      <c r="P134" s="6"/>
      <c r="Q134" s="6"/>
    </row>
    <row r="135" spans="1:17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N135" s="6"/>
      <c r="O135" s="6"/>
      <c r="P135" s="6"/>
      <c r="Q135" s="6"/>
    </row>
    <row r="136" spans="1:17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N136" s="6"/>
      <c r="O136" s="6"/>
      <c r="P136" s="6"/>
      <c r="Q136" s="6"/>
    </row>
    <row r="137" spans="1:17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N137" s="6"/>
      <c r="O137" s="6"/>
      <c r="P137" s="6"/>
      <c r="Q137" s="6"/>
    </row>
    <row r="138" spans="1:17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N138" s="6"/>
      <c r="O138" s="6"/>
      <c r="P138" s="6"/>
      <c r="Q138" s="6"/>
    </row>
    <row r="139" spans="1:17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N139" s="6"/>
      <c r="O139" s="6"/>
      <c r="P139" s="6"/>
      <c r="Q139" s="6"/>
    </row>
    <row r="140" spans="1:17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N140" s="6"/>
      <c r="O140" s="6"/>
      <c r="P140" s="6"/>
      <c r="Q140" s="6"/>
    </row>
    <row r="141" spans="1:17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N141" s="6"/>
      <c r="O141" s="6"/>
      <c r="P141" s="6"/>
      <c r="Q141" s="6"/>
    </row>
    <row r="142" spans="1:17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N142" s="6"/>
      <c r="O142" s="6"/>
      <c r="P142" s="6"/>
      <c r="Q142" s="6"/>
    </row>
    <row r="143" spans="1:17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N143" s="6"/>
      <c r="O143" s="6"/>
      <c r="P143" s="6"/>
      <c r="Q143" s="6"/>
    </row>
    <row r="144" spans="1:17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N144" s="6"/>
      <c r="O144" s="6"/>
      <c r="P144" s="6"/>
      <c r="Q144" s="6"/>
    </row>
    <row r="145" spans="1:17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N145" s="6"/>
      <c r="O145" s="6"/>
      <c r="P145" s="6"/>
      <c r="Q145" s="6"/>
    </row>
    <row r="146" spans="1:17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N146" s="6"/>
      <c r="O146" s="6"/>
      <c r="P146" s="6"/>
      <c r="Q146" s="6"/>
    </row>
    <row r="147" spans="1:17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N147" s="6"/>
      <c r="O147" s="6"/>
      <c r="P147" s="6"/>
      <c r="Q147" s="6"/>
    </row>
    <row r="148" spans="1:17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N148" s="6"/>
      <c r="O148" s="6"/>
      <c r="P148" s="6"/>
      <c r="Q148" s="6"/>
    </row>
    <row r="149" spans="1:17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N149" s="6"/>
      <c r="O149" s="6"/>
      <c r="P149" s="6"/>
      <c r="Q149" s="6"/>
    </row>
    <row r="150" spans="1:17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N150" s="6"/>
      <c r="O150" s="6"/>
      <c r="P150" s="6"/>
      <c r="Q150" s="6"/>
    </row>
    <row r="151" spans="1:17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N151" s="6"/>
      <c r="O151" s="6"/>
      <c r="P151" s="6"/>
      <c r="Q151" s="6"/>
    </row>
    <row r="152" spans="1:17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N152" s="6"/>
      <c r="O152" s="6"/>
      <c r="P152" s="6"/>
      <c r="Q152" s="6"/>
    </row>
    <row r="153" spans="1:17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N153" s="6"/>
      <c r="O153" s="6"/>
      <c r="P153" s="6"/>
      <c r="Q153" s="6"/>
    </row>
    <row r="154" spans="1:17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N154" s="6"/>
      <c r="O154" s="6"/>
      <c r="P154" s="6"/>
      <c r="Q154" s="6"/>
    </row>
    <row r="155" spans="1:17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N155" s="6"/>
      <c r="O155" s="6"/>
      <c r="P155" s="6"/>
      <c r="Q155" s="6"/>
    </row>
    <row r="156" spans="1:17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N156" s="6"/>
      <c r="O156" s="6"/>
      <c r="P156" s="6"/>
      <c r="Q156" s="6"/>
    </row>
    <row r="157" spans="1:17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N157" s="6"/>
      <c r="O157" s="6"/>
      <c r="P157" s="6"/>
      <c r="Q157" s="6"/>
    </row>
    <row r="158" spans="1:17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N158" s="6"/>
      <c r="O158" s="6"/>
      <c r="P158" s="6"/>
      <c r="Q158" s="6"/>
    </row>
    <row r="159" spans="1:17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N159" s="6"/>
      <c r="O159" s="6"/>
      <c r="P159" s="6"/>
      <c r="Q159" s="6"/>
    </row>
    <row r="160" spans="1:17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N160" s="6"/>
      <c r="O160" s="6"/>
      <c r="P160" s="6"/>
      <c r="Q160" s="6"/>
    </row>
    <row r="161" spans="1:17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N161" s="6"/>
      <c r="O161" s="6"/>
      <c r="P161" s="6"/>
      <c r="Q161" s="6"/>
    </row>
    <row r="162" spans="1:17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N162" s="6"/>
      <c r="O162" s="6"/>
      <c r="P162" s="6"/>
      <c r="Q162" s="6"/>
    </row>
    <row r="163" spans="1:17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N163" s="6"/>
      <c r="O163" s="6"/>
      <c r="P163" s="6"/>
      <c r="Q163" s="6"/>
    </row>
    <row r="164" spans="1:17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N164" s="6"/>
      <c r="O164" s="6"/>
      <c r="P164" s="6"/>
      <c r="Q164" s="6"/>
    </row>
    <row r="165" spans="1:17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N165" s="6"/>
      <c r="O165" s="6"/>
      <c r="P165" s="6"/>
      <c r="Q165" s="6"/>
    </row>
    <row r="166" spans="1:17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N166" s="6"/>
      <c r="O166" s="6"/>
      <c r="P166" s="6"/>
      <c r="Q166" s="6"/>
    </row>
    <row r="167" spans="1:17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N167" s="6"/>
      <c r="O167" s="6"/>
      <c r="P167" s="6"/>
      <c r="Q167" s="6"/>
    </row>
    <row r="168" spans="1:17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N168" s="6"/>
      <c r="O168" s="6"/>
      <c r="P168" s="6"/>
      <c r="Q168" s="6"/>
    </row>
    <row r="169" spans="1:17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N169" s="6"/>
      <c r="O169" s="6"/>
      <c r="P169" s="6"/>
      <c r="Q169" s="6"/>
    </row>
    <row r="170" spans="1:17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N170" s="6"/>
      <c r="O170" s="6"/>
      <c r="P170" s="6"/>
      <c r="Q170" s="6"/>
    </row>
    <row r="171" spans="1:17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N171" s="6"/>
      <c r="O171" s="6"/>
      <c r="P171" s="6"/>
      <c r="Q171" s="6"/>
    </row>
    <row r="172" spans="1:17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N172" s="6"/>
      <c r="O172" s="6"/>
      <c r="P172" s="6"/>
      <c r="Q172" s="6"/>
    </row>
    <row r="173" spans="1:17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N173" s="6"/>
      <c r="O173" s="6"/>
      <c r="P173" s="6"/>
      <c r="Q173" s="6"/>
    </row>
    <row r="174" spans="1:17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N174" s="6"/>
      <c r="O174" s="6"/>
      <c r="P174" s="6"/>
      <c r="Q174" s="6"/>
    </row>
    <row r="175" spans="1:17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N175" s="6"/>
      <c r="O175" s="6"/>
      <c r="P175" s="6"/>
      <c r="Q175" s="6"/>
    </row>
    <row r="176" spans="1:17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N176" s="6"/>
      <c r="O176" s="6"/>
      <c r="P176" s="6"/>
      <c r="Q176" s="6"/>
    </row>
    <row r="177" spans="1:17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N177" s="6"/>
      <c r="O177" s="6"/>
      <c r="P177" s="6"/>
      <c r="Q177" s="6"/>
    </row>
    <row r="178" spans="1:17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N178" s="6"/>
      <c r="O178" s="6"/>
      <c r="P178" s="6"/>
      <c r="Q178" s="6"/>
    </row>
    <row r="179" spans="1:17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N179" s="6"/>
      <c r="O179" s="6"/>
      <c r="P179" s="6"/>
      <c r="Q179" s="6"/>
    </row>
    <row r="180" spans="1:17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N180" s="6"/>
      <c r="O180" s="6"/>
      <c r="P180" s="6"/>
      <c r="Q180" s="6"/>
    </row>
    <row r="181" spans="1:17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N181" s="6"/>
      <c r="O181" s="6"/>
      <c r="P181" s="6"/>
      <c r="Q181" s="6"/>
    </row>
    <row r="182" spans="1:17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N182" s="6"/>
      <c r="O182" s="6"/>
      <c r="P182" s="6"/>
      <c r="Q182" s="6"/>
    </row>
    <row r="183" spans="1:17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N183" s="6"/>
      <c r="O183" s="6"/>
      <c r="P183" s="6"/>
      <c r="Q183" s="6"/>
    </row>
    <row r="184" spans="1:17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N184" s="6"/>
      <c r="O184" s="6"/>
      <c r="P184" s="6"/>
      <c r="Q184" s="6"/>
    </row>
    <row r="185" spans="1:17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N185" s="6"/>
      <c r="O185" s="6"/>
      <c r="P185" s="6"/>
      <c r="Q185" s="6"/>
    </row>
    <row r="186" spans="1:17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N186" s="6"/>
      <c r="O186" s="6"/>
      <c r="P186" s="6"/>
      <c r="Q186" s="6"/>
    </row>
    <row r="187" spans="1:17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N187" s="6"/>
      <c r="O187" s="6"/>
      <c r="P187" s="6"/>
      <c r="Q187" s="6"/>
    </row>
    <row r="188" spans="1:17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N188" s="6"/>
      <c r="O188" s="6"/>
      <c r="P188" s="6"/>
      <c r="Q188" s="6"/>
    </row>
    <row r="189" spans="1:17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N189" s="6"/>
      <c r="O189" s="6"/>
      <c r="P189" s="6"/>
      <c r="Q189" s="6"/>
    </row>
    <row r="190" spans="1:17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N190" s="6"/>
      <c r="O190" s="6"/>
      <c r="P190" s="6"/>
      <c r="Q190" s="6"/>
    </row>
    <row r="191" spans="1:17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N191" s="6"/>
      <c r="O191" s="6"/>
      <c r="P191" s="6"/>
      <c r="Q191" s="6"/>
    </row>
    <row r="192" spans="1:17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N192" s="6"/>
      <c r="O192" s="6"/>
      <c r="P192" s="6"/>
      <c r="Q192" s="6"/>
    </row>
    <row r="193" spans="1:17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N193" s="6"/>
      <c r="O193" s="6"/>
      <c r="P193" s="6"/>
      <c r="Q193" s="6"/>
    </row>
    <row r="194" spans="1:17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N194" s="6"/>
      <c r="O194" s="6"/>
      <c r="P194" s="6"/>
      <c r="Q194" s="6"/>
    </row>
    <row r="195" spans="1:17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N195" s="6"/>
      <c r="O195" s="6"/>
      <c r="P195" s="6"/>
      <c r="Q195" s="6"/>
    </row>
    <row r="196" spans="1:17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N196" s="6"/>
      <c r="O196" s="6"/>
      <c r="P196" s="6"/>
      <c r="Q196" s="6"/>
    </row>
    <row r="197" spans="1:17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N197" s="6"/>
      <c r="O197" s="6"/>
      <c r="P197" s="6"/>
      <c r="Q197" s="6"/>
    </row>
    <row r="198" spans="1:17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N198" s="6"/>
      <c r="O198" s="6"/>
      <c r="P198" s="6"/>
      <c r="Q198" s="6"/>
    </row>
    <row r="199" spans="1:17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N199" s="6"/>
      <c r="O199" s="6"/>
      <c r="P199" s="6"/>
      <c r="Q199" s="6"/>
    </row>
    <row r="200" spans="1:17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N200" s="6"/>
      <c r="O200" s="6"/>
      <c r="P200" s="6"/>
      <c r="Q200" s="6"/>
    </row>
    <row r="201" spans="1:17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N201" s="6"/>
      <c r="O201" s="6"/>
      <c r="P201" s="6"/>
      <c r="Q201" s="6"/>
    </row>
    <row r="202" spans="1:17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N202" s="6"/>
      <c r="O202" s="6"/>
      <c r="P202" s="6"/>
      <c r="Q202" s="6"/>
    </row>
    <row r="203" spans="1:17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N203" s="6"/>
      <c r="O203" s="6"/>
      <c r="P203" s="6"/>
      <c r="Q203" s="6"/>
    </row>
    <row r="204" spans="1:17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N204" s="6"/>
      <c r="O204" s="6"/>
      <c r="P204" s="6"/>
      <c r="Q204" s="6"/>
    </row>
    <row r="205" spans="1:17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N205" s="6"/>
      <c r="O205" s="6"/>
      <c r="P205" s="6"/>
      <c r="Q205" s="6"/>
    </row>
    <row r="206" spans="1:17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N206" s="6"/>
      <c r="O206" s="6"/>
      <c r="P206" s="6"/>
      <c r="Q206" s="6"/>
    </row>
    <row r="207" spans="1:17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N207" s="6"/>
      <c r="O207" s="6"/>
      <c r="P207" s="6"/>
      <c r="Q207" s="6"/>
    </row>
    <row r="208" spans="1:17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N208" s="6"/>
      <c r="O208" s="6"/>
      <c r="P208" s="6"/>
      <c r="Q208" s="6"/>
    </row>
    <row r="209" spans="1:17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N209" s="6"/>
      <c r="O209" s="6"/>
      <c r="P209" s="6"/>
      <c r="Q209" s="6"/>
    </row>
    <row r="210" spans="1:17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N210" s="6"/>
      <c r="O210" s="6"/>
      <c r="P210" s="6"/>
      <c r="Q210" s="6"/>
    </row>
    <row r="211" spans="1:17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N211" s="6"/>
      <c r="O211" s="6"/>
      <c r="P211" s="6"/>
      <c r="Q211" s="6"/>
    </row>
    <row r="212" spans="1:17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N212" s="6"/>
      <c r="O212" s="6"/>
      <c r="P212" s="6"/>
      <c r="Q212" s="6"/>
    </row>
    <row r="213" spans="1:17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N213" s="6"/>
      <c r="O213" s="6"/>
      <c r="P213" s="6"/>
      <c r="Q213" s="6"/>
    </row>
    <row r="214" spans="1:17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N214" s="6"/>
      <c r="O214" s="6"/>
      <c r="P214" s="6"/>
      <c r="Q214" s="6"/>
    </row>
    <row r="215" spans="1:17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N215" s="6"/>
      <c r="O215" s="6"/>
      <c r="P215" s="6"/>
      <c r="Q215" s="6"/>
    </row>
    <row r="216" spans="1:17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N216" s="6"/>
      <c r="O216" s="6"/>
      <c r="P216" s="6"/>
      <c r="Q216" s="6"/>
    </row>
    <row r="217" spans="1:17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N217" s="6"/>
      <c r="O217" s="6"/>
      <c r="P217" s="6"/>
      <c r="Q217" s="6"/>
    </row>
    <row r="218" spans="1:17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N218" s="6"/>
      <c r="O218" s="6"/>
      <c r="P218" s="6"/>
      <c r="Q218" s="6"/>
    </row>
    <row r="219" spans="1:17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N219" s="6"/>
      <c r="O219" s="6"/>
      <c r="P219" s="6"/>
      <c r="Q219" s="6"/>
    </row>
    <row r="220" spans="1:17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N220" s="6"/>
      <c r="O220" s="6"/>
      <c r="P220" s="6"/>
      <c r="Q220" s="6"/>
    </row>
    <row r="221" spans="1:17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N221" s="6"/>
      <c r="O221" s="6"/>
      <c r="P221" s="6"/>
      <c r="Q221" s="6"/>
    </row>
    <row r="222" spans="1:17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N222" s="6"/>
      <c r="O222" s="6"/>
      <c r="P222" s="6"/>
      <c r="Q222" s="6"/>
    </row>
    <row r="223" spans="1:17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N223" s="6"/>
      <c r="O223" s="6"/>
      <c r="P223" s="6"/>
      <c r="Q223" s="6"/>
    </row>
    <row r="224" spans="1:17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N224" s="6"/>
      <c r="O224" s="6"/>
      <c r="P224" s="6"/>
      <c r="Q224" s="6"/>
    </row>
    <row r="225" spans="1:17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N225" s="6"/>
      <c r="O225" s="6"/>
      <c r="P225" s="6"/>
      <c r="Q225" s="6"/>
    </row>
    <row r="226" spans="1:17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N226" s="6"/>
      <c r="O226" s="6"/>
      <c r="P226" s="6"/>
      <c r="Q226" s="6"/>
    </row>
    <row r="227" spans="1:17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N227" s="6"/>
      <c r="O227" s="6"/>
      <c r="P227" s="6"/>
      <c r="Q227" s="6"/>
    </row>
    <row r="228" spans="1:17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N228" s="6"/>
      <c r="O228" s="6"/>
      <c r="P228" s="6"/>
      <c r="Q228" s="6"/>
    </row>
    <row r="229" spans="1:17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N229" s="6"/>
      <c r="O229" s="6"/>
      <c r="P229" s="6"/>
      <c r="Q229" s="6"/>
    </row>
    <row r="230" spans="1:17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N230" s="6"/>
      <c r="O230" s="6"/>
      <c r="P230" s="6"/>
      <c r="Q230" s="6"/>
    </row>
    <row r="231" spans="1:17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N231" s="6"/>
      <c r="O231" s="6"/>
      <c r="P231" s="6"/>
      <c r="Q231" s="6"/>
    </row>
    <row r="232" spans="1:17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N232" s="6"/>
      <c r="O232" s="6"/>
      <c r="P232" s="6"/>
      <c r="Q232" s="6"/>
    </row>
    <row r="233" spans="1:17" ht="15.75" customHeight="1" x14ac:dyDescent="0.25"/>
    <row r="234" spans="1:17" ht="15.75" customHeight="1" x14ac:dyDescent="0.25"/>
    <row r="235" spans="1:17" ht="15.75" customHeight="1" x14ac:dyDescent="0.25"/>
    <row r="236" spans="1:17" ht="15.75" customHeight="1" x14ac:dyDescent="0.25"/>
    <row r="237" spans="1:17" ht="15.75" customHeight="1" x14ac:dyDescent="0.25"/>
    <row r="238" spans="1:17" ht="15.75" customHeight="1" x14ac:dyDescent="0.25"/>
    <row r="239" spans="1:17" ht="15.75" customHeight="1" x14ac:dyDescent="0.25"/>
    <row r="240" spans="1:1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4">
    <mergeCell ref="A1:G1"/>
    <mergeCell ref="A17:G17"/>
    <mergeCell ref="A34:G34"/>
    <mergeCell ref="J36:M36"/>
  </mergeCells>
  <conditionalFormatting sqref="F4:G13">
    <cfRule type="cellIs" dxfId="23" priority="3" stopIfTrue="1" operator="greaterThan">
      <formula>0</formula>
    </cfRule>
    <cfRule type="cellIs" dxfId="22" priority="4" stopIfTrue="1" operator="lessThan">
      <formula>0</formula>
    </cfRule>
  </conditionalFormatting>
  <conditionalFormatting sqref="F19:G30 F36:G47">
    <cfRule type="cellIs" dxfId="21" priority="6" stopIfTrue="1" operator="lessThan">
      <formula>0</formula>
    </cfRule>
  </conditionalFormatting>
  <conditionalFormatting sqref="F36:G47 F19:G30">
    <cfRule type="cellIs" dxfId="20" priority="5" stopIfTrue="1" operator="greaterThan">
      <formula>0</formula>
    </cfRule>
  </conditionalFormatting>
  <conditionalFormatting sqref="F36:G47">
    <cfRule type="cellIs" dxfId="19" priority="1" stopIfTrue="1" operator="greaterThan">
      <formula>0</formula>
    </cfRule>
    <cfRule type="cellIs" dxfId="18" priority="2" stopIfTrue="1" operator="lessThan">
      <formula>0</formula>
    </cfRule>
  </conditionalFormatting>
  <conditionalFormatting sqref="Q3:Q25">
    <cfRule type="cellIs" dxfId="17" priority="7" stopIfTrue="1" operator="greaterThan">
      <formula>0</formula>
    </cfRule>
    <cfRule type="cellIs" dxfId="16" priority="8" stopIfTrue="1" operator="lessThan">
      <formula>0</formula>
    </cfRule>
  </conditionalFormatting>
  <pageMargins left="0.75" right="0.75" top="1" bottom="1" header="0" footer="0"/>
  <pageSetup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7A1E0"/>
    <outlinePr summaryBelow="0" summaryRight="0"/>
  </sheetPr>
  <dimension ref="A1:C370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2.59765625" defaultRowHeight="15" customHeight="1" x14ac:dyDescent="0.25"/>
  <cols>
    <col min="1" max="1" width="25.09765625" customWidth="1"/>
    <col min="2" max="2" width="28.8984375" customWidth="1"/>
    <col min="3" max="3" width="25.09765625" customWidth="1"/>
  </cols>
  <sheetData>
    <row r="1" spans="1:3" ht="33" customHeight="1" x14ac:dyDescent="0.25">
      <c r="A1" s="105" t="s">
        <v>0</v>
      </c>
      <c r="B1" s="106"/>
      <c r="C1" s="106"/>
    </row>
    <row r="2" spans="1:3" ht="28.5" customHeight="1" x14ac:dyDescent="0.25">
      <c r="A2" s="107" t="s">
        <v>1</v>
      </c>
      <c r="B2" s="106"/>
      <c r="C2" s="106"/>
    </row>
    <row r="3" spans="1:3" ht="28.5" customHeight="1" x14ac:dyDescent="0.25">
      <c r="A3" s="107" t="s">
        <v>2</v>
      </c>
      <c r="B3" s="106"/>
      <c r="C3" s="106"/>
    </row>
    <row r="4" spans="1:3" ht="28.5" customHeight="1" x14ac:dyDescent="0.25">
      <c r="A4" s="107" t="s">
        <v>3</v>
      </c>
      <c r="B4" s="106"/>
      <c r="C4" s="106"/>
    </row>
    <row r="5" spans="1:3" ht="30" customHeight="1" x14ac:dyDescent="0.25">
      <c r="A5" s="2" t="s">
        <v>4</v>
      </c>
      <c r="B5" s="2" t="s">
        <v>5</v>
      </c>
      <c r="C5" s="2" t="s">
        <v>6</v>
      </c>
    </row>
    <row r="6" spans="1:3" ht="30" customHeight="1" x14ac:dyDescent="0.25">
      <c r="A6" s="3">
        <v>46023</v>
      </c>
      <c r="B6" s="4"/>
      <c r="C6" s="1" t="str">
        <f t="shared" ref="C6:C260" ca="1" si="0">IF(B6="",IF(A6&gt;TODAY(),"Pendiente","Sin dato"),IF(A6&gt;TODAY(),"Fecha futura",IF(OR(A6=DATE(2026,1,30),A6=DATE(2026,2,27),A6=DATE(2026,3,31),A6=DATE(2026,4,30),A6=DATE(2026,5,29),A6=DATE(2026,6,30)),"Histórico",IF(WEEKDAY(A6,2)&gt;5,"Fin semana","Registrado"))))</f>
        <v>Sin dato</v>
      </c>
    </row>
    <row r="7" spans="1:3" ht="30" customHeight="1" x14ac:dyDescent="0.25">
      <c r="A7" s="3">
        <v>46024</v>
      </c>
      <c r="B7" s="4"/>
      <c r="C7" s="1" t="str">
        <f t="shared" ca="1" si="0"/>
        <v>Sin dato</v>
      </c>
    </row>
    <row r="8" spans="1:3" ht="30" customHeight="1" x14ac:dyDescent="0.25">
      <c r="A8" s="3">
        <v>46025</v>
      </c>
      <c r="B8" s="4"/>
      <c r="C8" s="1" t="str">
        <f t="shared" ca="1" si="0"/>
        <v>Sin dato</v>
      </c>
    </row>
    <row r="9" spans="1:3" ht="30" customHeight="1" x14ac:dyDescent="0.25">
      <c r="A9" s="3">
        <v>46026</v>
      </c>
      <c r="B9" s="4"/>
      <c r="C9" s="1" t="str">
        <f t="shared" ca="1" si="0"/>
        <v>Sin dato</v>
      </c>
    </row>
    <row r="10" spans="1:3" ht="30" customHeight="1" x14ac:dyDescent="0.25">
      <c r="A10" s="3">
        <v>46027</v>
      </c>
      <c r="B10" s="4"/>
      <c r="C10" s="1" t="str">
        <f t="shared" ca="1" si="0"/>
        <v>Sin dato</v>
      </c>
    </row>
    <row r="11" spans="1:3" ht="30" customHeight="1" x14ac:dyDescent="0.25">
      <c r="A11" s="3">
        <v>46028</v>
      </c>
      <c r="B11" s="4"/>
      <c r="C11" s="1" t="str">
        <f t="shared" ca="1" si="0"/>
        <v>Sin dato</v>
      </c>
    </row>
    <row r="12" spans="1:3" ht="30" customHeight="1" x14ac:dyDescent="0.25">
      <c r="A12" s="3">
        <v>46029</v>
      </c>
      <c r="B12" s="4"/>
      <c r="C12" s="1" t="str">
        <f t="shared" ca="1" si="0"/>
        <v>Sin dato</v>
      </c>
    </row>
    <row r="13" spans="1:3" ht="30" customHeight="1" x14ac:dyDescent="0.25">
      <c r="A13" s="3">
        <v>46030</v>
      </c>
      <c r="B13" s="4"/>
      <c r="C13" s="1" t="str">
        <f t="shared" ca="1" si="0"/>
        <v>Sin dato</v>
      </c>
    </row>
    <row r="14" spans="1:3" ht="30" customHeight="1" x14ac:dyDescent="0.25">
      <c r="A14" s="3">
        <v>46031</v>
      </c>
      <c r="B14" s="4"/>
      <c r="C14" s="1" t="str">
        <f t="shared" ca="1" si="0"/>
        <v>Sin dato</v>
      </c>
    </row>
    <row r="15" spans="1:3" ht="30" customHeight="1" x14ac:dyDescent="0.25">
      <c r="A15" s="3">
        <v>46032</v>
      </c>
      <c r="B15" s="4"/>
      <c r="C15" s="1" t="str">
        <f t="shared" ca="1" si="0"/>
        <v>Sin dato</v>
      </c>
    </row>
    <row r="16" spans="1:3" ht="30" customHeight="1" x14ac:dyDescent="0.25">
      <c r="A16" s="3">
        <v>46033</v>
      </c>
      <c r="B16" s="4"/>
      <c r="C16" s="1" t="str">
        <f t="shared" ca="1" si="0"/>
        <v>Sin dato</v>
      </c>
    </row>
    <row r="17" spans="1:3" ht="30" customHeight="1" x14ac:dyDescent="0.25">
      <c r="A17" s="3">
        <v>46034</v>
      </c>
      <c r="B17" s="4"/>
      <c r="C17" s="1" t="str">
        <f t="shared" ca="1" si="0"/>
        <v>Sin dato</v>
      </c>
    </row>
    <row r="18" spans="1:3" ht="30" customHeight="1" x14ac:dyDescent="0.25">
      <c r="A18" s="3">
        <v>46035</v>
      </c>
      <c r="B18" s="4"/>
      <c r="C18" s="1" t="str">
        <f t="shared" ca="1" si="0"/>
        <v>Sin dato</v>
      </c>
    </row>
    <row r="19" spans="1:3" ht="30" customHeight="1" x14ac:dyDescent="0.25">
      <c r="A19" s="3">
        <v>46036</v>
      </c>
      <c r="B19" s="4"/>
      <c r="C19" s="1" t="str">
        <f t="shared" ca="1" si="0"/>
        <v>Sin dato</v>
      </c>
    </row>
    <row r="20" spans="1:3" ht="30" customHeight="1" x14ac:dyDescent="0.25">
      <c r="A20" s="3">
        <v>46037</v>
      </c>
      <c r="B20" s="4"/>
      <c r="C20" s="1" t="str">
        <f t="shared" ca="1" si="0"/>
        <v>Sin dato</v>
      </c>
    </row>
    <row r="21" spans="1:3" ht="30" customHeight="1" x14ac:dyDescent="0.25">
      <c r="A21" s="3">
        <v>46038</v>
      </c>
      <c r="B21" s="4"/>
      <c r="C21" s="1" t="str">
        <f t="shared" ca="1" si="0"/>
        <v>Sin dato</v>
      </c>
    </row>
    <row r="22" spans="1:3" ht="30" customHeight="1" x14ac:dyDescent="0.25">
      <c r="A22" s="3">
        <v>46039</v>
      </c>
      <c r="B22" s="4"/>
      <c r="C22" s="1" t="str">
        <f t="shared" ca="1" si="0"/>
        <v>Sin dato</v>
      </c>
    </row>
    <row r="23" spans="1:3" ht="30" customHeight="1" x14ac:dyDescent="0.25">
      <c r="A23" s="3">
        <v>46040</v>
      </c>
      <c r="B23" s="4"/>
      <c r="C23" s="1" t="str">
        <f t="shared" ca="1" si="0"/>
        <v>Sin dato</v>
      </c>
    </row>
    <row r="24" spans="1:3" ht="30" customHeight="1" x14ac:dyDescent="0.25">
      <c r="A24" s="3">
        <v>46041</v>
      </c>
      <c r="B24" s="4"/>
      <c r="C24" s="1" t="str">
        <f t="shared" ca="1" si="0"/>
        <v>Sin dato</v>
      </c>
    </row>
    <row r="25" spans="1:3" ht="30" customHeight="1" x14ac:dyDescent="0.25">
      <c r="A25" s="3">
        <v>46042</v>
      </c>
      <c r="B25" s="4"/>
      <c r="C25" s="1" t="str">
        <f t="shared" ca="1" si="0"/>
        <v>Sin dato</v>
      </c>
    </row>
    <row r="26" spans="1:3" ht="30" customHeight="1" x14ac:dyDescent="0.25">
      <c r="A26" s="3">
        <v>46043</v>
      </c>
      <c r="B26" s="4"/>
      <c r="C26" s="1" t="str">
        <f t="shared" ca="1" si="0"/>
        <v>Sin dato</v>
      </c>
    </row>
    <row r="27" spans="1:3" ht="30" customHeight="1" x14ac:dyDescent="0.25">
      <c r="A27" s="3">
        <v>46044</v>
      </c>
      <c r="B27" s="4"/>
      <c r="C27" s="1" t="str">
        <f t="shared" ca="1" si="0"/>
        <v>Sin dato</v>
      </c>
    </row>
    <row r="28" spans="1:3" ht="30" customHeight="1" x14ac:dyDescent="0.25">
      <c r="A28" s="3">
        <v>46045</v>
      </c>
      <c r="B28" s="4"/>
      <c r="C28" s="1" t="str">
        <f t="shared" ca="1" si="0"/>
        <v>Sin dato</v>
      </c>
    </row>
    <row r="29" spans="1:3" ht="30" customHeight="1" x14ac:dyDescent="0.25">
      <c r="A29" s="3">
        <v>46046</v>
      </c>
      <c r="B29" s="4"/>
      <c r="C29" s="1" t="str">
        <f t="shared" ca="1" si="0"/>
        <v>Sin dato</v>
      </c>
    </row>
    <row r="30" spans="1:3" ht="30" customHeight="1" x14ac:dyDescent="0.25">
      <c r="A30" s="3">
        <v>46047</v>
      </c>
      <c r="B30" s="4"/>
      <c r="C30" s="1" t="str">
        <f t="shared" ca="1" si="0"/>
        <v>Sin dato</v>
      </c>
    </row>
    <row r="31" spans="1:3" ht="30" customHeight="1" x14ac:dyDescent="0.25">
      <c r="A31" s="3">
        <v>46048</v>
      </c>
      <c r="B31" s="4"/>
      <c r="C31" s="1" t="str">
        <f t="shared" ca="1" si="0"/>
        <v>Sin dato</v>
      </c>
    </row>
    <row r="32" spans="1:3" ht="30" customHeight="1" x14ac:dyDescent="0.25">
      <c r="A32" s="3">
        <v>46049</v>
      </c>
      <c r="B32" s="4"/>
      <c r="C32" s="1" t="str">
        <f t="shared" ca="1" si="0"/>
        <v>Sin dato</v>
      </c>
    </row>
    <row r="33" spans="1:3" ht="30" customHeight="1" x14ac:dyDescent="0.25">
      <c r="A33" s="3">
        <v>46050</v>
      </c>
      <c r="B33" s="4"/>
      <c r="C33" s="1" t="str">
        <f t="shared" ca="1" si="0"/>
        <v>Sin dato</v>
      </c>
    </row>
    <row r="34" spans="1:3" ht="30" customHeight="1" x14ac:dyDescent="0.25">
      <c r="A34" s="3">
        <v>46051</v>
      </c>
      <c r="B34" s="4"/>
      <c r="C34" s="1" t="str">
        <f t="shared" ca="1" si="0"/>
        <v>Sin dato</v>
      </c>
    </row>
    <row r="35" spans="1:3" ht="30" customHeight="1" x14ac:dyDescent="0.25">
      <c r="A35" s="3">
        <v>46052</v>
      </c>
      <c r="B35" s="4">
        <f>Evolucion!B19</f>
        <v>76000</v>
      </c>
      <c r="C35" s="1" t="str">
        <f t="shared" ca="1" si="0"/>
        <v>Histórico</v>
      </c>
    </row>
    <row r="36" spans="1:3" ht="30" customHeight="1" x14ac:dyDescent="0.25">
      <c r="A36" s="3">
        <v>46053</v>
      </c>
      <c r="B36" s="4"/>
      <c r="C36" s="1" t="str">
        <f t="shared" ca="1" si="0"/>
        <v>Sin dato</v>
      </c>
    </row>
    <row r="37" spans="1:3" ht="30" customHeight="1" x14ac:dyDescent="0.25">
      <c r="A37" s="3">
        <v>46054</v>
      </c>
      <c r="B37" s="4"/>
      <c r="C37" s="1" t="str">
        <f t="shared" ca="1" si="0"/>
        <v>Sin dato</v>
      </c>
    </row>
    <row r="38" spans="1:3" ht="30" customHeight="1" x14ac:dyDescent="0.25">
      <c r="A38" s="3">
        <v>46055</v>
      </c>
      <c r="B38" s="4"/>
      <c r="C38" s="1" t="str">
        <f t="shared" ca="1" si="0"/>
        <v>Sin dato</v>
      </c>
    </row>
    <row r="39" spans="1:3" ht="30" customHeight="1" x14ac:dyDescent="0.25">
      <c r="A39" s="3">
        <v>46056</v>
      </c>
      <c r="B39" s="4"/>
      <c r="C39" s="1" t="str">
        <f t="shared" ca="1" si="0"/>
        <v>Sin dato</v>
      </c>
    </row>
    <row r="40" spans="1:3" ht="30" customHeight="1" x14ac:dyDescent="0.25">
      <c r="A40" s="3">
        <v>46057</v>
      </c>
      <c r="B40" s="4"/>
      <c r="C40" s="1" t="str">
        <f t="shared" ca="1" si="0"/>
        <v>Sin dato</v>
      </c>
    </row>
    <row r="41" spans="1:3" ht="30" customHeight="1" x14ac:dyDescent="0.25">
      <c r="A41" s="3">
        <v>46058</v>
      </c>
      <c r="B41" s="4"/>
      <c r="C41" s="1" t="str">
        <f t="shared" ca="1" si="0"/>
        <v>Sin dato</v>
      </c>
    </row>
    <row r="42" spans="1:3" ht="30" customHeight="1" x14ac:dyDescent="0.25">
      <c r="A42" s="3">
        <v>46059</v>
      </c>
      <c r="B42" s="4"/>
      <c r="C42" s="1" t="str">
        <f t="shared" ca="1" si="0"/>
        <v>Sin dato</v>
      </c>
    </row>
    <row r="43" spans="1:3" ht="30" customHeight="1" x14ac:dyDescent="0.25">
      <c r="A43" s="3">
        <v>46060</v>
      </c>
      <c r="B43" s="4"/>
      <c r="C43" s="1" t="str">
        <f t="shared" ca="1" si="0"/>
        <v>Sin dato</v>
      </c>
    </row>
    <row r="44" spans="1:3" ht="30" customHeight="1" x14ac:dyDescent="0.25">
      <c r="A44" s="3">
        <v>46061</v>
      </c>
      <c r="B44" s="4"/>
      <c r="C44" s="1" t="str">
        <f t="shared" ca="1" si="0"/>
        <v>Sin dato</v>
      </c>
    </row>
    <row r="45" spans="1:3" ht="30" customHeight="1" x14ac:dyDescent="0.25">
      <c r="A45" s="3">
        <v>46062</v>
      </c>
      <c r="B45" s="4"/>
      <c r="C45" s="1" t="str">
        <f t="shared" ca="1" si="0"/>
        <v>Sin dato</v>
      </c>
    </row>
    <row r="46" spans="1:3" ht="30" customHeight="1" x14ac:dyDescent="0.25">
      <c r="A46" s="3">
        <v>46063</v>
      </c>
      <c r="B46" s="4"/>
      <c r="C46" s="1" t="str">
        <f t="shared" ca="1" si="0"/>
        <v>Sin dato</v>
      </c>
    </row>
    <row r="47" spans="1:3" ht="30" customHeight="1" x14ac:dyDescent="0.25">
      <c r="A47" s="3">
        <v>46064</v>
      </c>
      <c r="B47" s="4"/>
      <c r="C47" s="1" t="str">
        <f t="shared" ca="1" si="0"/>
        <v>Sin dato</v>
      </c>
    </row>
    <row r="48" spans="1:3" ht="30" customHeight="1" x14ac:dyDescent="0.25">
      <c r="A48" s="3">
        <v>46065</v>
      </c>
      <c r="B48" s="4"/>
      <c r="C48" s="1" t="str">
        <f t="shared" ca="1" si="0"/>
        <v>Sin dato</v>
      </c>
    </row>
    <row r="49" spans="1:3" ht="30" customHeight="1" x14ac:dyDescent="0.25">
      <c r="A49" s="3">
        <v>46066</v>
      </c>
      <c r="B49" s="4"/>
      <c r="C49" s="1" t="str">
        <f t="shared" ca="1" si="0"/>
        <v>Sin dato</v>
      </c>
    </row>
    <row r="50" spans="1:3" ht="30" customHeight="1" x14ac:dyDescent="0.25">
      <c r="A50" s="3">
        <v>46067</v>
      </c>
      <c r="B50" s="4"/>
      <c r="C50" s="1" t="str">
        <f t="shared" ca="1" si="0"/>
        <v>Sin dato</v>
      </c>
    </row>
    <row r="51" spans="1:3" ht="30" customHeight="1" x14ac:dyDescent="0.25">
      <c r="A51" s="3">
        <v>46068</v>
      </c>
      <c r="B51" s="4"/>
      <c r="C51" s="1" t="str">
        <f t="shared" ca="1" si="0"/>
        <v>Sin dato</v>
      </c>
    </row>
    <row r="52" spans="1:3" ht="30" customHeight="1" x14ac:dyDescent="0.25">
      <c r="A52" s="3">
        <v>46069</v>
      </c>
      <c r="B52" s="4"/>
      <c r="C52" s="1" t="str">
        <f t="shared" ca="1" si="0"/>
        <v>Sin dato</v>
      </c>
    </row>
    <row r="53" spans="1:3" ht="30" customHeight="1" x14ac:dyDescent="0.25">
      <c r="A53" s="3">
        <v>46070</v>
      </c>
      <c r="B53" s="4"/>
      <c r="C53" s="1" t="str">
        <f t="shared" ca="1" si="0"/>
        <v>Sin dato</v>
      </c>
    </row>
    <row r="54" spans="1:3" ht="30" customHeight="1" x14ac:dyDescent="0.25">
      <c r="A54" s="3">
        <v>46071</v>
      </c>
      <c r="B54" s="4"/>
      <c r="C54" s="1" t="str">
        <f t="shared" ca="1" si="0"/>
        <v>Sin dato</v>
      </c>
    </row>
    <row r="55" spans="1:3" ht="30" customHeight="1" x14ac:dyDescent="0.25">
      <c r="A55" s="3">
        <v>46072</v>
      </c>
      <c r="B55" s="4"/>
      <c r="C55" s="1" t="str">
        <f t="shared" ca="1" si="0"/>
        <v>Sin dato</v>
      </c>
    </row>
    <row r="56" spans="1:3" ht="30" customHeight="1" x14ac:dyDescent="0.25">
      <c r="A56" s="3">
        <v>46073</v>
      </c>
      <c r="B56" s="4"/>
      <c r="C56" s="1" t="str">
        <f t="shared" ca="1" si="0"/>
        <v>Sin dato</v>
      </c>
    </row>
    <row r="57" spans="1:3" ht="30" customHeight="1" x14ac:dyDescent="0.25">
      <c r="A57" s="3">
        <v>46074</v>
      </c>
      <c r="B57" s="4"/>
      <c r="C57" s="1" t="str">
        <f t="shared" ca="1" si="0"/>
        <v>Sin dato</v>
      </c>
    </row>
    <row r="58" spans="1:3" ht="30" customHeight="1" x14ac:dyDescent="0.25">
      <c r="A58" s="3">
        <v>46075</v>
      </c>
      <c r="B58" s="4"/>
      <c r="C58" s="1" t="str">
        <f t="shared" ca="1" si="0"/>
        <v>Sin dato</v>
      </c>
    </row>
    <row r="59" spans="1:3" ht="30" customHeight="1" x14ac:dyDescent="0.25">
      <c r="A59" s="3">
        <v>46076</v>
      </c>
      <c r="B59" s="4"/>
      <c r="C59" s="1" t="str">
        <f t="shared" ca="1" si="0"/>
        <v>Sin dato</v>
      </c>
    </row>
    <row r="60" spans="1:3" ht="30" customHeight="1" x14ac:dyDescent="0.25">
      <c r="A60" s="3">
        <v>46077</v>
      </c>
      <c r="B60" s="4"/>
      <c r="C60" s="1" t="str">
        <f t="shared" ca="1" si="0"/>
        <v>Sin dato</v>
      </c>
    </row>
    <row r="61" spans="1:3" ht="30" customHeight="1" x14ac:dyDescent="0.25">
      <c r="A61" s="3">
        <v>46078</v>
      </c>
      <c r="B61" s="4"/>
      <c r="C61" s="1" t="str">
        <f t="shared" ca="1" si="0"/>
        <v>Sin dato</v>
      </c>
    </row>
    <row r="62" spans="1:3" ht="30" customHeight="1" x14ac:dyDescent="0.25">
      <c r="A62" s="3">
        <v>46079</v>
      </c>
      <c r="B62" s="4"/>
      <c r="C62" s="1" t="str">
        <f t="shared" ca="1" si="0"/>
        <v>Sin dato</v>
      </c>
    </row>
    <row r="63" spans="1:3" ht="30" customHeight="1" x14ac:dyDescent="0.25">
      <c r="A63" s="3">
        <v>46080</v>
      </c>
      <c r="B63" s="4">
        <f>Evolucion!B20</f>
        <v>76422</v>
      </c>
      <c r="C63" s="1" t="str">
        <f t="shared" ca="1" si="0"/>
        <v>Histórico</v>
      </c>
    </row>
    <row r="64" spans="1:3" ht="30" customHeight="1" x14ac:dyDescent="0.25">
      <c r="A64" s="3">
        <v>46081</v>
      </c>
      <c r="B64" s="4"/>
      <c r="C64" s="1" t="str">
        <f t="shared" ca="1" si="0"/>
        <v>Sin dato</v>
      </c>
    </row>
    <row r="65" spans="1:3" ht="30" customHeight="1" x14ac:dyDescent="0.25">
      <c r="A65" s="3">
        <v>46082</v>
      </c>
      <c r="B65" s="4"/>
      <c r="C65" s="1" t="str">
        <f t="shared" ca="1" si="0"/>
        <v>Sin dato</v>
      </c>
    </row>
    <row r="66" spans="1:3" ht="30" customHeight="1" x14ac:dyDescent="0.25">
      <c r="A66" s="3">
        <v>46083</v>
      </c>
      <c r="B66" s="4"/>
      <c r="C66" s="1" t="str">
        <f t="shared" ca="1" si="0"/>
        <v>Sin dato</v>
      </c>
    </row>
    <row r="67" spans="1:3" ht="30" customHeight="1" x14ac:dyDescent="0.25">
      <c r="A67" s="3">
        <v>46084</v>
      </c>
      <c r="B67" s="4"/>
      <c r="C67" s="1" t="str">
        <f t="shared" ca="1" si="0"/>
        <v>Sin dato</v>
      </c>
    </row>
    <row r="68" spans="1:3" ht="30" customHeight="1" x14ac:dyDescent="0.25">
      <c r="A68" s="3">
        <v>46085</v>
      </c>
      <c r="B68" s="4"/>
      <c r="C68" s="1" t="str">
        <f t="shared" ca="1" si="0"/>
        <v>Sin dato</v>
      </c>
    </row>
    <row r="69" spans="1:3" ht="30" customHeight="1" x14ac:dyDescent="0.25">
      <c r="A69" s="3">
        <v>46086</v>
      </c>
      <c r="B69" s="4"/>
      <c r="C69" s="1" t="str">
        <f t="shared" ca="1" si="0"/>
        <v>Sin dato</v>
      </c>
    </row>
    <row r="70" spans="1:3" ht="30" customHeight="1" x14ac:dyDescent="0.25">
      <c r="A70" s="3">
        <v>46087</v>
      </c>
      <c r="B70" s="4"/>
      <c r="C70" s="1" t="str">
        <f t="shared" ca="1" si="0"/>
        <v>Sin dato</v>
      </c>
    </row>
    <row r="71" spans="1:3" ht="30" customHeight="1" x14ac:dyDescent="0.25">
      <c r="A71" s="3">
        <v>46088</v>
      </c>
      <c r="B71" s="4"/>
      <c r="C71" s="1" t="str">
        <f t="shared" ca="1" si="0"/>
        <v>Sin dato</v>
      </c>
    </row>
    <row r="72" spans="1:3" ht="30" customHeight="1" x14ac:dyDescent="0.25">
      <c r="A72" s="3">
        <v>46089</v>
      </c>
      <c r="B72" s="4"/>
      <c r="C72" s="1" t="str">
        <f t="shared" ca="1" si="0"/>
        <v>Sin dato</v>
      </c>
    </row>
    <row r="73" spans="1:3" ht="30" customHeight="1" x14ac:dyDescent="0.25">
      <c r="A73" s="3">
        <v>46090</v>
      </c>
      <c r="B73" s="4"/>
      <c r="C73" s="1" t="str">
        <f t="shared" ca="1" si="0"/>
        <v>Sin dato</v>
      </c>
    </row>
    <row r="74" spans="1:3" ht="30" customHeight="1" x14ac:dyDescent="0.25">
      <c r="A74" s="3">
        <v>46091</v>
      </c>
      <c r="B74" s="4"/>
      <c r="C74" s="1" t="str">
        <f t="shared" ca="1" si="0"/>
        <v>Sin dato</v>
      </c>
    </row>
    <row r="75" spans="1:3" ht="30" customHeight="1" x14ac:dyDescent="0.25">
      <c r="A75" s="3">
        <v>46092</v>
      </c>
      <c r="B75" s="4"/>
      <c r="C75" s="1" t="str">
        <f t="shared" ca="1" si="0"/>
        <v>Sin dato</v>
      </c>
    </row>
    <row r="76" spans="1:3" ht="30" customHeight="1" x14ac:dyDescent="0.25">
      <c r="A76" s="3">
        <v>46093</v>
      </c>
      <c r="B76" s="4"/>
      <c r="C76" s="1" t="str">
        <f t="shared" ca="1" si="0"/>
        <v>Sin dato</v>
      </c>
    </row>
    <row r="77" spans="1:3" ht="30" customHeight="1" x14ac:dyDescent="0.25">
      <c r="A77" s="3">
        <v>46094</v>
      </c>
      <c r="B77" s="4"/>
      <c r="C77" s="1" t="str">
        <f t="shared" ca="1" si="0"/>
        <v>Sin dato</v>
      </c>
    </row>
    <row r="78" spans="1:3" ht="30" customHeight="1" x14ac:dyDescent="0.25">
      <c r="A78" s="3">
        <v>46095</v>
      </c>
      <c r="B78" s="4"/>
      <c r="C78" s="1" t="str">
        <f t="shared" ca="1" si="0"/>
        <v>Sin dato</v>
      </c>
    </row>
    <row r="79" spans="1:3" ht="30" customHeight="1" x14ac:dyDescent="0.25">
      <c r="A79" s="3">
        <v>46096</v>
      </c>
      <c r="B79" s="4"/>
      <c r="C79" s="1" t="str">
        <f t="shared" ca="1" si="0"/>
        <v>Sin dato</v>
      </c>
    </row>
    <row r="80" spans="1:3" ht="30" customHeight="1" x14ac:dyDescent="0.25">
      <c r="A80" s="3">
        <v>46097</v>
      </c>
      <c r="B80" s="4"/>
      <c r="C80" s="1" t="str">
        <f t="shared" ca="1" si="0"/>
        <v>Sin dato</v>
      </c>
    </row>
    <row r="81" spans="1:3" ht="30" customHeight="1" x14ac:dyDescent="0.25">
      <c r="A81" s="3">
        <v>46098</v>
      </c>
      <c r="B81" s="4"/>
      <c r="C81" s="1" t="str">
        <f t="shared" ca="1" si="0"/>
        <v>Sin dato</v>
      </c>
    </row>
    <row r="82" spans="1:3" ht="30" customHeight="1" x14ac:dyDescent="0.25">
      <c r="A82" s="3">
        <v>46099</v>
      </c>
      <c r="B82" s="4"/>
      <c r="C82" s="1" t="str">
        <f t="shared" ca="1" si="0"/>
        <v>Sin dato</v>
      </c>
    </row>
    <row r="83" spans="1:3" ht="30" customHeight="1" x14ac:dyDescent="0.25">
      <c r="A83" s="3">
        <v>46100</v>
      </c>
      <c r="B83" s="4"/>
      <c r="C83" s="1" t="str">
        <f t="shared" ca="1" si="0"/>
        <v>Sin dato</v>
      </c>
    </row>
    <row r="84" spans="1:3" ht="30" customHeight="1" x14ac:dyDescent="0.25">
      <c r="A84" s="3">
        <v>46101</v>
      </c>
      <c r="B84" s="4"/>
      <c r="C84" s="1" t="str">
        <f t="shared" ca="1" si="0"/>
        <v>Sin dato</v>
      </c>
    </row>
    <row r="85" spans="1:3" ht="30" customHeight="1" x14ac:dyDescent="0.25">
      <c r="A85" s="3">
        <v>46102</v>
      </c>
      <c r="B85" s="4"/>
      <c r="C85" s="1" t="str">
        <f t="shared" ca="1" si="0"/>
        <v>Sin dato</v>
      </c>
    </row>
    <row r="86" spans="1:3" ht="30" customHeight="1" x14ac:dyDescent="0.25">
      <c r="A86" s="3">
        <v>46103</v>
      </c>
      <c r="B86" s="4"/>
      <c r="C86" s="1" t="str">
        <f t="shared" ca="1" si="0"/>
        <v>Sin dato</v>
      </c>
    </row>
    <row r="87" spans="1:3" ht="30" customHeight="1" x14ac:dyDescent="0.25">
      <c r="A87" s="3">
        <v>46104</v>
      </c>
      <c r="B87" s="4"/>
      <c r="C87" s="1" t="str">
        <f t="shared" ca="1" si="0"/>
        <v>Sin dato</v>
      </c>
    </row>
    <row r="88" spans="1:3" ht="30" customHeight="1" x14ac:dyDescent="0.25">
      <c r="A88" s="3">
        <v>46105</v>
      </c>
      <c r="B88" s="4"/>
      <c r="C88" s="1" t="str">
        <f t="shared" ca="1" si="0"/>
        <v>Sin dato</v>
      </c>
    </row>
    <row r="89" spans="1:3" ht="30" customHeight="1" x14ac:dyDescent="0.25">
      <c r="A89" s="3">
        <v>46106</v>
      </c>
      <c r="B89" s="4"/>
      <c r="C89" s="1" t="str">
        <f t="shared" ca="1" si="0"/>
        <v>Sin dato</v>
      </c>
    </row>
    <row r="90" spans="1:3" ht="30" customHeight="1" x14ac:dyDescent="0.25">
      <c r="A90" s="3">
        <v>46107</v>
      </c>
      <c r="B90" s="4"/>
      <c r="C90" s="1" t="str">
        <f t="shared" ca="1" si="0"/>
        <v>Sin dato</v>
      </c>
    </row>
    <row r="91" spans="1:3" ht="30" customHeight="1" x14ac:dyDescent="0.25">
      <c r="A91" s="3">
        <v>46108</v>
      </c>
      <c r="B91" s="4"/>
      <c r="C91" s="1" t="str">
        <f t="shared" ca="1" si="0"/>
        <v>Sin dato</v>
      </c>
    </row>
    <row r="92" spans="1:3" ht="30" customHeight="1" x14ac:dyDescent="0.25">
      <c r="A92" s="3">
        <v>46109</v>
      </c>
      <c r="B92" s="4"/>
      <c r="C92" s="1" t="str">
        <f t="shared" ca="1" si="0"/>
        <v>Sin dato</v>
      </c>
    </row>
    <row r="93" spans="1:3" ht="30" customHeight="1" x14ac:dyDescent="0.25">
      <c r="A93" s="3">
        <v>46110</v>
      </c>
      <c r="B93" s="4"/>
      <c r="C93" s="1" t="str">
        <f t="shared" ca="1" si="0"/>
        <v>Sin dato</v>
      </c>
    </row>
    <row r="94" spans="1:3" ht="30" customHeight="1" x14ac:dyDescent="0.25">
      <c r="A94" s="3">
        <v>46111</v>
      </c>
      <c r="B94" s="4"/>
      <c r="C94" s="1" t="str">
        <f t="shared" ca="1" si="0"/>
        <v>Sin dato</v>
      </c>
    </row>
    <row r="95" spans="1:3" ht="30" customHeight="1" x14ac:dyDescent="0.25">
      <c r="A95" s="3">
        <v>46112</v>
      </c>
      <c r="B95" s="4">
        <f>Evolucion!B21</f>
        <v>72950</v>
      </c>
      <c r="C95" s="1" t="str">
        <f t="shared" ca="1" si="0"/>
        <v>Histórico</v>
      </c>
    </row>
    <row r="96" spans="1:3" ht="30" customHeight="1" x14ac:dyDescent="0.25">
      <c r="A96" s="3">
        <v>46113</v>
      </c>
      <c r="B96" s="4"/>
      <c r="C96" s="1" t="str">
        <f t="shared" ca="1" si="0"/>
        <v>Sin dato</v>
      </c>
    </row>
    <row r="97" spans="1:3" ht="30" customHeight="1" x14ac:dyDescent="0.25">
      <c r="A97" s="3">
        <v>46114</v>
      </c>
      <c r="B97" s="4"/>
      <c r="C97" s="1" t="str">
        <f t="shared" ca="1" si="0"/>
        <v>Sin dato</v>
      </c>
    </row>
    <row r="98" spans="1:3" ht="30" customHeight="1" x14ac:dyDescent="0.25">
      <c r="A98" s="3">
        <v>46115</v>
      </c>
      <c r="B98" s="4"/>
      <c r="C98" s="1" t="str">
        <f t="shared" ca="1" si="0"/>
        <v>Sin dato</v>
      </c>
    </row>
    <row r="99" spans="1:3" ht="30" customHeight="1" x14ac:dyDescent="0.25">
      <c r="A99" s="3">
        <v>46116</v>
      </c>
      <c r="B99" s="4"/>
      <c r="C99" s="1" t="str">
        <f t="shared" ca="1" si="0"/>
        <v>Sin dato</v>
      </c>
    </row>
    <row r="100" spans="1:3" ht="30" customHeight="1" x14ac:dyDescent="0.25">
      <c r="A100" s="3">
        <v>46117</v>
      </c>
      <c r="B100" s="4"/>
      <c r="C100" s="1" t="str">
        <f t="shared" ca="1" si="0"/>
        <v>Sin dato</v>
      </c>
    </row>
    <row r="101" spans="1:3" ht="30" customHeight="1" x14ac:dyDescent="0.25">
      <c r="A101" s="3">
        <v>46118</v>
      </c>
      <c r="B101" s="4"/>
      <c r="C101" s="1" t="str">
        <f t="shared" ca="1" si="0"/>
        <v>Sin dato</v>
      </c>
    </row>
    <row r="102" spans="1:3" ht="30" customHeight="1" x14ac:dyDescent="0.25">
      <c r="A102" s="3">
        <v>46119</v>
      </c>
      <c r="B102" s="4"/>
      <c r="C102" s="1" t="str">
        <f t="shared" ca="1" si="0"/>
        <v>Sin dato</v>
      </c>
    </row>
    <row r="103" spans="1:3" ht="30" customHeight="1" x14ac:dyDescent="0.25">
      <c r="A103" s="3">
        <v>46120</v>
      </c>
      <c r="B103" s="4"/>
      <c r="C103" s="1" t="str">
        <f t="shared" ca="1" si="0"/>
        <v>Sin dato</v>
      </c>
    </row>
    <row r="104" spans="1:3" ht="30" customHeight="1" x14ac:dyDescent="0.25">
      <c r="A104" s="3">
        <v>46121</v>
      </c>
      <c r="B104" s="4"/>
      <c r="C104" s="1" t="str">
        <f t="shared" ca="1" si="0"/>
        <v>Sin dato</v>
      </c>
    </row>
    <row r="105" spans="1:3" ht="30" customHeight="1" x14ac:dyDescent="0.25">
      <c r="A105" s="3">
        <v>46122</v>
      </c>
      <c r="B105" s="4"/>
      <c r="C105" s="1" t="str">
        <f t="shared" ca="1" si="0"/>
        <v>Sin dato</v>
      </c>
    </row>
    <row r="106" spans="1:3" ht="30" customHeight="1" x14ac:dyDescent="0.25">
      <c r="A106" s="3">
        <v>46123</v>
      </c>
      <c r="B106" s="4"/>
      <c r="C106" s="1" t="str">
        <f t="shared" ca="1" si="0"/>
        <v>Sin dato</v>
      </c>
    </row>
    <row r="107" spans="1:3" ht="30" customHeight="1" x14ac:dyDescent="0.25">
      <c r="A107" s="3">
        <v>46124</v>
      </c>
      <c r="B107" s="4"/>
      <c r="C107" s="1" t="str">
        <f t="shared" ca="1" si="0"/>
        <v>Sin dato</v>
      </c>
    </row>
    <row r="108" spans="1:3" ht="30" customHeight="1" x14ac:dyDescent="0.25">
      <c r="A108" s="3">
        <v>46125</v>
      </c>
      <c r="B108" s="4"/>
      <c r="C108" s="1" t="str">
        <f t="shared" ca="1" si="0"/>
        <v>Sin dato</v>
      </c>
    </row>
    <row r="109" spans="1:3" ht="30" customHeight="1" x14ac:dyDescent="0.25">
      <c r="A109" s="3">
        <v>46126</v>
      </c>
      <c r="B109" s="4"/>
      <c r="C109" s="1" t="str">
        <f t="shared" ca="1" si="0"/>
        <v>Sin dato</v>
      </c>
    </row>
    <row r="110" spans="1:3" ht="30" customHeight="1" x14ac:dyDescent="0.25">
      <c r="A110" s="3">
        <v>46127</v>
      </c>
      <c r="B110" s="4"/>
      <c r="C110" s="1" t="str">
        <f t="shared" ca="1" si="0"/>
        <v>Sin dato</v>
      </c>
    </row>
    <row r="111" spans="1:3" ht="30" customHeight="1" x14ac:dyDescent="0.25">
      <c r="A111" s="3">
        <v>46128</v>
      </c>
      <c r="B111" s="4"/>
      <c r="C111" s="1" t="str">
        <f t="shared" ca="1" si="0"/>
        <v>Sin dato</v>
      </c>
    </row>
    <row r="112" spans="1:3" ht="30" customHeight="1" x14ac:dyDescent="0.25">
      <c r="A112" s="3">
        <v>46129</v>
      </c>
      <c r="B112" s="4"/>
      <c r="C112" s="1" t="str">
        <f t="shared" ca="1" si="0"/>
        <v>Sin dato</v>
      </c>
    </row>
    <row r="113" spans="1:3" ht="30" customHeight="1" x14ac:dyDescent="0.25">
      <c r="A113" s="3">
        <v>46130</v>
      </c>
      <c r="B113" s="4"/>
      <c r="C113" s="1" t="str">
        <f t="shared" ca="1" si="0"/>
        <v>Sin dato</v>
      </c>
    </row>
    <row r="114" spans="1:3" ht="30" customHeight="1" x14ac:dyDescent="0.25">
      <c r="A114" s="3">
        <v>46131</v>
      </c>
      <c r="B114" s="4"/>
      <c r="C114" s="1" t="str">
        <f t="shared" ca="1" si="0"/>
        <v>Sin dato</v>
      </c>
    </row>
    <row r="115" spans="1:3" ht="30" customHeight="1" x14ac:dyDescent="0.25">
      <c r="A115" s="3">
        <v>46132</v>
      </c>
      <c r="B115" s="4"/>
      <c r="C115" s="1" t="str">
        <f t="shared" ca="1" si="0"/>
        <v>Sin dato</v>
      </c>
    </row>
    <row r="116" spans="1:3" ht="30" customHeight="1" x14ac:dyDescent="0.25">
      <c r="A116" s="3">
        <v>46133</v>
      </c>
      <c r="B116" s="4"/>
      <c r="C116" s="1" t="str">
        <f t="shared" ca="1" si="0"/>
        <v>Sin dato</v>
      </c>
    </row>
    <row r="117" spans="1:3" ht="30" customHeight="1" x14ac:dyDescent="0.25">
      <c r="A117" s="3">
        <v>46134</v>
      </c>
      <c r="B117" s="4"/>
      <c r="C117" s="1" t="str">
        <f t="shared" ca="1" si="0"/>
        <v>Sin dato</v>
      </c>
    </row>
    <row r="118" spans="1:3" ht="30" customHeight="1" x14ac:dyDescent="0.25">
      <c r="A118" s="3">
        <v>46135</v>
      </c>
      <c r="B118" s="4"/>
      <c r="C118" s="1" t="str">
        <f t="shared" ca="1" si="0"/>
        <v>Sin dato</v>
      </c>
    </row>
    <row r="119" spans="1:3" ht="30" customHeight="1" x14ac:dyDescent="0.25">
      <c r="A119" s="3">
        <v>46136</v>
      </c>
      <c r="B119" s="4"/>
      <c r="C119" s="1" t="str">
        <f t="shared" ca="1" si="0"/>
        <v>Sin dato</v>
      </c>
    </row>
    <row r="120" spans="1:3" ht="30" customHeight="1" x14ac:dyDescent="0.25">
      <c r="A120" s="3">
        <v>46137</v>
      </c>
      <c r="B120" s="4"/>
      <c r="C120" s="1" t="str">
        <f t="shared" ca="1" si="0"/>
        <v>Sin dato</v>
      </c>
    </row>
    <row r="121" spans="1:3" ht="30" customHeight="1" x14ac:dyDescent="0.25">
      <c r="A121" s="3">
        <v>46138</v>
      </c>
      <c r="B121" s="4"/>
      <c r="C121" s="1" t="str">
        <f t="shared" ca="1" si="0"/>
        <v>Sin dato</v>
      </c>
    </row>
    <row r="122" spans="1:3" ht="30" customHeight="1" x14ac:dyDescent="0.25">
      <c r="A122" s="3">
        <v>46139</v>
      </c>
      <c r="B122" s="4"/>
      <c r="C122" s="1" t="str">
        <f t="shared" ca="1" si="0"/>
        <v>Sin dato</v>
      </c>
    </row>
    <row r="123" spans="1:3" ht="30" customHeight="1" x14ac:dyDescent="0.25">
      <c r="A123" s="3">
        <v>46140</v>
      </c>
      <c r="B123" s="4"/>
      <c r="C123" s="1" t="str">
        <f t="shared" ca="1" si="0"/>
        <v>Sin dato</v>
      </c>
    </row>
    <row r="124" spans="1:3" ht="30" customHeight="1" x14ac:dyDescent="0.25">
      <c r="A124" s="3">
        <v>46141</v>
      </c>
      <c r="B124" s="4"/>
      <c r="C124" s="1" t="str">
        <f t="shared" ca="1" si="0"/>
        <v>Sin dato</v>
      </c>
    </row>
    <row r="125" spans="1:3" ht="30" customHeight="1" x14ac:dyDescent="0.25">
      <c r="A125" s="3">
        <v>46142</v>
      </c>
      <c r="B125" s="4">
        <f>Evolucion!B22</f>
        <v>76207</v>
      </c>
      <c r="C125" s="1" t="str">
        <f t="shared" ca="1" si="0"/>
        <v>Histórico</v>
      </c>
    </row>
    <row r="126" spans="1:3" ht="30" customHeight="1" x14ac:dyDescent="0.25">
      <c r="A126" s="3">
        <v>46143</v>
      </c>
      <c r="B126" s="4"/>
      <c r="C126" s="1" t="str">
        <f t="shared" ca="1" si="0"/>
        <v>Sin dato</v>
      </c>
    </row>
    <row r="127" spans="1:3" ht="30" customHeight="1" x14ac:dyDescent="0.25">
      <c r="A127" s="3">
        <v>46144</v>
      </c>
      <c r="B127" s="4"/>
      <c r="C127" s="1" t="str">
        <f t="shared" ca="1" si="0"/>
        <v>Sin dato</v>
      </c>
    </row>
    <row r="128" spans="1:3" ht="30" customHeight="1" x14ac:dyDescent="0.25">
      <c r="A128" s="3">
        <v>46145</v>
      </c>
      <c r="B128" s="4"/>
      <c r="C128" s="1" t="str">
        <f t="shared" ca="1" si="0"/>
        <v>Sin dato</v>
      </c>
    </row>
    <row r="129" spans="1:3" ht="30" customHeight="1" x14ac:dyDescent="0.25">
      <c r="A129" s="3">
        <v>46146</v>
      </c>
      <c r="B129" s="4"/>
      <c r="C129" s="1" t="str">
        <f t="shared" ca="1" si="0"/>
        <v>Sin dato</v>
      </c>
    </row>
    <row r="130" spans="1:3" ht="30" customHeight="1" x14ac:dyDescent="0.25">
      <c r="A130" s="3">
        <v>46147</v>
      </c>
      <c r="B130" s="4"/>
      <c r="C130" s="1" t="str">
        <f t="shared" ca="1" si="0"/>
        <v>Sin dato</v>
      </c>
    </row>
    <row r="131" spans="1:3" ht="30" customHeight="1" x14ac:dyDescent="0.25">
      <c r="A131" s="3">
        <v>46148</v>
      </c>
      <c r="B131" s="4"/>
      <c r="C131" s="1" t="str">
        <f t="shared" ca="1" si="0"/>
        <v>Sin dato</v>
      </c>
    </row>
    <row r="132" spans="1:3" ht="30" customHeight="1" x14ac:dyDescent="0.25">
      <c r="A132" s="3">
        <v>46149</v>
      </c>
      <c r="B132" s="4"/>
      <c r="C132" s="1" t="str">
        <f t="shared" ca="1" si="0"/>
        <v>Sin dato</v>
      </c>
    </row>
    <row r="133" spans="1:3" ht="30" customHeight="1" x14ac:dyDescent="0.25">
      <c r="A133" s="3">
        <v>46150</v>
      </c>
      <c r="B133" s="4"/>
      <c r="C133" s="1" t="str">
        <f t="shared" ca="1" si="0"/>
        <v>Sin dato</v>
      </c>
    </row>
    <row r="134" spans="1:3" ht="30" customHeight="1" x14ac:dyDescent="0.25">
      <c r="A134" s="3">
        <v>46151</v>
      </c>
      <c r="B134" s="4"/>
      <c r="C134" s="1" t="str">
        <f t="shared" ca="1" si="0"/>
        <v>Sin dato</v>
      </c>
    </row>
    <row r="135" spans="1:3" ht="30" customHeight="1" x14ac:dyDescent="0.25">
      <c r="A135" s="3">
        <v>46152</v>
      </c>
      <c r="B135" s="4"/>
      <c r="C135" s="1" t="str">
        <f t="shared" ca="1" si="0"/>
        <v>Sin dato</v>
      </c>
    </row>
    <row r="136" spans="1:3" ht="30" customHeight="1" x14ac:dyDescent="0.25">
      <c r="A136" s="3">
        <v>46153</v>
      </c>
      <c r="B136" s="4"/>
      <c r="C136" s="1" t="str">
        <f t="shared" ca="1" si="0"/>
        <v>Sin dato</v>
      </c>
    </row>
    <row r="137" spans="1:3" ht="30" customHeight="1" x14ac:dyDescent="0.25">
      <c r="A137" s="3">
        <v>46154</v>
      </c>
      <c r="B137" s="4"/>
      <c r="C137" s="1" t="str">
        <f t="shared" ca="1" si="0"/>
        <v>Sin dato</v>
      </c>
    </row>
    <row r="138" spans="1:3" ht="30" customHeight="1" x14ac:dyDescent="0.25">
      <c r="A138" s="3">
        <v>46155</v>
      </c>
      <c r="B138" s="4"/>
      <c r="C138" s="1" t="str">
        <f t="shared" ca="1" si="0"/>
        <v>Sin dato</v>
      </c>
    </row>
    <row r="139" spans="1:3" ht="30" customHeight="1" x14ac:dyDescent="0.25">
      <c r="A139" s="3">
        <v>46156</v>
      </c>
      <c r="B139" s="4"/>
      <c r="C139" s="1" t="str">
        <f t="shared" ca="1" si="0"/>
        <v>Sin dato</v>
      </c>
    </row>
    <row r="140" spans="1:3" ht="30" customHeight="1" x14ac:dyDescent="0.25">
      <c r="A140" s="3">
        <v>46157</v>
      </c>
      <c r="B140" s="4"/>
      <c r="C140" s="1" t="str">
        <f t="shared" ca="1" si="0"/>
        <v>Sin dato</v>
      </c>
    </row>
    <row r="141" spans="1:3" ht="30" customHeight="1" x14ac:dyDescent="0.25">
      <c r="A141" s="3">
        <v>46158</v>
      </c>
      <c r="B141" s="4"/>
      <c r="C141" s="1" t="str">
        <f t="shared" ca="1" si="0"/>
        <v>Sin dato</v>
      </c>
    </row>
    <row r="142" spans="1:3" ht="30" customHeight="1" x14ac:dyDescent="0.25">
      <c r="A142" s="3">
        <v>46159</v>
      </c>
      <c r="B142" s="4"/>
      <c r="C142" s="1" t="str">
        <f t="shared" ca="1" si="0"/>
        <v>Sin dato</v>
      </c>
    </row>
    <row r="143" spans="1:3" ht="30" customHeight="1" x14ac:dyDescent="0.25">
      <c r="A143" s="3">
        <v>46160</v>
      </c>
      <c r="B143" s="4"/>
      <c r="C143" s="1" t="str">
        <f t="shared" ca="1" si="0"/>
        <v>Sin dato</v>
      </c>
    </row>
    <row r="144" spans="1:3" ht="30" customHeight="1" x14ac:dyDescent="0.25">
      <c r="A144" s="3">
        <v>46161</v>
      </c>
      <c r="B144" s="4"/>
      <c r="C144" s="1" t="str">
        <f t="shared" ca="1" si="0"/>
        <v>Sin dato</v>
      </c>
    </row>
    <row r="145" spans="1:3" ht="30" customHeight="1" x14ac:dyDescent="0.25">
      <c r="A145" s="3">
        <v>46162</v>
      </c>
      <c r="B145" s="4"/>
      <c r="C145" s="1" t="str">
        <f t="shared" ca="1" si="0"/>
        <v>Sin dato</v>
      </c>
    </row>
    <row r="146" spans="1:3" ht="30" customHeight="1" x14ac:dyDescent="0.25">
      <c r="A146" s="3">
        <v>46163</v>
      </c>
      <c r="B146" s="4"/>
      <c r="C146" s="1" t="str">
        <f t="shared" ca="1" si="0"/>
        <v>Sin dato</v>
      </c>
    </row>
    <row r="147" spans="1:3" ht="30" customHeight="1" x14ac:dyDescent="0.25">
      <c r="A147" s="3">
        <v>46164</v>
      </c>
      <c r="B147" s="4"/>
      <c r="C147" s="1" t="str">
        <f t="shared" ca="1" si="0"/>
        <v>Sin dato</v>
      </c>
    </row>
    <row r="148" spans="1:3" ht="30" customHeight="1" x14ac:dyDescent="0.25">
      <c r="A148" s="3">
        <v>46165</v>
      </c>
      <c r="B148" s="4"/>
      <c r="C148" s="1" t="str">
        <f t="shared" ca="1" si="0"/>
        <v>Sin dato</v>
      </c>
    </row>
    <row r="149" spans="1:3" ht="30" customHeight="1" x14ac:dyDescent="0.25">
      <c r="A149" s="3">
        <v>46166</v>
      </c>
      <c r="B149" s="4"/>
      <c r="C149" s="1" t="str">
        <f t="shared" ca="1" si="0"/>
        <v>Sin dato</v>
      </c>
    </row>
    <row r="150" spans="1:3" ht="30" customHeight="1" x14ac:dyDescent="0.25">
      <c r="A150" s="3">
        <v>46167</v>
      </c>
      <c r="B150" s="4"/>
      <c r="C150" s="1" t="str">
        <f t="shared" ca="1" si="0"/>
        <v>Sin dato</v>
      </c>
    </row>
    <row r="151" spans="1:3" ht="30" customHeight="1" x14ac:dyDescent="0.25">
      <c r="A151" s="3">
        <v>46168</v>
      </c>
      <c r="B151" s="4"/>
      <c r="C151" s="1" t="str">
        <f t="shared" ca="1" si="0"/>
        <v>Sin dato</v>
      </c>
    </row>
    <row r="152" spans="1:3" ht="30" customHeight="1" x14ac:dyDescent="0.25">
      <c r="A152" s="3">
        <v>46169</v>
      </c>
      <c r="B152" s="4"/>
      <c r="C152" s="1" t="str">
        <f t="shared" ca="1" si="0"/>
        <v>Sin dato</v>
      </c>
    </row>
    <row r="153" spans="1:3" ht="30" customHeight="1" x14ac:dyDescent="0.25">
      <c r="A153" s="3">
        <v>46170</v>
      </c>
      <c r="B153" s="4"/>
      <c r="C153" s="1" t="str">
        <f t="shared" ca="1" si="0"/>
        <v>Sin dato</v>
      </c>
    </row>
    <row r="154" spans="1:3" ht="30" customHeight="1" x14ac:dyDescent="0.25">
      <c r="A154" s="3">
        <v>46171</v>
      </c>
      <c r="B154" s="4">
        <f>Evolucion!B23</f>
        <v>79485</v>
      </c>
      <c r="C154" s="1" t="str">
        <f t="shared" ca="1" si="0"/>
        <v>Histórico</v>
      </c>
    </row>
    <row r="155" spans="1:3" ht="30" customHeight="1" x14ac:dyDescent="0.25">
      <c r="A155" s="3">
        <v>46172</v>
      </c>
      <c r="B155" s="4"/>
      <c r="C155" s="1" t="str">
        <f t="shared" ca="1" si="0"/>
        <v>Sin dato</v>
      </c>
    </row>
    <row r="156" spans="1:3" ht="30" customHeight="1" x14ac:dyDescent="0.25">
      <c r="A156" s="3">
        <v>46173</v>
      </c>
      <c r="B156" s="4"/>
      <c r="C156" s="1" t="str">
        <f t="shared" ca="1" si="0"/>
        <v>Sin dato</v>
      </c>
    </row>
    <row r="157" spans="1:3" ht="30" customHeight="1" x14ac:dyDescent="0.25">
      <c r="A157" s="3">
        <v>46174</v>
      </c>
      <c r="B157" s="4"/>
      <c r="C157" s="1" t="str">
        <f t="shared" ca="1" si="0"/>
        <v>Sin dato</v>
      </c>
    </row>
    <row r="158" spans="1:3" ht="30" customHeight="1" x14ac:dyDescent="0.25">
      <c r="A158" s="3">
        <v>46175</v>
      </c>
      <c r="B158" s="4"/>
      <c r="C158" s="1" t="str">
        <f t="shared" ca="1" si="0"/>
        <v>Sin dato</v>
      </c>
    </row>
    <row r="159" spans="1:3" ht="30" customHeight="1" x14ac:dyDescent="0.25">
      <c r="A159" s="3">
        <v>46176</v>
      </c>
      <c r="B159" s="4"/>
      <c r="C159" s="1" t="str">
        <f t="shared" ca="1" si="0"/>
        <v>Sin dato</v>
      </c>
    </row>
    <row r="160" spans="1:3" ht="30" customHeight="1" x14ac:dyDescent="0.25">
      <c r="A160" s="3">
        <v>46177</v>
      </c>
      <c r="B160" s="4"/>
      <c r="C160" s="1" t="str">
        <f t="shared" ca="1" si="0"/>
        <v>Sin dato</v>
      </c>
    </row>
    <row r="161" spans="1:3" ht="30" customHeight="1" x14ac:dyDescent="0.25">
      <c r="A161" s="3">
        <v>46178</v>
      </c>
      <c r="B161" s="4"/>
      <c r="C161" s="1" t="str">
        <f t="shared" ca="1" si="0"/>
        <v>Sin dato</v>
      </c>
    </row>
    <row r="162" spans="1:3" ht="30" customHeight="1" x14ac:dyDescent="0.25">
      <c r="A162" s="3">
        <v>46179</v>
      </c>
      <c r="B162" s="4"/>
      <c r="C162" s="1" t="str">
        <f t="shared" ca="1" si="0"/>
        <v>Sin dato</v>
      </c>
    </row>
    <row r="163" spans="1:3" ht="30" customHeight="1" x14ac:dyDescent="0.25">
      <c r="A163" s="3">
        <v>46180</v>
      </c>
      <c r="B163" s="4"/>
      <c r="C163" s="1" t="str">
        <f t="shared" ca="1" si="0"/>
        <v>Sin dato</v>
      </c>
    </row>
    <row r="164" spans="1:3" ht="30" customHeight="1" x14ac:dyDescent="0.25">
      <c r="A164" s="3">
        <v>46181</v>
      </c>
      <c r="B164" s="4"/>
      <c r="C164" s="1" t="str">
        <f t="shared" ca="1" si="0"/>
        <v>Sin dato</v>
      </c>
    </row>
    <row r="165" spans="1:3" ht="30" customHeight="1" x14ac:dyDescent="0.25">
      <c r="A165" s="3">
        <v>46182</v>
      </c>
      <c r="B165" s="4"/>
      <c r="C165" s="1" t="str">
        <f t="shared" ca="1" si="0"/>
        <v>Sin dato</v>
      </c>
    </row>
    <row r="166" spans="1:3" ht="30" customHeight="1" x14ac:dyDescent="0.25">
      <c r="A166" s="3">
        <v>46183</v>
      </c>
      <c r="B166" s="4"/>
      <c r="C166" s="1" t="str">
        <f t="shared" ca="1" si="0"/>
        <v>Sin dato</v>
      </c>
    </row>
    <row r="167" spans="1:3" ht="30" customHeight="1" x14ac:dyDescent="0.25">
      <c r="A167" s="3">
        <v>46184</v>
      </c>
      <c r="B167" s="4"/>
      <c r="C167" s="1" t="str">
        <f t="shared" ca="1" si="0"/>
        <v>Sin dato</v>
      </c>
    </row>
    <row r="168" spans="1:3" ht="30" customHeight="1" x14ac:dyDescent="0.25">
      <c r="A168" s="3">
        <v>46185</v>
      </c>
      <c r="B168" s="4"/>
      <c r="C168" s="1" t="str">
        <f t="shared" ca="1" si="0"/>
        <v>Sin dato</v>
      </c>
    </row>
    <row r="169" spans="1:3" ht="30" customHeight="1" x14ac:dyDescent="0.25">
      <c r="A169" s="3">
        <v>46186</v>
      </c>
      <c r="B169" s="4"/>
      <c r="C169" s="1" t="str">
        <f t="shared" ca="1" si="0"/>
        <v>Sin dato</v>
      </c>
    </row>
    <row r="170" spans="1:3" ht="30" customHeight="1" x14ac:dyDescent="0.25">
      <c r="A170" s="3">
        <v>46187</v>
      </c>
      <c r="B170" s="4"/>
      <c r="C170" s="1" t="str">
        <f t="shared" ca="1" si="0"/>
        <v>Sin dato</v>
      </c>
    </row>
    <row r="171" spans="1:3" ht="30" customHeight="1" x14ac:dyDescent="0.25">
      <c r="A171" s="3">
        <v>46188</v>
      </c>
      <c r="B171" s="4"/>
      <c r="C171" s="1" t="str">
        <f t="shared" ca="1" si="0"/>
        <v>Sin dato</v>
      </c>
    </row>
    <row r="172" spans="1:3" ht="30" customHeight="1" x14ac:dyDescent="0.25">
      <c r="A172" s="3">
        <v>46189</v>
      </c>
      <c r="B172" s="4"/>
      <c r="C172" s="1" t="str">
        <f t="shared" ca="1" si="0"/>
        <v>Sin dato</v>
      </c>
    </row>
    <row r="173" spans="1:3" ht="30" customHeight="1" x14ac:dyDescent="0.25">
      <c r="A173" s="3">
        <v>46190</v>
      </c>
      <c r="B173" s="4"/>
      <c r="C173" s="1" t="str">
        <f t="shared" ca="1" si="0"/>
        <v>Sin dato</v>
      </c>
    </row>
    <row r="174" spans="1:3" ht="30" customHeight="1" x14ac:dyDescent="0.25">
      <c r="A174" s="3">
        <v>46191</v>
      </c>
      <c r="B174" s="4"/>
      <c r="C174" s="1" t="str">
        <f t="shared" ca="1" si="0"/>
        <v>Sin dato</v>
      </c>
    </row>
    <row r="175" spans="1:3" ht="30" customHeight="1" x14ac:dyDescent="0.25">
      <c r="A175" s="3">
        <v>46192</v>
      </c>
      <c r="B175" s="4"/>
      <c r="C175" s="1" t="str">
        <f t="shared" ca="1" si="0"/>
        <v>Sin dato</v>
      </c>
    </row>
    <row r="176" spans="1:3" ht="30" customHeight="1" x14ac:dyDescent="0.25">
      <c r="A176" s="3">
        <v>46193</v>
      </c>
      <c r="B176" s="4"/>
      <c r="C176" s="1" t="str">
        <f t="shared" ca="1" si="0"/>
        <v>Sin dato</v>
      </c>
    </row>
    <row r="177" spans="1:3" ht="30" customHeight="1" x14ac:dyDescent="0.25">
      <c r="A177" s="3">
        <v>46194</v>
      </c>
      <c r="B177" s="4"/>
      <c r="C177" s="1" t="str">
        <f t="shared" ca="1" si="0"/>
        <v>Sin dato</v>
      </c>
    </row>
    <row r="178" spans="1:3" ht="30" customHeight="1" x14ac:dyDescent="0.25">
      <c r="A178" s="3">
        <v>46195</v>
      </c>
      <c r="B178" s="4"/>
      <c r="C178" s="1" t="str">
        <f t="shared" ca="1" si="0"/>
        <v>Sin dato</v>
      </c>
    </row>
    <row r="179" spans="1:3" ht="30" customHeight="1" x14ac:dyDescent="0.25">
      <c r="A179" s="3">
        <v>46196</v>
      </c>
      <c r="B179" s="4"/>
      <c r="C179" s="1" t="str">
        <f t="shared" ca="1" si="0"/>
        <v>Sin dato</v>
      </c>
    </row>
    <row r="180" spans="1:3" ht="30" customHeight="1" x14ac:dyDescent="0.25">
      <c r="A180" s="3">
        <v>46197</v>
      </c>
      <c r="B180" s="4"/>
      <c r="C180" s="1" t="str">
        <f t="shared" ca="1" si="0"/>
        <v>Sin dato</v>
      </c>
    </row>
    <row r="181" spans="1:3" ht="30" customHeight="1" x14ac:dyDescent="0.25">
      <c r="A181" s="3">
        <v>46198</v>
      </c>
      <c r="B181" s="4"/>
      <c r="C181" s="1" t="str">
        <f t="shared" ca="1" si="0"/>
        <v>Sin dato</v>
      </c>
    </row>
    <row r="182" spans="1:3" ht="30" customHeight="1" x14ac:dyDescent="0.25">
      <c r="A182" s="3">
        <v>46199</v>
      </c>
      <c r="B182" s="4"/>
      <c r="C182" s="1" t="str">
        <f t="shared" ca="1" si="0"/>
        <v>Sin dato</v>
      </c>
    </row>
    <row r="183" spans="1:3" ht="30" customHeight="1" x14ac:dyDescent="0.25">
      <c r="A183" s="3">
        <v>46200</v>
      </c>
      <c r="B183" s="4"/>
      <c r="C183" s="1" t="str">
        <f t="shared" ca="1" si="0"/>
        <v>Sin dato</v>
      </c>
    </row>
    <row r="184" spans="1:3" ht="30" customHeight="1" x14ac:dyDescent="0.25">
      <c r="A184" s="3">
        <v>46201</v>
      </c>
      <c r="B184" s="4"/>
      <c r="C184" s="1" t="str">
        <f t="shared" ca="1" si="0"/>
        <v>Sin dato</v>
      </c>
    </row>
    <row r="185" spans="1:3" ht="30" customHeight="1" x14ac:dyDescent="0.25">
      <c r="A185" s="3">
        <v>46202</v>
      </c>
      <c r="B185" s="4"/>
      <c r="C185" s="1" t="str">
        <f t="shared" ca="1" si="0"/>
        <v>Sin dato</v>
      </c>
    </row>
    <row r="186" spans="1:3" ht="30" customHeight="1" x14ac:dyDescent="0.25">
      <c r="A186" s="3">
        <v>46203</v>
      </c>
      <c r="B186" s="4">
        <f>Evolucion!B24</f>
        <v>76115</v>
      </c>
      <c r="C186" s="1" t="str">
        <f t="shared" ca="1" si="0"/>
        <v>Histórico</v>
      </c>
    </row>
    <row r="187" spans="1:3" ht="30" customHeight="1" x14ac:dyDescent="0.25">
      <c r="A187" s="3">
        <v>46204</v>
      </c>
      <c r="B187" s="4"/>
      <c r="C187" s="1" t="str">
        <f t="shared" ca="1" si="0"/>
        <v>Sin dato</v>
      </c>
    </row>
    <row r="188" spans="1:3" ht="30" customHeight="1" x14ac:dyDescent="0.25">
      <c r="A188" s="3">
        <v>46205</v>
      </c>
      <c r="B188" s="4"/>
      <c r="C188" s="1" t="str">
        <f t="shared" ca="1" si="0"/>
        <v>Sin dato</v>
      </c>
    </row>
    <row r="189" spans="1:3" ht="30" customHeight="1" x14ac:dyDescent="0.25">
      <c r="A189" s="3">
        <v>46206</v>
      </c>
      <c r="B189" s="4"/>
      <c r="C189" s="1" t="str">
        <f t="shared" ca="1" si="0"/>
        <v>Sin dato</v>
      </c>
    </row>
    <row r="190" spans="1:3" ht="30" customHeight="1" x14ac:dyDescent="0.25">
      <c r="A190" s="3">
        <v>46207</v>
      </c>
      <c r="B190" s="4"/>
      <c r="C190" s="1" t="str">
        <f t="shared" ca="1" si="0"/>
        <v>Sin dato</v>
      </c>
    </row>
    <row r="191" spans="1:3" ht="30" customHeight="1" x14ac:dyDescent="0.25">
      <c r="A191" s="3">
        <v>46208</v>
      </c>
      <c r="B191" s="4"/>
      <c r="C191" s="1" t="str">
        <f t="shared" ca="1" si="0"/>
        <v>Sin dato</v>
      </c>
    </row>
    <row r="192" spans="1:3" ht="30" customHeight="1" x14ac:dyDescent="0.25">
      <c r="A192" s="3">
        <v>46209</v>
      </c>
      <c r="B192" s="4"/>
      <c r="C192" s="1" t="str">
        <f t="shared" ca="1" si="0"/>
        <v>Sin dato</v>
      </c>
    </row>
    <row r="193" spans="1:3" ht="30" customHeight="1" x14ac:dyDescent="0.25">
      <c r="A193" s="3">
        <v>46210</v>
      </c>
      <c r="B193" s="4"/>
      <c r="C193" s="1" t="str">
        <f t="shared" ca="1" si="0"/>
        <v>Sin dato</v>
      </c>
    </row>
    <row r="194" spans="1:3" ht="30" customHeight="1" x14ac:dyDescent="0.25">
      <c r="A194" s="3">
        <v>46211</v>
      </c>
      <c r="B194" s="4"/>
      <c r="C194" s="1" t="str">
        <f t="shared" ca="1" si="0"/>
        <v>Sin dato</v>
      </c>
    </row>
    <row r="195" spans="1:3" ht="30" customHeight="1" x14ac:dyDescent="0.25">
      <c r="A195" s="3">
        <v>46212</v>
      </c>
      <c r="B195" s="4">
        <v>77695</v>
      </c>
      <c r="C195" s="1" t="str">
        <f t="shared" ca="1" si="0"/>
        <v>Registrado</v>
      </c>
    </row>
    <row r="196" spans="1:3" ht="30" customHeight="1" x14ac:dyDescent="0.25">
      <c r="A196" s="3">
        <v>46213</v>
      </c>
      <c r="B196" s="4">
        <v>77600</v>
      </c>
      <c r="C196" s="1" t="str">
        <f t="shared" ca="1" si="0"/>
        <v>Registrado</v>
      </c>
    </row>
    <row r="197" spans="1:3" ht="30" customHeight="1" x14ac:dyDescent="0.25">
      <c r="A197" s="3">
        <v>46214</v>
      </c>
      <c r="B197" s="4">
        <v>77711</v>
      </c>
      <c r="C197" s="1" t="str">
        <f t="shared" ca="1" si="0"/>
        <v>Fin semana</v>
      </c>
    </row>
    <row r="198" spans="1:3" ht="30" customHeight="1" x14ac:dyDescent="0.25">
      <c r="A198" s="3">
        <v>46215</v>
      </c>
      <c r="B198" s="4"/>
      <c r="C198" s="1" t="str">
        <f t="shared" ca="1" si="0"/>
        <v>Sin dato</v>
      </c>
    </row>
    <row r="199" spans="1:3" ht="30" customHeight="1" x14ac:dyDescent="0.25">
      <c r="A199" s="3">
        <v>46216</v>
      </c>
      <c r="B199" s="4">
        <v>77695</v>
      </c>
      <c r="C199" s="1" t="str">
        <f t="shared" ca="1" si="0"/>
        <v>Registrado</v>
      </c>
    </row>
    <row r="200" spans="1:3" ht="30" customHeight="1" x14ac:dyDescent="0.25">
      <c r="A200" s="3">
        <v>46217</v>
      </c>
      <c r="B200" s="4">
        <v>77700</v>
      </c>
      <c r="C200" s="1" t="str">
        <f t="shared" ca="1" si="0"/>
        <v>Registrado</v>
      </c>
    </row>
    <row r="201" spans="1:3" ht="30" customHeight="1" x14ac:dyDescent="0.25">
      <c r="A201" s="3">
        <v>46218</v>
      </c>
      <c r="B201" s="4">
        <v>77717</v>
      </c>
      <c r="C201" s="1" t="str">
        <f t="shared" ca="1" si="0"/>
        <v>Registrado</v>
      </c>
    </row>
    <row r="202" spans="1:3" ht="30" customHeight="1" x14ac:dyDescent="0.25">
      <c r="A202" s="3">
        <v>46219</v>
      </c>
      <c r="B202" s="4">
        <v>77976</v>
      </c>
      <c r="C202" s="1" t="str">
        <f t="shared" ca="1" si="0"/>
        <v>Registrado</v>
      </c>
    </row>
    <row r="203" spans="1:3" ht="30" customHeight="1" x14ac:dyDescent="0.25">
      <c r="A203" s="3">
        <v>46220</v>
      </c>
      <c r="B203" s="4">
        <v>77718</v>
      </c>
      <c r="C203" s="1" t="str">
        <f t="shared" ca="1" si="0"/>
        <v>Registrado</v>
      </c>
    </row>
    <row r="204" spans="1:3" ht="30" customHeight="1" x14ac:dyDescent="0.25">
      <c r="A204" s="3">
        <v>46221</v>
      </c>
      <c r="B204" s="4">
        <v>77350</v>
      </c>
      <c r="C204" s="1" t="str">
        <f t="shared" ca="1" si="0"/>
        <v>Fin semana</v>
      </c>
    </row>
    <row r="205" spans="1:3" ht="30" customHeight="1" x14ac:dyDescent="0.25">
      <c r="A205" s="3">
        <v>46222</v>
      </c>
      <c r="B205" s="4"/>
      <c r="C205" s="1" t="str">
        <f t="shared" ca="1" si="0"/>
        <v>Sin dato</v>
      </c>
    </row>
    <row r="206" spans="1:3" ht="30" customHeight="1" x14ac:dyDescent="0.25">
      <c r="A206" s="3">
        <v>46223</v>
      </c>
      <c r="B206" s="4">
        <v>77138</v>
      </c>
      <c r="C206" s="1" t="str">
        <f t="shared" ca="1" si="0"/>
        <v>Registrado</v>
      </c>
    </row>
    <row r="207" spans="1:3" ht="30" customHeight="1" x14ac:dyDescent="0.25">
      <c r="A207" s="3">
        <v>46224</v>
      </c>
      <c r="B207" s="4">
        <v>77050</v>
      </c>
      <c r="C207" s="1" t="str">
        <f t="shared" ca="1" si="0"/>
        <v>Registrado</v>
      </c>
    </row>
    <row r="208" spans="1:3" ht="30" customHeight="1" x14ac:dyDescent="0.25">
      <c r="A208" s="3">
        <v>46225</v>
      </c>
      <c r="B208" s="4">
        <v>77305</v>
      </c>
      <c r="C208" s="1" t="str">
        <f t="shared" ca="1" si="0"/>
        <v>Registrado</v>
      </c>
    </row>
    <row r="209" spans="1:3" ht="30" customHeight="1" x14ac:dyDescent="0.25">
      <c r="A209" s="3">
        <v>46226</v>
      </c>
      <c r="B209" s="4">
        <v>77010</v>
      </c>
      <c r="C209" s="1" t="str">
        <f t="shared" ca="1" si="0"/>
        <v>Registrado</v>
      </c>
    </row>
    <row r="210" spans="1:3" ht="30" customHeight="1" x14ac:dyDescent="0.25">
      <c r="A210" s="3">
        <v>46227</v>
      </c>
      <c r="B210" s="4">
        <v>76860</v>
      </c>
      <c r="C210" s="1" t="str">
        <f t="shared" ca="1" si="0"/>
        <v>Registrado</v>
      </c>
    </row>
    <row r="211" spans="1:3" ht="30" customHeight="1" x14ac:dyDescent="0.25">
      <c r="A211" s="3">
        <v>46228</v>
      </c>
      <c r="B211" s="4"/>
      <c r="C211" s="1" t="str">
        <f t="shared" ca="1" si="0"/>
        <v>Sin dato</v>
      </c>
    </row>
    <row r="212" spans="1:3" ht="30" customHeight="1" x14ac:dyDescent="0.25">
      <c r="A212" s="3">
        <v>46229</v>
      </c>
      <c r="B212" s="4"/>
      <c r="C212" s="1" t="str">
        <f t="shared" ca="1" si="0"/>
        <v>Sin dato</v>
      </c>
    </row>
    <row r="213" spans="1:3" ht="30" customHeight="1" x14ac:dyDescent="0.25">
      <c r="A213" s="3">
        <v>46230</v>
      </c>
      <c r="B213" s="4">
        <v>83088</v>
      </c>
      <c r="C213" s="1" t="str">
        <f t="shared" ca="1" si="0"/>
        <v>Registrado</v>
      </c>
    </row>
    <row r="214" spans="1:3" ht="30" customHeight="1" x14ac:dyDescent="0.25">
      <c r="A214" s="3">
        <v>46231</v>
      </c>
      <c r="B214" s="4">
        <v>83266</v>
      </c>
      <c r="C214" s="1" t="str">
        <f t="shared" ca="1" si="0"/>
        <v>Registrado</v>
      </c>
    </row>
    <row r="215" spans="1:3" ht="30" customHeight="1" x14ac:dyDescent="0.25">
      <c r="A215" s="3">
        <v>46232</v>
      </c>
      <c r="B215" s="4">
        <v>83587</v>
      </c>
      <c r="C215" s="1" t="str">
        <f t="shared" ca="1" si="0"/>
        <v>Registrado</v>
      </c>
    </row>
    <row r="216" spans="1:3" ht="30" customHeight="1" x14ac:dyDescent="0.25">
      <c r="A216" s="3">
        <v>46233</v>
      </c>
      <c r="B216" s="4">
        <v>84016</v>
      </c>
      <c r="C216" s="1" t="str">
        <f t="shared" ca="1" si="0"/>
        <v>Registrado</v>
      </c>
    </row>
    <row r="217" spans="1:3" ht="30" customHeight="1" x14ac:dyDescent="0.25">
      <c r="A217" s="3">
        <v>46234</v>
      </c>
      <c r="B217" s="4">
        <v>83862</v>
      </c>
      <c r="C217" s="1" t="str">
        <f t="shared" ca="1" si="0"/>
        <v>Registrado</v>
      </c>
    </row>
    <row r="218" spans="1:3" ht="30" customHeight="1" x14ac:dyDescent="0.25">
      <c r="A218" s="3">
        <v>46235</v>
      </c>
      <c r="B218" s="4">
        <v>84272</v>
      </c>
      <c r="C218" s="1" t="str">
        <f t="shared" ca="1" si="0"/>
        <v>Fin semana</v>
      </c>
    </row>
    <row r="219" spans="1:3" ht="30" customHeight="1" x14ac:dyDescent="0.25">
      <c r="A219" s="3">
        <v>46236</v>
      </c>
      <c r="B219" s="4"/>
      <c r="C219" s="1" t="str">
        <f t="shared" ca="1" si="0"/>
        <v>Sin dato</v>
      </c>
    </row>
    <row r="220" spans="1:3" ht="30" customHeight="1" x14ac:dyDescent="0.25">
      <c r="A220" s="3">
        <v>46237</v>
      </c>
      <c r="B220" s="4">
        <v>84093</v>
      </c>
      <c r="C220" s="1" t="str">
        <f t="shared" ca="1" si="0"/>
        <v>Registrado</v>
      </c>
    </row>
    <row r="221" spans="1:3" ht="30" customHeight="1" x14ac:dyDescent="0.25">
      <c r="A221" s="3">
        <v>46238</v>
      </c>
      <c r="B221" s="4">
        <v>84595</v>
      </c>
      <c r="C221" s="1" t="str">
        <f t="shared" ca="1" si="0"/>
        <v>Registrado</v>
      </c>
    </row>
    <row r="222" spans="1:3" ht="30" customHeight="1" x14ac:dyDescent="0.25">
      <c r="A222" s="3">
        <v>46239</v>
      </c>
      <c r="B222" s="4">
        <v>84914</v>
      </c>
      <c r="C222" s="1" t="str">
        <f t="shared" ca="1" si="0"/>
        <v>Registrado</v>
      </c>
    </row>
    <row r="223" spans="1:3" ht="30" customHeight="1" x14ac:dyDescent="0.25">
      <c r="A223" s="3">
        <v>46240</v>
      </c>
      <c r="B223" s="4">
        <v>85738</v>
      </c>
      <c r="C223" s="1" t="str">
        <f t="shared" ca="1" si="0"/>
        <v>Registrado</v>
      </c>
    </row>
    <row r="224" spans="1:3" ht="30" customHeight="1" x14ac:dyDescent="0.25">
      <c r="A224" s="3">
        <v>46241</v>
      </c>
      <c r="B224" s="4">
        <v>85860</v>
      </c>
      <c r="C224" s="1" t="str">
        <f t="shared" ca="1" si="0"/>
        <v>Registrado</v>
      </c>
    </row>
    <row r="225" spans="1:3" ht="30" customHeight="1" x14ac:dyDescent="0.25">
      <c r="A225" s="3">
        <v>46242</v>
      </c>
      <c r="B225" s="4">
        <v>85957</v>
      </c>
      <c r="C225" s="1" t="str">
        <f t="shared" ca="1" si="0"/>
        <v>Fin semana</v>
      </c>
    </row>
    <row r="226" spans="1:3" ht="30" customHeight="1" x14ac:dyDescent="0.25">
      <c r="A226" s="3">
        <v>46243</v>
      </c>
      <c r="B226" s="4"/>
      <c r="C226" s="1" t="str">
        <f t="shared" ca="1" si="0"/>
        <v>Sin dato</v>
      </c>
    </row>
    <row r="227" spans="1:3" ht="30" customHeight="1" x14ac:dyDescent="0.25">
      <c r="A227" s="3">
        <v>46244</v>
      </c>
      <c r="B227" s="4">
        <v>86523</v>
      </c>
      <c r="C227" s="1" t="str">
        <f t="shared" ca="1" si="0"/>
        <v>Registrado</v>
      </c>
    </row>
    <row r="228" spans="1:3" ht="30" customHeight="1" x14ac:dyDescent="0.25">
      <c r="A228" s="3">
        <v>46245</v>
      </c>
      <c r="B228" s="4">
        <v>86759</v>
      </c>
      <c r="C228" s="1" t="str">
        <f t="shared" ca="1" si="0"/>
        <v>Registrado</v>
      </c>
    </row>
    <row r="229" spans="1:3" ht="30" customHeight="1" x14ac:dyDescent="0.25">
      <c r="A229" s="3">
        <v>46246</v>
      </c>
      <c r="B229" s="4">
        <v>87111</v>
      </c>
      <c r="C229" s="1" t="str">
        <f t="shared" ca="1" si="0"/>
        <v>Registrado</v>
      </c>
    </row>
    <row r="230" spans="1:3" ht="30" customHeight="1" x14ac:dyDescent="0.25">
      <c r="A230" s="3">
        <v>46247</v>
      </c>
      <c r="B230" s="4">
        <v>87041</v>
      </c>
      <c r="C230" s="1" t="str">
        <f t="shared" ca="1" si="0"/>
        <v>Registrado</v>
      </c>
    </row>
    <row r="231" spans="1:3" ht="30" customHeight="1" x14ac:dyDescent="0.25">
      <c r="A231" s="3">
        <v>46248</v>
      </c>
      <c r="B231" s="4">
        <v>86854</v>
      </c>
      <c r="C231" s="1" t="str">
        <f t="shared" ca="1" si="0"/>
        <v>Registrado</v>
      </c>
    </row>
    <row r="232" spans="1:3" ht="30" customHeight="1" x14ac:dyDescent="0.25">
      <c r="A232" s="3">
        <v>46249</v>
      </c>
      <c r="B232" s="4">
        <v>86771</v>
      </c>
      <c r="C232" s="1" t="str">
        <f t="shared" ca="1" si="0"/>
        <v>Fin semana</v>
      </c>
    </row>
    <row r="233" spans="1:3" ht="30" customHeight="1" x14ac:dyDescent="0.25">
      <c r="A233" s="3">
        <v>46250</v>
      </c>
      <c r="B233" s="4"/>
      <c r="C233" s="1" t="str">
        <f t="shared" ca="1" si="0"/>
        <v>Sin dato</v>
      </c>
    </row>
    <row r="234" spans="1:3" ht="30" customHeight="1" x14ac:dyDescent="0.25">
      <c r="A234" s="3">
        <v>46251</v>
      </c>
      <c r="B234" s="4">
        <v>86631</v>
      </c>
      <c r="C234" s="1" t="str">
        <f t="shared" ca="1" si="0"/>
        <v>Registrado</v>
      </c>
    </row>
    <row r="235" spans="1:3" ht="30" customHeight="1" x14ac:dyDescent="0.25">
      <c r="A235" s="3">
        <v>46252</v>
      </c>
      <c r="B235" s="4">
        <v>86146</v>
      </c>
      <c r="C235" s="1" t="str">
        <f t="shared" ca="1" si="0"/>
        <v>Registrado</v>
      </c>
    </row>
    <row r="236" spans="1:3" ht="30" customHeight="1" x14ac:dyDescent="0.25">
      <c r="A236" s="3">
        <v>46253</v>
      </c>
      <c r="B236" s="4">
        <v>85203</v>
      </c>
      <c r="C236" s="1" t="str">
        <f t="shared" ca="1" si="0"/>
        <v>Registrado</v>
      </c>
    </row>
    <row r="237" spans="1:3" ht="30" customHeight="1" x14ac:dyDescent="0.25">
      <c r="A237" s="3">
        <v>46254</v>
      </c>
      <c r="B237" s="4">
        <v>84628</v>
      </c>
      <c r="C237" s="1" t="str">
        <f t="shared" ca="1" si="0"/>
        <v>Registrado</v>
      </c>
    </row>
    <row r="238" spans="1:3" ht="30" customHeight="1" x14ac:dyDescent="0.25">
      <c r="A238" s="3">
        <v>46255</v>
      </c>
      <c r="B238" s="4">
        <v>84640</v>
      </c>
      <c r="C238" s="1" t="str">
        <f t="shared" ca="1" si="0"/>
        <v>Registrado</v>
      </c>
    </row>
    <row r="239" spans="1:3" ht="30" customHeight="1" x14ac:dyDescent="0.25">
      <c r="A239" s="3">
        <v>46256</v>
      </c>
      <c r="B239" s="4">
        <v>84847</v>
      </c>
      <c r="C239" s="1" t="str">
        <f t="shared" ca="1" si="0"/>
        <v>Fin semana</v>
      </c>
    </row>
    <row r="240" spans="1:3" ht="30" customHeight="1" x14ac:dyDescent="0.25">
      <c r="A240" s="3">
        <v>46257</v>
      </c>
      <c r="B240" s="4"/>
      <c r="C240" s="1" t="str">
        <f t="shared" ca="1" si="0"/>
        <v>Sin dato</v>
      </c>
    </row>
    <row r="241" spans="1:3" ht="30" customHeight="1" x14ac:dyDescent="0.25">
      <c r="A241" s="3">
        <v>46258</v>
      </c>
      <c r="B241" s="4">
        <v>84741</v>
      </c>
      <c r="C241" s="1" t="str">
        <f t="shared" ca="1" si="0"/>
        <v>Registrado</v>
      </c>
    </row>
    <row r="242" spans="1:3" ht="30" customHeight="1" x14ac:dyDescent="0.25">
      <c r="A242" s="3">
        <v>46259</v>
      </c>
      <c r="B242" s="4">
        <v>84802</v>
      </c>
      <c r="C242" s="1" t="str">
        <f t="shared" ca="1" si="0"/>
        <v>Registrado</v>
      </c>
    </row>
    <row r="243" spans="1:3" ht="30" customHeight="1" x14ac:dyDescent="0.25">
      <c r="A243" s="3">
        <v>46260</v>
      </c>
      <c r="B243" s="4">
        <v>85736</v>
      </c>
      <c r="C243" s="1" t="str">
        <f t="shared" ca="1" si="0"/>
        <v>Registrado</v>
      </c>
    </row>
    <row r="244" spans="1:3" ht="30" customHeight="1" x14ac:dyDescent="0.25">
      <c r="A244" s="3">
        <v>46261</v>
      </c>
      <c r="B244" s="4">
        <v>86036</v>
      </c>
      <c r="C244" s="1" t="str">
        <f t="shared" ca="1" si="0"/>
        <v>Registrado</v>
      </c>
    </row>
    <row r="245" spans="1:3" ht="30" customHeight="1" x14ac:dyDescent="0.25">
      <c r="A245" s="3">
        <v>46262</v>
      </c>
      <c r="B245" s="4">
        <v>86590</v>
      </c>
      <c r="C245" s="1" t="str">
        <f t="shared" ca="1" si="0"/>
        <v>Registrado</v>
      </c>
    </row>
    <row r="246" spans="1:3" ht="30" customHeight="1" x14ac:dyDescent="0.25">
      <c r="A246" s="3">
        <v>46263</v>
      </c>
      <c r="B246" s="4">
        <v>86623</v>
      </c>
      <c r="C246" s="1" t="str">
        <f t="shared" ca="1" si="0"/>
        <v>Fin semana</v>
      </c>
    </row>
    <row r="247" spans="1:3" ht="30" customHeight="1" x14ac:dyDescent="0.25">
      <c r="A247" s="3">
        <v>46264</v>
      </c>
      <c r="B247" s="4"/>
      <c r="C247" s="1" t="str">
        <f t="shared" ca="1" si="0"/>
        <v>Sin dato</v>
      </c>
    </row>
    <row r="248" spans="1:3" ht="30" customHeight="1" x14ac:dyDescent="0.25">
      <c r="A248" s="3">
        <v>46265</v>
      </c>
      <c r="B248" s="4">
        <v>86713</v>
      </c>
      <c r="C248" s="1" t="str">
        <f t="shared" ca="1" si="0"/>
        <v>Registrado</v>
      </c>
    </row>
    <row r="249" spans="1:3" ht="30" customHeight="1" x14ac:dyDescent="0.25">
      <c r="A249" s="3">
        <v>46266</v>
      </c>
      <c r="B249" s="4">
        <v>86471</v>
      </c>
      <c r="C249" s="1" t="str">
        <f t="shared" ca="1" si="0"/>
        <v>Registrado</v>
      </c>
    </row>
    <row r="250" spans="1:3" ht="30" customHeight="1" x14ac:dyDescent="0.25">
      <c r="A250" s="3">
        <v>46267</v>
      </c>
      <c r="B250" s="4">
        <v>86038</v>
      </c>
      <c r="C250" s="1" t="str">
        <f t="shared" ca="1" si="0"/>
        <v>Registrado</v>
      </c>
    </row>
    <row r="251" spans="1:3" ht="30" customHeight="1" x14ac:dyDescent="0.25">
      <c r="A251" s="3">
        <v>46268</v>
      </c>
      <c r="B251" s="4">
        <v>86042</v>
      </c>
      <c r="C251" s="1" t="str">
        <f t="shared" ca="1" si="0"/>
        <v>Registrado</v>
      </c>
    </row>
    <row r="252" spans="1:3" ht="30" customHeight="1" x14ac:dyDescent="0.25">
      <c r="A252" s="3">
        <v>46269</v>
      </c>
      <c r="B252" s="4">
        <v>86302</v>
      </c>
      <c r="C252" s="1" t="str">
        <f t="shared" ca="1" si="0"/>
        <v>Registrado</v>
      </c>
    </row>
    <row r="253" spans="1:3" ht="30" customHeight="1" x14ac:dyDescent="0.25">
      <c r="A253" s="3">
        <v>46270</v>
      </c>
      <c r="B253" s="4">
        <v>86361</v>
      </c>
      <c r="C253" s="1" t="str">
        <f t="shared" ca="1" si="0"/>
        <v>Fin semana</v>
      </c>
    </row>
    <row r="254" spans="1:3" ht="30" customHeight="1" x14ac:dyDescent="0.25">
      <c r="A254" s="3">
        <v>46271</v>
      </c>
      <c r="B254" s="4">
        <v>86371</v>
      </c>
      <c r="C254" s="1" t="str">
        <f t="shared" ca="1" si="0"/>
        <v>Fin semana</v>
      </c>
    </row>
    <row r="255" spans="1:3" ht="30" customHeight="1" x14ac:dyDescent="0.25">
      <c r="A255" s="3">
        <v>46272</v>
      </c>
      <c r="B255" s="4">
        <v>86256</v>
      </c>
      <c r="C255" s="1" t="str">
        <f t="shared" ca="1" si="0"/>
        <v>Registrado</v>
      </c>
    </row>
    <row r="256" spans="1:3" ht="30" customHeight="1" x14ac:dyDescent="0.25">
      <c r="A256" s="3">
        <v>46273</v>
      </c>
      <c r="B256" s="4">
        <v>86358</v>
      </c>
      <c r="C256" s="1" t="str">
        <f t="shared" ca="1" si="0"/>
        <v>Registrado</v>
      </c>
    </row>
    <row r="257" spans="1:3" ht="30" customHeight="1" x14ac:dyDescent="0.25">
      <c r="A257" s="3">
        <v>46274</v>
      </c>
      <c r="B257" s="4">
        <v>85913</v>
      </c>
      <c r="C257" s="1" t="str">
        <f t="shared" ca="1" si="0"/>
        <v>Registrado</v>
      </c>
    </row>
    <row r="258" spans="1:3" ht="30" customHeight="1" x14ac:dyDescent="0.25">
      <c r="A258" s="3">
        <v>46275</v>
      </c>
      <c r="B258" s="4">
        <v>85387</v>
      </c>
      <c r="C258" s="1" t="str">
        <f t="shared" ca="1" si="0"/>
        <v>Registrado</v>
      </c>
    </row>
    <row r="259" spans="1:3" ht="30" customHeight="1" x14ac:dyDescent="0.25">
      <c r="A259" s="3">
        <v>46276</v>
      </c>
      <c r="B259" s="4"/>
      <c r="C259" s="1" t="str">
        <f t="shared" ca="1" si="0"/>
        <v>Pendiente</v>
      </c>
    </row>
    <row r="260" spans="1:3" ht="30" customHeight="1" x14ac:dyDescent="0.25">
      <c r="A260" s="3">
        <v>46277</v>
      </c>
      <c r="B260" s="4"/>
      <c r="C260" s="1" t="str">
        <f t="shared" ca="1" si="0"/>
        <v>Pendiente</v>
      </c>
    </row>
    <row r="261" spans="1:3" ht="30" customHeight="1" x14ac:dyDescent="0.25">
      <c r="A261" s="3">
        <v>46278</v>
      </c>
      <c r="B261" s="4"/>
      <c r="C261" s="1" t="str">
        <f t="shared" ref="C261:C370" ca="1" si="1">IF(B261="",IF(A261&gt;TODAY(),"Pendiente","Sin dato"),IF(A261&gt;TODAY(),"Fecha futura",IF(OR(A261=DATE(2026,1,30),A261=DATE(2026,2,27),A261=DATE(2026,3,31),A261=DATE(2026,4,30),A261=DATE(2026,5,29),A261=DATE(2026,6,30)),"Histórico",IF(WEEKDAY(A261,2)&gt;5,"Fin semana","Registrado"))))</f>
        <v>Pendiente</v>
      </c>
    </row>
    <row r="262" spans="1:3" ht="30" customHeight="1" x14ac:dyDescent="0.25">
      <c r="A262" s="3">
        <v>46279</v>
      </c>
      <c r="B262" s="4"/>
      <c r="C262" s="1" t="str">
        <f t="shared" ca="1" si="1"/>
        <v>Pendiente</v>
      </c>
    </row>
    <row r="263" spans="1:3" ht="30" customHeight="1" x14ac:dyDescent="0.25">
      <c r="A263" s="3">
        <v>46280</v>
      </c>
      <c r="B263" s="4"/>
      <c r="C263" s="1" t="str">
        <f t="shared" ca="1" si="1"/>
        <v>Pendiente</v>
      </c>
    </row>
    <row r="264" spans="1:3" ht="30" customHeight="1" x14ac:dyDescent="0.25">
      <c r="A264" s="3">
        <v>46281</v>
      </c>
      <c r="B264" s="4"/>
      <c r="C264" s="1" t="str">
        <f t="shared" ca="1" si="1"/>
        <v>Pendiente</v>
      </c>
    </row>
    <row r="265" spans="1:3" ht="30" customHeight="1" x14ac:dyDescent="0.25">
      <c r="A265" s="3">
        <v>46282</v>
      </c>
      <c r="B265" s="4"/>
      <c r="C265" s="1" t="str">
        <f t="shared" ca="1" si="1"/>
        <v>Pendiente</v>
      </c>
    </row>
    <row r="266" spans="1:3" ht="30" customHeight="1" x14ac:dyDescent="0.25">
      <c r="A266" s="3">
        <v>46283</v>
      </c>
      <c r="B266" s="4"/>
      <c r="C266" s="1" t="str">
        <f t="shared" ca="1" si="1"/>
        <v>Pendiente</v>
      </c>
    </row>
    <row r="267" spans="1:3" ht="30" customHeight="1" x14ac:dyDescent="0.25">
      <c r="A267" s="3">
        <v>46284</v>
      </c>
      <c r="B267" s="4"/>
      <c r="C267" s="1" t="str">
        <f t="shared" ca="1" si="1"/>
        <v>Pendiente</v>
      </c>
    </row>
    <row r="268" spans="1:3" ht="30" customHeight="1" x14ac:dyDescent="0.25">
      <c r="A268" s="3">
        <v>46285</v>
      </c>
      <c r="B268" s="4"/>
      <c r="C268" s="1" t="str">
        <f t="shared" ca="1" si="1"/>
        <v>Pendiente</v>
      </c>
    </row>
    <row r="269" spans="1:3" ht="30" customHeight="1" x14ac:dyDescent="0.25">
      <c r="A269" s="3">
        <v>46286</v>
      </c>
      <c r="B269" s="4"/>
      <c r="C269" s="1" t="str">
        <f t="shared" ca="1" si="1"/>
        <v>Pendiente</v>
      </c>
    </row>
    <row r="270" spans="1:3" ht="30" customHeight="1" x14ac:dyDescent="0.25">
      <c r="A270" s="3">
        <v>46287</v>
      </c>
      <c r="B270" s="4"/>
      <c r="C270" s="1" t="str">
        <f t="shared" ca="1" si="1"/>
        <v>Pendiente</v>
      </c>
    </row>
    <row r="271" spans="1:3" ht="30" customHeight="1" x14ac:dyDescent="0.25">
      <c r="A271" s="3">
        <v>46288</v>
      </c>
      <c r="B271" s="4"/>
      <c r="C271" s="1" t="str">
        <f t="shared" ca="1" si="1"/>
        <v>Pendiente</v>
      </c>
    </row>
    <row r="272" spans="1:3" ht="30" customHeight="1" x14ac:dyDescent="0.25">
      <c r="A272" s="3">
        <v>46289</v>
      </c>
      <c r="B272" s="4"/>
      <c r="C272" s="1" t="str">
        <f t="shared" ca="1" si="1"/>
        <v>Pendiente</v>
      </c>
    </row>
    <row r="273" spans="1:3" ht="30" customHeight="1" x14ac:dyDescent="0.25">
      <c r="A273" s="3">
        <v>46290</v>
      </c>
      <c r="B273" s="4"/>
      <c r="C273" s="1" t="str">
        <f t="shared" ca="1" si="1"/>
        <v>Pendiente</v>
      </c>
    </row>
    <row r="274" spans="1:3" ht="30" customHeight="1" x14ac:dyDescent="0.25">
      <c r="A274" s="3">
        <v>46291</v>
      </c>
      <c r="B274" s="4"/>
      <c r="C274" s="1" t="str">
        <f t="shared" ca="1" si="1"/>
        <v>Pendiente</v>
      </c>
    </row>
    <row r="275" spans="1:3" ht="30" customHeight="1" x14ac:dyDescent="0.25">
      <c r="A275" s="3">
        <v>46292</v>
      </c>
      <c r="B275" s="4"/>
      <c r="C275" s="1" t="str">
        <f t="shared" ca="1" si="1"/>
        <v>Pendiente</v>
      </c>
    </row>
    <row r="276" spans="1:3" ht="30" customHeight="1" x14ac:dyDescent="0.25">
      <c r="A276" s="3">
        <v>46293</v>
      </c>
      <c r="B276" s="4"/>
      <c r="C276" s="1" t="str">
        <f t="shared" ca="1" si="1"/>
        <v>Pendiente</v>
      </c>
    </row>
    <row r="277" spans="1:3" ht="30" customHeight="1" x14ac:dyDescent="0.25">
      <c r="A277" s="3">
        <v>46294</v>
      </c>
      <c r="B277" s="4"/>
      <c r="C277" s="1" t="str">
        <f t="shared" ca="1" si="1"/>
        <v>Pendiente</v>
      </c>
    </row>
    <row r="278" spans="1:3" ht="30" customHeight="1" x14ac:dyDescent="0.25">
      <c r="A278" s="3">
        <v>46295</v>
      </c>
      <c r="B278" s="4"/>
      <c r="C278" s="1" t="str">
        <f t="shared" ca="1" si="1"/>
        <v>Pendiente</v>
      </c>
    </row>
    <row r="279" spans="1:3" ht="30" customHeight="1" x14ac:dyDescent="0.25">
      <c r="A279" s="3">
        <v>46296</v>
      </c>
      <c r="B279" s="4"/>
      <c r="C279" s="1" t="str">
        <f t="shared" ca="1" si="1"/>
        <v>Pendiente</v>
      </c>
    </row>
    <row r="280" spans="1:3" ht="30" customHeight="1" x14ac:dyDescent="0.25">
      <c r="A280" s="3">
        <v>46297</v>
      </c>
      <c r="B280" s="4"/>
      <c r="C280" s="1" t="str">
        <f t="shared" ca="1" si="1"/>
        <v>Pendiente</v>
      </c>
    </row>
    <row r="281" spans="1:3" ht="30" customHeight="1" x14ac:dyDescent="0.25">
      <c r="A281" s="3">
        <v>46298</v>
      </c>
      <c r="B281" s="4"/>
      <c r="C281" s="1" t="str">
        <f t="shared" ca="1" si="1"/>
        <v>Pendiente</v>
      </c>
    </row>
    <row r="282" spans="1:3" ht="30" customHeight="1" x14ac:dyDescent="0.25">
      <c r="A282" s="3">
        <v>46299</v>
      </c>
      <c r="B282" s="4"/>
      <c r="C282" s="1" t="str">
        <f t="shared" ca="1" si="1"/>
        <v>Pendiente</v>
      </c>
    </row>
    <row r="283" spans="1:3" ht="30" customHeight="1" x14ac:dyDescent="0.25">
      <c r="A283" s="3">
        <v>46300</v>
      </c>
      <c r="B283" s="4"/>
      <c r="C283" s="1" t="str">
        <f t="shared" ca="1" si="1"/>
        <v>Pendiente</v>
      </c>
    </row>
    <row r="284" spans="1:3" ht="30" customHeight="1" x14ac:dyDescent="0.25">
      <c r="A284" s="3">
        <v>46301</v>
      </c>
      <c r="B284" s="4"/>
      <c r="C284" s="1" t="str">
        <f t="shared" ca="1" si="1"/>
        <v>Pendiente</v>
      </c>
    </row>
    <row r="285" spans="1:3" ht="30" customHeight="1" x14ac:dyDescent="0.25">
      <c r="A285" s="3">
        <v>46302</v>
      </c>
      <c r="B285" s="4"/>
      <c r="C285" s="1" t="str">
        <f t="shared" ca="1" si="1"/>
        <v>Pendiente</v>
      </c>
    </row>
    <row r="286" spans="1:3" ht="30" customHeight="1" x14ac:dyDescent="0.25">
      <c r="A286" s="3">
        <v>46303</v>
      </c>
      <c r="B286" s="4"/>
      <c r="C286" s="1" t="str">
        <f t="shared" ca="1" si="1"/>
        <v>Pendiente</v>
      </c>
    </row>
    <row r="287" spans="1:3" ht="30" customHeight="1" x14ac:dyDescent="0.25">
      <c r="A287" s="3">
        <v>46304</v>
      </c>
      <c r="B287" s="4"/>
      <c r="C287" s="1" t="str">
        <f t="shared" ca="1" si="1"/>
        <v>Pendiente</v>
      </c>
    </row>
    <row r="288" spans="1:3" ht="30" customHeight="1" x14ac:dyDescent="0.25">
      <c r="A288" s="3">
        <v>46305</v>
      </c>
      <c r="B288" s="4"/>
      <c r="C288" s="1" t="str">
        <f t="shared" ca="1" si="1"/>
        <v>Pendiente</v>
      </c>
    </row>
    <row r="289" spans="1:3" ht="30" customHeight="1" x14ac:dyDescent="0.25">
      <c r="A289" s="3">
        <v>46306</v>
      </c>
      <c r="B289" s="4"/>
      <c r="C289" s="1" t="str">
        <f t="shared" ca="1" si="1"/>
        <v>Pendiente</v>
      </c>
    </row>
    <row r="290" spans="1:3" ht="30" customHeight="1" x14ac:dyDescent="0.25">
      <c r="A290" s="3">
        <v>46307</v>
      </c>
      <c r="B290" s="4"/>
      <c r="C290" s="1" t="str">
        <f t="shared" ca="1" si="1"/>
        <v>Pendiente</v>
      </c>
    </row>
    <row r="291" spans="1:3" ht="30" customHeight="1" x14ac:dyDescent="0.25">
      <c r="A291" s="3">
        <v>46308</v>
      </c>
      <c r="B291" s="4"/>
      <c r="C291" s="1" t="str">
        <f t="shared" ca="1" si="1"/>
        <v>Pendiente</v>
      </c>
    </row>
    <row r="292" spans="1:3" ht="30" customHeight="1" x14ac:dyDescent="0.25">
      <c r="A292" s="3">
        <v>46309</v>
      </c>
      <c r="B292" s="4"/>
      <c r="C292" s="1" t="str">
        <f t="shared" ca="1" si="1"/>
        <v>Pendiente</v>
      </c>
    </row>
    <row r="293" spans="1:3" ht="30" customHeight="1" x14ac:dyDescent="0.25">
      <c r="A293" s="3">
        <v>46310</v>
      </c>
      <c r="B293" s="4"/>
      <c r="C293" s="1" t="str">
        <f t="shared" ca="1" si="1"/>
        <v>Pendiente</v>
      </c>
    </row>
    <row r="294" spans="1:3" ht="30" customHeight="1" x14ac:dyDescent="0.25">
      <c r="A294" s="3">
        <v>46311</v>
      </c>
      <c r="B294" s="4"/>
      <c r="C294" s="1" t="str">
        <f t="shared" ca="1" si="1"/>
        <v>Pendiente</v>
      </c>
    </row>
    <row r="295" spans="1:3" ht="30" customHeight="1" x14ac:dyDescent="0.25">
      <c r="A295" s="3">
        <v>46312</v>
      </c>
      <c r="B295" s="4"/>
      <c r="C295" s="1" t="str">
        <f t="shared" ca="1" si="1"/>
        <v>Pendiente</v>
      </c>
    </row>
    <row r="296" spans="1:3" ht="30" customHeight="1" x14ac:dyDescent="0.25">
      <c r="A296" s="3">
        <v>46313</v>
      </c>
      <c r="B296" s="4"/>
      <c r="C296" s="1" t="str">
        <f t="shared" ca="1" si="1"/>
        <v>Pendiente</v>
      </c>
    </row>
    <row r="297" spans="1:3" ht="30" customHeight="1" x14ac:dyDescent="0.25">
      <c r="A297" s="3">
        <v>46314</v>
      </c>
      <c r="B297" s="4"/>
      <c r="C297" s="1" t="str">
        <f t="shared" ca="1" si="1"/>
        <v>Pendiente</v>
      </c>
    </row>
    <row r="298" spans="1:3" ht="30" customHeight="1" x14ac:dyDescent="0.25">
      <c r="A298" s="3">
        <v>46315</v>
      </c>
      <c r="B298" s="4"/>
      <c r="C298" s="1" t="str">
        <f t="shared" ca="1" si="1"/>
        <v>Pendiente</v>
      </c>
    </row>
    <row r="299" spans="1:3" ht="30" customHeight="1" x14ac:dyDescent="0.25">
      <c r="A299" s="3">
        <v>46316</v>
      </c>
      <c r="B299" s="4"/>
      <c r="C299" s="1" t="str">
        <f t="shared" ca="1" si="1"/>
        <v>Pendiente</v>
      </c>
    </row>
    <row r="300" spans="1:3" ht="30" customHeight="1" x14ac:dyDescent="0.25">
      <c r="A300" s="3">
        <v>46317</v>
      </c>
      <c r="B300" s="4"/>
      <c r="C300" s="1" t="str">
        <f t="shared" ca="1" si="1"/>
        <v>Pendiente</v>
      </c>
    </row>
    <row r="301" spans="1:3" ht="30" customHeight="1" x14ac:dyDescent="0.25">
      <c r="A301" s="3">
        <v>46318</v>
      </c>
      <c r="B301" s="4"/>
      <c r="C301" s="1" t="str">
        <f t="shared" ca="1" si="1"/>
        <v>Pendiente</v>
      </c>
    </row>
    <row r="302" spans="1:3" ht="30" customHeight="1" x14ac:dyDescent="0.25">
      <c r="A302" s="3">
        <v>46319</v>
      </c>
      <c r="B302" s="4"/>
      <c r="C302" s="1" t="str">
        <f t="shared" ca="1" si="1"/>
        <v>Pendiente</v>
      </c>
    </row>
    <row r="303" spans="1:3" ht="30" customHeight="1" x14ac:dyDescent="0.25">
      <c r="A303" s="3">
        <v>46320</v>
      </c>
      <c r="B303" s="4"/>
      <c r="C303" s="1" t="str">
        <f t="shared" ca="1" si="1"/>
        <v>Pendiente</v>
      </c>
    </row>
    <row r="304" spans="1:3" ht="30" customHeight="1" x14ac:dyDescent="0.25">
      <c r="A304" s="3">
        <v>46321</v>
      </c>
      <c r="B304" s="4"/>
      <c r="C304" s="1" t="str">
        <f t="shared" ca="1" si="1"/>
        <v>Pendiente</v>
      </c>
    </row>
    <row r="305" spans="1:3" ht="30" customHeight="1" x14ac:dyDescent="0.25">
      <c r="A305" s="3">
        <v>46322</v>
      </c>
      <c r="B305" s="4"/>
      <c r="C305" s="1" t="str">
        <f t="shared" ca="1" si="1"/>
        <v>Pendiente</v>
      </c>
    </row>
    <row r="306" spans="1:3" ht="30" customHeight="1" x14ac:dyDescent="0.25">
      <c r="A306" s="3">
        <v>46323</v>
      </c>
      <c r="B306" s="4"/>
      <c r="C306" s="1" t="str">
        <f t="shared" ca="1" si="1"/>
        <v>Pendiente</v>
      </c>
    </row>
    <row r="307" spans="1:3" ht="30" customHeight="1" x14ac:dyDescent="0.25">
      <c r="A307" s="3">
        <v>46324</v>
      </c>
      <c r="B307" s="4"/>
      <c r="C307" s="1" t="str">
        <f t="shared" ca="1" si="1"/>
        <v>Pendiente</v>
      </c>
    </row>
    <row r="308" spans="1:3" ht="30" customHeight="1" x14ac:dyDescent="0.25">
      <c r="A308" s="3">
        <v>46325</v>
      </c>
      <c r="B308" s="4"/>
      <c r="C308" s="1" t="str">
        <f t="shared" ca="1" si="1"/>
        <v>Pendiente</v>
      </c>
    </row>
    <row r="309" spans="1:3" ht="30" customHeight="1" x14ac:dyDescent="0.25">
      <c r="A309" s="3">
        <v>46326</v>
      </c>
      <c r="B309" s="4"/>
      <c r="C309" s="1" t="str">
        <f t="shared" ca="1" si="1"/>
        <v>Pendiente</v>
      </c>
    </row>
    <row r="310" spans="1:3" ht="30" customHeight="1" x14ac:dyDescent="0.25">
      <c r="A310" s="3">
        <v>46327</v>
      </c>
      <c r="B310" s="4"/>
      <c r="C310" s="1" t="str">
        <f t="shared" ca="1" si="1"/>
        <v>Pendiente</v>
      </c>
    </row>
    <row r="311" spans="1:3" ht="30" customHeight="1" x14ac:dyDescent="0.25">
      <c r="A311" s="3">
        <v>46328</v>
      </c>
      <c r="B311" s="4"/>
      <c r="C311" s="1" t="str">
        <f t="shared" ca="1" si="1"/>
        <v>Pendiente</v>
      </c>
    </row>
    <row r="312" spans="1:3" ht="30" customHeight="1" x14ac:dyDescent="0.25">
      <c r="A312" s="3">
        <v>46329</v>
      </c>
      <c r="B312" s="4"/>
      <c r="C312" s="1" t="str">
        <f t="shared" ca="1" si="1"/>
        <v>Pendiente</v>
      </c>
    </row>
    <row r="313" spans="1:3" ht="30" customHeight="1" x14ac:dyDescent="0.25">
      <c r="A313" s="3">
        <v>46330</v>
      </c>
      <c r="B313" s="4"/>
      <c r="C313" s="1" t="str">
        <f t="shared" ca="1" si="1"/>
        <v>Pendiente</v>
      </c>
    </row>
    <row r="314" spans="1:3" ht="30" customHeight="1" x14ac:dyDescent="0.25">
      <c r="A314" s="3">
        <v>46331</v>
      </c>
      <c r="B314" s="4"/>
      <c r="C314" s="1" t="str">
        <f t="shared" ca="1" si="1"/>
        <v>Pendiente</v>
      </c>
    </row>
    <row r="315" spans="1:3" ht="30" customHeight="1" x14ac:dyDescent="0.25">
      <c r="A315" s="3">
        <v>46332</v>
      </c>
      <c r="B315" s="4"/>
      <c r="C315" s="1" t="str">
        <f t="shared" ca="1" si="1"/>
        <v>Pendiente</v>
      </c>
    </row>
    <row r="316" spans="1:3" ht="30" customHeight="1" x14ac:dyDescent="0.25">
      <c r="A316" s="3">
        <v>46333</v>
      </c>
      <c r="B316" s="4"/>
      <c r="C316" s="1" t="str">
        <f t="shared" ca="1" si="1"/>
        <v>Pendiente</v>
      </c>
    </row>
    <row r="317" spans="1:3" ht="30" customHeight="1" x14ac:dyDescent="0.25">
      <c r="A317" s="3">
        <v>46334</v>
      </c>
      <c r="B317" s="4"/>
      <c r="C317" s="1" t="str">
        <f t="shared" ca="1" si="1"/>
        <v>Pendiente</v>
      </c>
    </row>
    <row r="318" spans="1:3" ht="30" customHeight="1" x14ac:dyDescent="0.25">
      <c r="A318" s="3">
        <v>46335</v>
      </c>
      <c r="B318" s="4"/>
      <c r="C318" s="1" t="str">
        <f t="shared" ca="1" si="1"/>
        <v>Pendiente</v>
      </c>
    </row>
    <row r="319" spans="1:3" ht="30" customHeight="1" x14ac:dyDescent="0.25">
      <c r="A319" s="3">
        <v>46336</v>
      </c>
      <c r="B319" s="4"/>
      <c r="C319" s="1" t="str">
        <f t="shared" ca="1" si="1"/>
        <v>Pendiente</v>
      </c>
    </row>
    <row r="320" spans="1:3" ht="30" customHeight="1" x14ac:dyDescent="0.25">
      <c r="A320" s="3">
        <v>46337</v>
      </c>
      <c r="B320" s="4"/>
      <c r="C320" s="1" t="str">
        <f t="shared" ca="1" si="1"/>
        <v>Pendiente</v>
      </c>
    </row>
    <row r="321" spans="1:3" ht="30" customHeight="1" x14ac:dyDescent="0.25">
      <c r="A321" s="3">
        <v>46338</v>
      </c>
      <c r="B321" s="4"/>
      <c r="C321" s="1" t="str">
        <f t="shared" ca="1" si="1"/>
        <v>Pendiente</v>
      </c>
    </row>
    <row r="322" spans="1:3" ht="30" customHeight="1" x14ac:dyDescent="0.25">
      <c r="A322" s="3">
        <v>46339</v>
      </c>
      <c r="B322" s="4"/>
      <c r="C322" s="1" t="str">
        <f t="shared" ca="1" si="1"/>
        <v>Pendiente</v>
      </c>
    </row>
    <row r="323" spans="1:3" ht="30" customHeight="1" x14ac:dyDescent="0.25">
      <c r="A323" s="3">
        <v>46340</v>
      </c>
      <c r="B323" s="4"/>
      <c r="C323" s="1" t="str">
        <f t="shared" ca="1" si="1"/>
        <v>Pendiente</v>
      </c>
    </row>
    <row r="324" spans="1:3" ht="30" customHeight="1" x14ac:dyDescent="0.25">
      <c r="A324" s="3">
        <v>46341</v>
      </c>
      <c r="B324" s="4"/>
      <c r="C324" s="1" t="str">
        <f t="shared" ca="1" si="1"/>
        <v>Pendiente</v>
      </c>
    </row>
    <row r="325" spans="1:3" ht="30" customHeight="1" x14ac:dyDescent="0.25">
      <c r="A325" s="3">
        <v>46342</v>
      </c>
      <c r="B325" s="4"/>
      <c r="C325" s="1" t="str">
        <f t="shared" ca="1" si="1"/>
        <v>Pendiente</v>
      </c>
    </row>
    <row r="326" spans="1:3" ht="30" customHeight="1" x14ac:dyDescent="0.25">
      <c r="A326" s="3">
        <v>46343</v>
      </c>
      <c r="B326" s="4"/>
      <c r="C326" s="1" t="str">
        <f t="shared" ca="1" si="1"/>
        <v>Pendiente</v>
      </c>
    </row>
    <row r="327" spans="1:3" ht="30" customHeight="1" x14ac:dyDescent="0.25">
      <c r="A327" s="3">
        <v>46344</v>
      </c>
      <c r="B327" s="4"/>
      <c r="C327" s="1" t="str">
        <f t="shared" ca="1" si="1"/>
        <v>Pendiente</v>
      </c>
    </row>
    <row r="328" spans="1:3" ht="30" customHeight="1" x14ac:dyDescent="0.25">
      <c r="A328" s="3">
        <v>46345</v>
      </c>
      <c r="B328" s="4"/>
      <c r="C328" s="1" t="str">
        <f t="shared" ca="1" si="1"/>
        <v>Pendiente</v>
      </c>
    </row>
    <row r="329" spans="1:3" ht="30" customHeight="1" x14ac:dyDescent="0.25">
      <c r="A329" s="3">
        <v>46346</v>
      </c>
      <c r="B329" s="4"/>
      <c r="C329" s="1" t="str">
        <f t="shared" ca="1" si="1"/>
        <v>Pendiente</v>
      </c>
    </row>
    <row r="330" spans="1:3" ht="30" customHeight="1" x14ac:dyDescent="0.25">
      <c r="A330" s="3">
        <v>46347</v>
      </c>
      <c r="B330" s="4"/>
      <c r="C330" s="1" t="str">
        <f t="shared" ca="1" si="1"/>
        <v>Pendiente</v>
      </c>
    </row>
    <row r="331" spans="1:3" ht="30" customHeight="1" x14ac:dyDescent="0.25">
      <c r="A331" s="3">
        <v>46348</v>
      </c>
      <c r="B331" s="4"/>
      <c r="C331" s="1" t="str">
        <f t="shared" ca="1" si="1"/>
        <v>Pendiente</v>
      </c>
    </row>
    <row r="332" spans="1:3" ht="30" customHeight="1" x14ac:dyDescent="0.25">
      <c r="A332" s="3">
        <v>46349</v>
      </c>
      <c r="B332" s="4"/>
      <c r="C332" s="1" t="str">
        <f t="shared" ca="1" si="1"/>
        <v>Pendiente</v>
      </c>
    </row>
    <row r="333" spans="1:3" ht="30" customHeight="1" x14ac:dyDescent="0.25">
      <c r="A333" s="3">
        <v>46350</v>
      </c>
      <c r="B333" s="4"/>
      <c r="C333" s="1" t="str">
        <f t="shared" ca="1" si="1"/>
        <v>Pendiente</v>
      </c>
    </row>
    <row r="334" spans="1:3" ht="30" customHeight="1" x14ac:dyDescent="0.25">
      <c r="A334" s="3">
        <v>46351</v>
      </c>
      <c r="B334" s="4"/>
      <c r="C334" s="1" t="str">
        <f t="shared" ca="1" si="1"/>
        <v>Pendiente</v>
      </c>
    </row>
    <row r="335" spans="1:3" ht="30" customHeight="1" x14ac:dyDescent="0.25">
      <c r="A335" s="3">
        <v>46352</v>
      </c>
      <c r="B335" s="4"/>
      <c r="C335" s="1" t="str">
        <f t="shared" ca="1" si="1"/>
        <v>Pendiente</v>
      </c>
    </row>
    <row r="336" spans="1:3" ht="30" customHeight="1" x14ac:dyDescent="0.25">
      <c r="A336" s="3">
        <v>46353</v>
      </c>
      <c r="B336" s="4"/>
      <c r="C336" s="1" t="str">
        <f t="shared" ca="1" si="1"/>
        <v>Pendiente</v>
      </c>
    </row>
    <row r="337" spans="1:3" ht="30" customHeight="1" x14ac:dyDescent="0.25">
      <c r="A337" s="3">
        <v>46354</v>
      </c>
      <c r="B337" s="4"/>
      <c r="C337" s="1" t="str">
        <f t="shared" ca="1" si="1"/>
        <v>Pendiente</v>
      </c>
    </row>
    <row r="338" spans="1:3" ht="30" customHeight="1" x14ac:dyDescent="0.25">
      <c r="A338" s="3">
        <v>46355</v>
      </c>
      <c r="B338" s="4"/>
      <c r="C338" s="1" t="str">
        <f t="shared" ca="1" si="1"/>
        <v>Pendiente</v>
      </c>
    </row>
    <row r="339" spans="1:3" ht="30" customHeight="1" x14ac:dyDescent="0.25">
      <c r="A339" s="3">
        <v>46356</v>
      </c>
      <c r="B339" s="4"/>
      <c r="C339" s="1" t="str">
        <f t="shared" ca="1" si="1"/>
        <v>Pendiente</v>
      </c>
    </row>
    <row r="340" spans="1:3" ht="30" customHeight="1" x14ac:dyDescent="0.25">
      <c r="A340" s="3">
        <v>46357</v>
      </c>
      <c r="B340" s="4"/>
      <c r="C340" s="1" t="str">
        <f t="shared" ca="1" si="1"/>
        <v>Pendiente</v>
      </c>
    </row>
    <row r="341" spans="1:3" ht="30" customHeight="1" x14ac:dyDescent="0.25">
      <c r="A341" s="3">
        <v>46358</v>
      </c>
      <c r="B341" s="4"/>
      <c r="C341" s="1" t="str">
        <f t="shared" ca="1" si="1"/>
        <v>Pendiente</v>
      </c>
    </row>
    <row r="342" spans="1:3" ht="30" customHeight="1" x14ac:dyDescent="0.25">
      <c r="A342" s="3">
        <v>46359</v>
      </c>
      <c r="B342" s="4"/>
      <c r="C342" s="1" t="str">
        <f t="shared" ca="1" si="1"/>
        <v>Pendiente</v>
      </c>
    </row>
    <row r="343" spans="1:3" ht="30" customHeight="1" x14ac:dyDescent="0.25">
      <c r="A343" s="3">
        <v>46360</v>
      </c>
      <c r="B343" s="4"/>
      <c r="C343" s="1" t="str">
        <f t="shared" ca="1" si="1"/>
        <v>Pendiente</v>
      </c>
    </row>
    <row r="344" spans="1:3" ht="30" customHeight="1" x14ac:dyDescent="0.25">
      <c r="A344" s="3">
        <v>46361</v>
      </c>
      <c r="B344" s="4"/>
      <c r="C344" s="1" t="str">
        <f t="shared" ca="1" si="1"/>
        <v>Pendiente</v>
      </c>
    </row>
    <row r="345" spans="1:3" ht="30" customHeight="1" x14ac:dyDescent="0.25">
      <c r="A345" s="3">
        <v>46362</v>
      </c>
      <c r="B345" s="4"/>
      <c r="C345" s="1" t="str">
        <f t="shared" ca="1" si="1"/>
        <v>Pendiente</v>
      </c>
    </row>
    <row r="346" spans="1:3" ht="30" customHeight="1" x14ac:dyDescent="0.25">
      <c r="A346" s="3">
        <v>46363</v>
      </c>
      <c r="B346" s="4"/>
      <c r="C346" s="1" t="str">
        <f t="shared" ca="1" si="1"/>
        <v>Pendiente</v>
      </c>
    </row>
    <row r="347" spans="1:3" ht="30" customHeight="1" x14ac:dyDescent="0.25">
      <c r="A347" s="3">
        <v>46364</v>
      </c>
      <c r="B347" s="4"/>
      <c r="C347" s="1" t="str">
        <f t="shared" ca="1" si="1"/>
        <v>Pendiente</v>
      </c>
    </row>
    <row r="348" spans="1:3" ht="30" customHeight="1" x14ac:dyDescent="0.25">
      <c r="A348" s="3">
        <v>46365</v>
      </c>
      <c r="B348" s="4"/>
      <c r="C348" s="1" t="str">
        <f t="shared" ca="1" si="1"/>
        <v>Pendiente</v>
      </c>
    </row>
    <row r="349" spans="1:3" ht="30" customHeight="1" x14ac:dyDescent="0.25">
      <c r="A349" s="3">
        <v>46366</v>
      </c>
      <c r="B349" s="4"/>
      <c r="C349" s="1" t="str">
        <f t="shared" ca="1" si="1"/>
        <v>Pendiente</v>
      </c>
    </row>
    <row r="350" spans="1:3" ht="30" customHeight="1" x14ac:dyDescent="0.25">
      <c r="A350" s="3">
        <v>46367</v>
      </c>
      <c r="B350" s="4"/>
      <c r="C350" s="1" t="str">
        <f t="shared" ca="1" si="1"/>
        <v>Pendiente</v>
      </c>
    </row>
    <row r="351" spans="1:3" ht="30" customHeight="1" x14ac:dyDescent="0.25">
      <c r="A351" s="3">
        <v>46368</v>
      </c>
      <c r="B351" s="4"/>
      <c r="C351" s="1" t="str">
        <f t="shared" ca="1" si="1"/>
        <v>Pendiente</v>
      </c>
    </row>
    <row r="352" spans="1:3" ht="30" customHeight="1" x14ac:dyDescent="0.25">
      <c r="A352" s="3">
        <v>46369</v>
      </c>
      <c r="B352" s="4"/>
      <c r="C352" s="1" t="str">
        <f t="shared" ca="1" si="1"/>
        <v>Pendiente</v>
      </c>
    </row>
    <row r="353" spans="1:3" ht="30" customHeight="1" x14ac:dyDescent="0.25">
      <c r="A353" s="3">
        <v>46370</v>
      </c>
      <c r="B353" s="4"/>
      <c r="C353" s="1" t="str">
        <f t="shared" ca="1" si="1"/>
        <v>Pendiente</v>
      </c>
    </row>
    <row r="354" spans="1:3" ht="30" customHeight="1" x14ac:dyDescent="0.25">
      <c r="A354" s="3">
        <v>46371</v>
      </c>
      <c r="B354" s="4"/>
      <c r="C354" s="1" t="str">
        <f t="shared" ca="1" si="1"/>
        <v>Pendiente</v>
      </c>
    </row>
    <row r="355" spans="1:3" ht="30" customHeight="1" x14ac:dyDescent="0.25">
      <c r="A355" s="3">
        <v>46372</v>
      </c>
      <c r="B355" s="4"/>
      <c r="C355" s="1" t="str">
        <f t="shared" ca="1" si="1"/>
        <v>Pendiente</v>
      </c>
    </row>
    <row r="356" spans="1:3" ht="30" customHeight="1" x14ac:dyDescent="0.25">
      <c r="A356" s="3">
        <v>46373</v>
      </c>
      <c r="B356" s="4"/>
      <c r="C356" s="1" t="str">
        <f t="shared" ca="1" si="1"/>
        <v>Pendiente</v>
      </c>
    </row>
    <row r="357" spans="1:3" ht="30" customHeight="1" x14ac:dyDescent="0.25">
      <c r="A357" s="3">
        <v>46374</v>
      </c>
      <c r="B357" s="4"/>
      <c r="C357" s="1" t="str">
        <f t="shared" ca="1" si="1"/>
        <v>Pendiente</v>
      </c>
    </row>
    <row r="358" spans="1:3" ht="30" customHeight="1" x14ac:dyDescent="0.25">
      <c r="A358" s="3">
        <v>46375</v>
      </c>
      <c r="B358" s="4"/>
      <c r="C358" s="1" t="str">
        <f t="shared" ca="1" si="1"/>
        <v>Pendiente</v>
      </c>
    </row>
    <row r="359" spans="1:3" ht="30" customHeight="1" x14ac:dyDescent="0.25">
      <c r="A359" s="3">
        <v>46376</v>
      </c>
      <c r="B359" s="4"/>
      <c r="C359" s="1" t="str">
        <f t="shared" ca="1" si="1"/>
        <v>Pendiente</v>
      </c>
    </row>
    <row r="360" spans="1:3" ht="30" customHeight="1" x14ac:dyDescent="0.25">
      <c r="A360" s="3">
        <v>46377</v>
      </c>
      <c r="B360" s="4"/>
      <c r="C360" s="1" t="str">
        <f t="shared" ca="1" si="1"/>
        <v>Pendiente</v>
      </c>
    </row>
    <row r="361" spans="1:3" ht="30" customHeight="1" x14ac:dyDescent="0.25">
      <c r="A361" s="3">
        <v>46378</v>
      </c>
      <c r="B361" s="4"/>
      <c r="C361" s="1" t="str">
        <f t="shared" ca="1" si="1"/>
        <v>Pendiente</v>
      </c>
    </row>
    <row r="362" spans="1:3" ht="30" customHeight="1" x14ac:dyDescent="0.25">
      <c r="A362" s="3">
        <v>46379</v>
      </c>
      <c r="B362" s="4"/>
      <c r="C362" s="1" t="str">
        <f t="shared" ca="1" si="1"/>
        <v>Pendiente</v>
      </c>
    </row>
    <row r="363" spans="1:3" ht="30" customHeight="1" x14ac:dyDescent="0.25">
      <c r="A363" s="3">
        <v>46380</v>
      </c>
      <c r="B363" s="4"/>
      <c r="C363" s="1" t="str">
        <f t="shared" ca="1" si="1"/>
        <v>Pendiente</v>
      </c>
    </row>
    <row r="364" spans="1:3" ht="30" customHeight="1" x14ac:dyDescent="0.25">
      <c r="A364" s="3">
        <v>46381</v>
      </c>
      <c r="B364" s="4"/>
      <c r="C364" s="1" t="str">
        <f t="shared" ca="1" si="1"/>
        <v>Pendiente</v>
      </c>
    </row>
    <row r="365" spans="1:3" ht="30" customHeight="1" x14ac:dyDescent="0.25">
      <c r="A365" s="3">
        <v>46382</v>
      </c>
      <c r="B365" s="4"/>
      <c r="C365" s="1" t="str">
        <f t="shared" ca="1" si="1"/>
        <v>Pendiente</v>
      </c>
    </row>
    <row r="366" spans="1:3" ht="30" customHeight="1" x14ac:dyDescent="0.25">
      <c r="A366" s="3">
        <v>46383</v>
      </c>
      <c r="B366" s="4"/>
      <c r="C366" s="1" t="str">
        <f t="shared" ca="1" si="1"/>
        <v>Pendiente</v>
      </c>
    </row>
    <row r="367" spans="1:3" ht="30" customHeight="1" x14ac:dyDescent="0.25">
      <c r="A367" s="3">
        <v>46384</v>
      </c>
      <c r="B367" s="4"/>
      <c r="C367" s="1" t="str">
        <f t="shared" ca="1" si="1"/>
        <v>Pendiente</v>
      </c>
    </row>
    <row r="368" spans="1:3" ht="30" customHeight="1" x14ac:dyDescent="0.25">
      <c r="A368" s="3">
        <v>46385</v>
      </c>
      <c r="B368" s="4"/>
      <c r="C368" s="1" t="str">
        <f t="shared" ca="1" si="1"/>
        <v>Pendiente</v>
      </c>
    </row>
    <row r="369" spans="1:3" ht="30" customHeight="1" x14ac:dyDescent="0.25">
      <c r="A369" s="3">
        <v>46386</v>
      </c>
      <c r="B369" s="4"/>
      <c r="C369" s="1" t="str">
        <f t="shared" ca="1" si="1"/>
        <v>Pendiente</v>
      </c>
    </row>
    <row r="370" spans="1:3" ht="30" customHeight="1" x14ac:dyDescent="0.25">
      <c r="A370" s="3">
        <v>46387</v>
      </c>
      <c r="B370" s="4"/>
      <c r="C370" s="1" t="str">
        <f t="shared" ca="1" si="1"/>
        <v>Pendiente</v>
      </c>
    </row>
  </sheetData>
  <mergeCells count="4">
    <mergeCell ref="A1:C1"/>
    <mergeCell ref="A2:C2"/>
    <mergeCell ref="A3:C3"/>
    <mergeCell ref="A4:C4"/>
  </mergeCells>
  <conditionalFormatting sqref="A6:C370">
    <cfRule type="expression" dxfId="15" priority="1" stopIfTrue="1">
      <formula>$A6=TODAY()</formula>
    </cfRule>
    <cfRule type="expression" dxfId="14" priority="2" stopIfTrue="1">
      <formula>$C6="Histórico"</formula>
    </cfRule>
    <cfRule type="expression" dxfId="13" priority="3" stopIfTrue="1">
      <formula>WEEKDAY($A6,2)&gt;5</formula>
    </cfRule>
  </conditionalFormatting>
  <dataValidations count="1">
    <dataValidation type="custom" allowBlank="1" showErrorMessage="1" sqref="B6:B370" xr:uid="{00000000-0002-0000-0300-000000000000}">
      <formula1>OR(B6="",AND(ISNUMBER(B6),B6&gt;=0))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7A1E0"/>
    <outlinePr summaryBelow="0" summaryRight="0"/>
  </sheetPr>
  <dimension ref="A1:E505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2.59765625" defaultRowHeight="15" customHeight="1" x14ac:dyDescent="0.25"/>
  <cols>
    <col min="1" max="1" width="22.59765625" customWidth="1"/>
    <col min="2" max="2" width="18.8984375" customWidth="1"/>
    <col min="3" max="3" width="37.59765625" customWidth="1"/>
    <col min="4" max="5" width="12.59765625" hidden="1"/>
  </cols>
  <sheetData>
    <row r="1" spans="1:5" ht="33" customHeight="1" x14ac:dyDescent="0.25">
      <c r="A1" s="105" t="s">
        <v>53</v>
      </c>
      <c r="B1" s="106"/>
      <c r="C1" s="106"/>
    </row>
    <row r="2" spans="1:5" ht="28.5" customHeight="1" x14ac:dyDescent="0.25">
      <c r="A2" s="107" t="s">
        <v>208</v>
      </c>
      <c r="B2" s="106"/>
      <c r="C2" s="106"/>
    </row>
    <row r="3" spans="1:5" ht="28.5" customHeight="1" x14ac:dyDescent="0.25">
      <c r="A3" s="107" t="s">
        <v>54</v>
      </c>
      <c r="B3" s="106"/>
      <c r="C3" s="106"/>
    </row>
    <row r="4" spans="1:5" ht="28.5" customHeight="1" x14ac:dyDescent="0.25">
      <c r="A4" s="107" t="s">
        <v>55</v>
      </c>
      <c r="B4" s="106"/>
      <c r="C4" s="106"/>
    </row>
    <row r="5" spans="1:5" ht="30" customHeight="1" x14ac:dyDescent="0.25">
      <c r="A5" s="2" t="s">
        <v>56</v>
      </c>
      <c r="B5" s="2" t="s">
        <v>57</v>
      </c>
      <c r="C5" s="2" t="s">
        <v>58</v>
      </c>
      <c r="D5" s="36" t="s">
        <v>59</v>
      </c>
      <c r="E5" s="36" t="s">
        <v>60</v>
      </c>
    </row>
    <row r="6" spans="1:5" ht="30" customHeight="1" x14ac:dyDescent="0.25">
      <c r="A6" s="103">
        <v>45716</v>
      </c>
      <c r="B6" s="37">
        <v>700</v>
      </c>
      <c r="C6" s="39" t="s">
        <v>200</v>
      </c>
      <c r="D6" s="36">
        <f t="shared" ref="D6:D24" si="0">IF(A6="","",A6)</f>
        <v>45716</v>
      </c>
      <c r="E6" s="36" t="b">
        <f t="shared" ref="E6:E24" si="1">IF(A6="","",ISNUMBER(A6))</f>
        <v>1</v>
      </c>
    </row>
    <row r="7" spans="1:5" ht="30" customHeight="1" x14ac:dyDescent="0.25">
      <c r="A7" s="103">
        <v>45747</v>
      </c>
      <c r="B7" s="37">
        <v>700</v>
      </c>
      <c r="C7" s="39" t="s">
        <v>200</v>
      </c>
      <c r="D7" s="36">
        <f t="shared" si="0"/>
        <v>45747</v>
      </c>
      <c r="E7" s="36" t="b">
        <f t="shared" si="1"/>
        <v>1</v>
      </c>
    </row>
    <row r="8" spans="1:5" ht="30" customHeight="1" x14ac:dyDescent="0.25">
      <c r="A8" s="103">
        <v>45777</v>
      </c>
      <c r="B8" s="37">
        <v>700</v>
      </c>
      <c r="C8" s="39" t="s">
        <v>200</v>
      </c>
      <c r="D8" s="36">
        <f t="shared" si="0"/>
        <v>45777</v>
      </c>
      <c r="E8" s="36" t="b">
        <f t="shared" si="1"/>
        <v>1</v>
      </c>
    </row>
    <row r="9" spans="1:5" ht="30" customHeight="1" x14ac:dyDescent="0.25">
      <c r="A9" s="103">
        <v>45807</v>
      </c>
      <c r="B9" s="37">
        <v>700</v>
      </c>
      <c r="C9" s="39" t="s">
        <v>200</v>
      </c>
      <c r="D9" s="36">
        <f t="shared" si="0"/>
        <v>45807</v>
      </c>
      <c r="E9" s="36" t="b">
        <f t="shared" si="1"/>
        <v>1</v>
      </c>
    </row>
    <row r="10" spans="1:5" ht="30" customHeight="1" x14ac:dyDescent="0.25">
      <c r="A10" s="103">
        <v>45838</v>
      </c>
      <c r="B10" s="37">
        <v>700</v>
      </c>
      <c r="C10" s="39" t="s">
        <v>200</v>
      </c>
      <c r="D10" s="36">
        <f t="shared" si="0"/>
        <v>45838</v>
      </c>
      <c r="E10" s="36" t="b">
        <f t="shared" si="1"/>
        <v>1</v>
      </c>
    </row>
    <row r="11" spans="1:5" ht="30" customHeight="1" x14ac:dyDescent="0.25">
      <c r="A11" s="103">
        <v>45869</v>
      </c>
      <c r="B11" s="37">
        <v>700</v>
      </c>
      <c r="C11" s="39" t="s">
        <v>200</v>
      </c>
      <c r="D11" s="36">
        <f t="shared" si="0"/>
        <v>45869</v>
      </c>
      <c r="E11" s="36" t="b">
        <f t="shared" si="1"/>
        <v>1</v>
      </c>
    </row>
    <row r="12" spans="1:5" ht="30" customHeight="1" x14ac:dyDescent="0.25">
      <c r="A12" s="103">
        <v>45898</v>
      </c>
      <c r="B12" s="37">
        <v>700</v>
      </c>
      <c r="C12" s="39" t="s">
        <v>200</v>
      </c>
      <c r="D12" s="36">
        <f t="shared" si="0"/>
        <v>45898</v>
      </c>
      <c r="E12" s="36" t="b">
        <f t="shared" si="1"/>
        <v>1</v>
      </c>
    </row>
    <row r="13" spans="1:5" ht="30" customHeight="1" x14ac:dyDescent="0.25">
      <c r="A13" s="103">
        <v>45930</v>
      </c>
      <c r="B13" s="37">
        <v>700</v>
      </c>
      <c r="C13" s="39" t="s">
        <v>200</v>
      </c>
      <c r="D13" s="36">
        <f t="shared" si="0"/>
        <v>45930</v>
      </c>
      <c r="E13" s="36" t="b">
        <f t="shared" si="1"/>
        <v>1</v>
      </c>
    </row>
    <row r="14" spans="1:5" ht="30" customHeight="1" x14ac:dyDescent="0.25">
      <c r="A14" s="103">
        <v>45961</v>
      </c>
      <c r="B14" s="37">
        <v>700</v>
      </c>
      <c r="C14" s="39" t="s">
        <v>200</v>
      </c>
      <c r="D14" s="36">
        <f t="shared" si="0"/>
        <v>45961</v>
      </c>
      <c r="E14" s="36" t="b">
        <f t="shared" si="1"/>
        <v>1</v>
      </c>
    </row>
    <row r="15" spans="1:5" ht="30" customHeight="1" x14ac:dyDescent="0.25">
      <c r="A15" s="103">
        <v>45989</v>
      </c>
      <c r="B15" s="37">
        <v>700</v>
      </c>
      <c r="C15" s="39" t="s">
        <v>200</v>
      </c>
      <c r="D15" s="36">
        <f t="shared" si="0"/>
        <v>45989</v>
      </c>
      <c r="E15" s="36" t="b">
        <f t="shared" si="1"/>
        <v>1</v>
      </c>
    </row>
    <row r="16" spans="1:5" ht="30" customHeight="1" x14ac:dyDescent="0.25">
      <c r="A16" s="103">
        <v>46022</v>
      </c>
      <c r="B16" s="37">
        <v>700</v>
      </c>
      <c r="C16" s="39" t="s">
        <v>200</v>
      </c>
      <c r="D16" s="36">
        <f t="shared" si="0"/>
        <v>46022</v>
      </c>
      <c r="E16" s="36" t="b">
        <f t="shared" si="1"/>
        <v>1</v>
      </c>
    </row>
    <row r="17" spans="1:5" ht="30" customHeight="1" x14ac:dyDescent="0.25">
      <c r="A17" s="103">
        <v>46052</v>
      </c>
      <c r="B17" s="37">
        <v>500</v>
      </c>
      <c r="C17" s="39" t="s">
        <v>200</v>
      </c>
      <c r="D17" s="36">
        <f t="shared" si="0"/>
        <v>46052</v>
      </c>
      <c r="E17" s="36" t="b">
        <f t="shared" si="1"/>
        <v>1</v>
      </c>
    </row>
    <row r="18" spans="1:5" ht="30" customHeight="1" x14ac:dyDescent="0.25">
      <c r="A18" s="103">
        <v>46080</v>
      </c>
      <c r="B18" s="37">
        <v>700</v>
      </c>
      <c r="C18" s="39" t="s">
        <v>200</v>
      </c>
      <c r="D18" s="36">
        <f t="shared" si="0"/>
        <v>46080</v>
      </c>
      <c r="E18" s="36" t="b">
        <f t="shared" si="1"/>
        <v>1</v>
      </c>
    </row>
    <row r="19" spans="1:5" ht="30" customHeight="1" x14ac:dyDescent="0.25">
      <c r="A19" s="103">
        <v>46112</v>
      </c>
      <c r="B19" s="37">
        <v>600</v>
      </c>
      <c r="C19" s="39" t="s">
        <v>200</v>
      </c>
      <c r="D19" s="36">
        <f t="shared" si="0"/>
        <v>46112</v>
      </c>
      <c r="E19" s="36" t="b">
        <f t="shared" si="1"/>
        <v>1</v>
      </c>
    </row>
    <row r="20" spans="1:5" ht="30" customHeight="1" x14ac:dyDescent="0.25">
      <c r="A20" s="103">
        <v>46142</v>
      </c>
      <c r="B20" s="37">
        <v>-700</v>
      </c>
      <c r="C20" s="39" t="s">
        <v>201</v>
      </c>
      <c r="D20" s="36">
        <f t="shared" si="0"/>
        <v>46142</v>
      </c>
      <c r="E20" s="36" t="b">
        <f t="shared" si="1"/>
        <v>1</v>
      </c>
    </row>
    <row r="21" spans="1:5" ht="30" customHeight="1" x14ac:dyDescent="0.25">
      <c r="A21" s="103">
        <v>46171</v>
      </c>
      <c r="B21" s="37">
        <v>-700</v>
      </c>
      <c r="C21" s="39" t="s">
        <v>201</v>
      </c>
      <c r="D21" s="36">
        <f t="shared" si="0"/>
        <v>46171</v>
      </c>
      <c r="E21" s="36" t="b">
        <f t="shared" si="1"/>
        <v>1</v>
      </c>
    </row>
    <row r="22" spans="1:5" ht="30" customHeight="1" x14ac:dyDescent="0.25">
      <c r="A22" s="103">
        <v>46203</v>
      </c>
      <c r="B22" s="37">
        <v>-3440</v>
      </c>
      <c r="C22" s="39" t="s">
        <v>201</v>
      </c>
      <c r="D22" s="36">
        <f t="shared" si="0"/>
        <v>46203</v>
      </c>
      <c r="E22" s="36" t="b">
        <f t="shared" si="1"/>
        <v>1</v>
      </c>
    </row>
    <row r="23" spans="1:5" ht="30" customHeight="1" x14ac:dyDescent="0.25">
      <c r="A23" s="104">
        <v>46230</v>
      </c>
      <c r="B23" s="37">
        <v>6000</v>
      </c>
      <c r="C23" s="39" t="s">
        <v>200</v>
      </c>
      <c r="D23" s="43">
        <f t="shared" si="0"/>
        <v>46230</v>
      </c>
      <c r="E23" s="36" t="b">
        <f t="shared" si="1"/>
        <v>1</v>
      </c>
    </row>
    <row r="24" spans="1:5" ht="30" customHeight="1" x14ac:dyDescent="0.25">
      <c r="A24" s="104">
        <v>46260</v>
      </c>
      <c r="B24" s="37">
        <v>1508</v>
      </c>
      <c r="C24" s="39" t="s">
        <v>200</v>
      </c>
      <c r="D24" s="43">
        <f t="shared" si="0"/>
        <v>46260</v>
      </c>
      <c r="E24" s="36" t="b">
        <f t="shared" si="1"/>
        <v>1</v>
      </c>
    </row>
    <row r="25" spans="1:5" ht="30" customHeight="1" x14ac:dyDescent="0.25">
      <c r="A25" s="42"/>
      <c r="B25" s="37"/>
      <c r="C25" s="39"/>
      <c r="D25" s="36" t="str">
        <f t="shared" ref="D25:D279" si="2">IF(A25="","",IF(ISNUMBER(A25),A25,IFERROR(DATE(VALUE(LEFT(A25,4)),VALUE(RIGHT(A25,2)),1),"")))</f>
        <v/>
      </c>
      <c r="E25" s="36" t="str">
        <f t="shared" ref="E25:E279" si="3">IF(A25="","",ISNUMBER(A25))</f>
        <v/>
      </c>
    </row>
    <row r="26" spans="1:5" ht="30" customHeight="1" x14ac:dyDescent="0.25">
      <c r="A26" s="42"/>
      <c r="B26" s="37"/>
      <c r="C26" s="39"/>
      <c r="D26" s="36" t="str">
        <f t="shared" si="2"/>
        <v/>
      </c>
      <c r="E26" s="36" t="str">
        <f t="shared" si="3"/>
        <v/>
      </c>
    </row>
    <row r="27" spans="1:5" ht="30" customHeight="1" x14ac:dyDescent="0.25">
      <c r="A27" s="42"/>
      <c r="B27" s="37"/>
      <c r="C27" s="39"/>
      <c r="D27" s="36" t="str">
        <f t="shared" si="2"/>
        <v/>
      </c>
      <c r="E27" s="36" t="str">
        <f t="shared" si="3"/>
        <v/>
      </c>
    </row>
    <row r="28" spans="1:5" ht="30" customHeight="1" x14ac:dyDescent="0.25">
      <c r="A28" s="42"/>
      <c r="B28" s="37"/>
      <c r="C28" s="39"/>
      <c r="D28" s="36" t="str">
        <f t="shared" si="2"/>
        <v/>
      </c>
      <c r="E28" s="36" t="str">
        <f t="shared" si="3"/>
        <v/>
      </c>
    </row>
    <row r="29" spans="1:5" ht="30" customHeight="1" x14ac:dyDescent="0.25">
      <c r="A29" s="42"/>
      <c r="B29" s="37"/>
      <c r="C29" s="39"/>
      <c r="D29" s="36" t="str">
        <f t="shared" si="2"/>
        <v/>
      </c>
      <c r="E29" s="36" t="str">
        <f t="shared" si="3"/>
        <v/>
      </c>
    </row>
    <row r="30" spans="1:5" ht="30" customHeight="1" x14ac:dyDescent="0.25">
      <c r="A30" s="42"/>
      <c r="B30" s="37"/>
      <c r="C30" s="39"/>
      <c r="D30" s="36" t="str">
        <f t="shared" si="2"/>
        <v/>
      </c>
      <c r="E30" s="36" t="str">
        <f t="shared" si="3"/>
        <v/>
      </c>
    </row>
    <row r="31" spans="1:5" ht="30" customHeight="1" x14ac:dyDescent="0.25">
      <c r="A31" s="42"/>
      <c r="B31" s="37"/>
      <c r="C31" s="39"/>
      <c r="D31" s="36" t="str">
        <f t="shared" si="2"/>
        <v/>
      </c>
      <c r="E31" s="36" t="str">
        <f t="shared" si="3"/>
        <v/>
      </c>
    </row>
    <row r="32" spans="1:5" ht="30" customHeight="1" x14ac:dyDescent="0.25">
      <c r="A32" s="42"/>
      <c r="B32" s="37"/>
      <c r="C32" s="39"/>
      <c r="D32" s="36" t="str">
        <f t="shared" si="2"/>
        <v/>
      </c>
      <c r="E32" s="36" t="str">
        <f t="shared" si="3"/>
        <v/>
      </c>
    </row>
    <row r="33" spans="1:5" ht="30" customHeight="1" x14ac:dyDescent="0.25">
      <c r="A33" s="42"/>
      <c r="B33" s="37"/>
      <c r="C33" s="39"/>
      <c r="D33" s="36" t="str">
        <f t="shared" si="2"/>
        <v/>
      </c>
      <c r="E33" s="36" t="str">
        <f t="shared" si="3"/>
        <v/>
      </c>
    </row>
    <row r="34" spans="1:5" ht="30" customHeight="1" x14ac:dyDescent="0.25">
      <c r="A34" s="42"/>
      <c r="B34" s="37"/>
      <c r="C34" s="39"/>
      <c r="D34" s="36" t="str">
        <f t="shared" si="2"/>
        <v/>
      </c>
      <c r="E34" s="36" t="str">
        <f t="shared" si="3"/>
        <v/>
      </c>
    </row>
    <row r="35" spans="1:5" ht="30" customHeight="1" x14ac:dyDescent="0.25">
      <c r="A35" s="42"/>
      <c r="B35" s="37"/>
      <c r="C35" s="39"/>
      <c r="D35" s="36" t="str">
        <f t="shared" si="2"/>
        <v/>
      </c>
      <c r="E35" s="36" t="str">
        <f t="shared" si="3"/>
        <v/>
      </c>
    </row>
    <row r="36" spans="1:5" ht="30" customHeight="1" x14ac:dyDescent="0.25">
      <c r="A36" s="42"/>
      <c r="B36" s="37"/>
      <c r="C36" s="39"/>
      <c r="D36" s="36" t="str">
        <f t="shared" si="2"/>
        <v/>
      </c>
      <c r="E36" s="36" t="str">
        <f t="shared" si="3"/>
        <v/>
      </c>
    </row>
    <row r="37" spans="1:5" ht="30" customHeight="1" x14ac:dyDescent="0.25">
      <c r="A37" s="42"/>
      <c r="B37" s="37"/>
      <c r="C37" s="39"/>
      <c r="D37" s="36" t="str">
        <f t="shared" si="2"/>
        <v/>
      </c>
      <c r="E37" s="36" t="str">
        <f t="shared" si="3"/>
        <v/>
      </c>
    </row>
    <row r="38" spans="1:5" ht="30" customHeight="1" x14ac:dyDescent="0.25">
      <c r="A38" s="42"/>
      <c r="B38" s="37"/>
      <c r="C38" s="39"/>
      <c r="D38" s="36" t="str">
        <f t="shared" si="2"/>
        <v/>
      </c>
      <c r="E38" s="36" t="str">
        <f t="shared" si="3"/>
        <v/>
      </c>
    </row>
    <row r="39" spans="1:5" ht="30" customHeight="1" x14ac:dyDescent="0.25">
      <c r="A39" s="42"/>
      <c r="B39" s="37"/>
      <c r="C39" s="39"/>
      <c r="D39" s="36" t="str">
        <f t="shared" si="2"/>
        <v/>
      </c>
      <c r="E39" s="36" t="str">
        <f t="shared" si="3"/>
        <v/>
      </c>
    </row>
    <row r="40" spans="1:5" ht="30" customHeight="1" x14ac:dyDescent="0.25">
      <c r="A40" s="42"/>
      <c r="B40" s="37"/>
      <c r="C40" s="39"/>
      <c r="D40" s="36" t="str">
        <f t="shared" si="2"/>
        <v/>
      </c>
      <c r="E40" s="36" t="str">
        <f t="shared" si="3"/>
        <v/>
      </c>
    </row>
    <row r="41" spans="1:5" ht="30" customHeight="1" x14ac:dyDescent="0.25">
      <c r="A41" s="42"/>
      <c r="B41" s="37"/>
      <c r="C41" s="39"/>
      <c r="D41" s="36" t="str">
        <f t="shared" si="2"/>
        <v/>
      </c>
      <c r="E41" s="36" t="str">
        <f t="shared" si="3"/>
        <v/>
      </c>
    </row>
    <row r="42" spans="1:5" ht="30" customHeight="1" x14ac:dyDescent="0.25">
      <c r="A42" s="42"/>
      <c r="B42" s="37"/>
      <c r="C42" s="39"/>
      <c r="D42" s="36" t="str">
        <f t="shared" si="2"/>
        <v/>
      </c>
      <c r="E42" s="36" t="str">
        <f t="shared" si="3"/>
        <v/>
      </c>
    </row>
    <row r="43" spans="1:5" ht="30" customHeight="1" x14ac:dyDescent="0.25">
      <c r="A43" s="42"/>
      <c r="B43" s="37"/>
      <c r="C43" s="39"/>
      <c r="D43" s="36" t="str">
        <f t="shared" si="2"/>
        <v/>
      </c>
      <c r="E43" s="36" t="str">
        <f t="shared" si="3"/>
        <v/>
      </c>
    </row>
    <row r="44" spans="1:5" ht="30" customHeight="1" x14ac:dyDescent="0.25">
      <c r="A44" s="42"/>
      <c r="B44" s="37"/>
      <c r="C44" s="39"/>
      <c r="D44" s="36" t="str">
        <f t="shared" si="2"/>
        <v/>
      </c>
      <c r="E44" s="36" t="str">
        <f t="shared" si="3"/>
        <v/>
      </c>
    </row>
    <row r="45" spans="1:5" ht="30" customHeight="1" x14ac:dyDescent="0.25">
      <c r="A45" s="42"/>
      <c r="B45" s="37"/>
      <c r="C45" s="39"/>
      <c r="D45" s="36" t="str">
        <f t="shared" si="2"/>
        <v/>
      </c>
      <c r="E45" s="36" t="str">
        <f t="shared" si="3"/>
        <v/>
      </c>
    </row>
    <row r="46" spans="1:5" ht="30" customHeight="1" x14ac:dyDescent="0.25">
      <c r="A46" s="42"/>
      <c r="B46" s="37"/>
      <c r="C46" s="39"/>
      <c r="D46" s="36" t="str">
        <f t="shared" si="2"/>
        <v/>
      </c>
      <c r="E46" s="36" t="str">
        <f t="shared" si="3"/>
        <v/>
      </c>
    </row>
    <row r="47" spans="1:5" ht="30" customHeight="1" x14ac:dyDescent="0.25">
      <c r="A47" s="42"/>
      <c r="B47" s="37"/>
      <c r="C47" s="39"/>
      <c r="D47" s="36" t="str">
        <f t="shared" si="2"/>
        <v/>
      </c>
      <c r="E47" s="36" t="str">
        <f t="shared" si="3"/>
        <v/>
      </c>
    </row>
    <row r="48" spans="1:5" ht="30" customHeight="1" x14ac:dyDescent="0.25">
      <c r="A48" s="42"/>
      <c r="B48" s="37"/>
      <c r="C48" s="39"/>
      <c r="D48" s="36" t="str">
        <f t="shared" si="2"/>
        <v/>
      </c>
      <c r="E48" s="36" t="str">
        <f t="shared" si="3"/>
        <v/>
      </c>
    </row>
    <row r="49" spans="1:5" ht="30" customHeight="1" x14ac:dyDescent="0.25">
      <c r="A49" s="42"/>
      <c r="B49" s="37"/>
      <c r="C49" s="39"/>
      <c r="D49" s="36" t="str">
        <f t="shared" si="2"/>
        <v/>
      </c>
      <c r="E49" s="36" t="str">
        <f t="shared" si="3"/>
        <v/>
      </c>
    </row>
    <row r="50" spans="1:5" ht="30" customHeight="1" x14ac:dyDescent="0.25">
      <c r="A50" s="42"/>
      <c r="B50" s="37"/>
      <c r="C50" s="39"/>
      <c r="D50" s="36" t="str">
        <f t="shared" si="2"/>
        <v/>
      </c>
      <c r="E50" s="36" t="str">
        <f t="shared" si="3"/>
        <v/>
      </c>
    </row>
    <row r="51" spans="1:5" ht="30" customHeight="1" x14ac:dyDescent="0.25">
      <c r="A51" s="42"/>
      <c r="B51" s="37"/>
      <c r="C51" s="39"/>
      <c r="D51" s="36" t="str">
        <f t="shared" si="2"/>
        <v/>
      </c>
      <c r="E51" s="36" t="str">
        <f t="shared" si="3"/>
        <v/>
      </c>
    </row>
    <row r="52" spans="1:5" ht="30" customHeight="1" x14ac:dyDescent="0.25">
      <c r="A52" s="42"/>
      <c r="B52" s="37"/>
      <c r="C52" s="39"/>
      <c r="D52" s="36" t="str">
        <f t="shared" si="2"/>
        <v/>
      </c>
      <c r="E52" s="36" t="str">
        <f t="shared" si="3"/>
        <v/>
      </c>
    </row>
    <row r="53" spans="1:5" ht="30" customHeight="1" x14ac:dyDescent="0.25">
      <c r="A53" s="42"/>
      <c r="B53" s="37"/>
      <c r="C53" s="39"/>
      <c r="D53" s="36" t="str">
        <f t="shared" si="2"/>
        <v/>
      </c>
      <c r="E53" s="36" t="str">
        <f t="shared" si="3"/>
        <v/>
      </c>
    </row>
    <row r="54" spans="1:5" ht="30" customHeight="1" x14ac:dyDescent="0.25">
      <c r="A54" s="42"/>
      <c r="B54" s="37"/>
      <c r="C54" s="39"/>
      <c r="D54" s="36" t="str">
        <f t="shared" si="2"/>
        <v/>
      </c>
      <c r="E54" s="36" t="str">
        <f t="shared" si="3"/>
        <v/>
      </c>
    </row>
    <row r="55" spans="1:5" ht="30" customHeight="1" x14ac:dyDescent="0.25">
      <c r="A55" s="42"/>
      <c r="B55" s="37"/>
      <c r="C55" s="39"/>
      <c r="D55" s="36" t="str">
        <f t="shared" si="2"/>
        <v/>
      </c>
      <c r="E55" s="36" t="str">
        <f t="shared" si="3"/>
        <v/>
      </c>
    </row>
    <row r="56" spans="1:5" ht="30" customHeight="1" x14ac:dyDescent="0.25">
      <c r="A56" s="42"/>
      <c r="B56" s="37"/>
      <c r="C56" s="39"/>
      <c r="D56" s="36" t="str">
        <f t="shared" si="2"/>
        <v/>
      </c>
      <c r="E56" s="36" t="str">
        <f t="shared" si="3"/>
        <v/>
      </c>
    </row>
    <row r="57" spans="1:5" ht="30" customHeight="1" x14ac:dyDescent="0.25">
      <c r="A57" s="42"/>
      <c r="B57" s="37"/>
      <c r="C57" s="39"/>
      <c r="D57" s="36" t="str">
        <f t="shared" si="2"/>
        <v/>
      </c>
      <c r="E57" s="36" t="str">
        <f t="shared" si="3"/>
        <v/>
      </c>
    </row>
    <row r="58" spans="1:5" ht="30" customHeight="1" x14ac:dyDescent="0.25">
      <c r="A58" s="42"/>
      <c r="B58" s="37"/>
      <c r="C58" s="39"/>
      <c r="D58" s="36" t="str">
        <f t="shared" si="2"/>
        <v/>
      </c>
      <c r="E58" s="36" t="str">
        <f t="shared" si="3"/>
        <v/>
      </c>
    </row>
    <row r="59" spans="1:5" ht="30" customHeight="1" x14ac:dyDescent="0.25">
      <c r="A59" s="42"/>
      <c r="B59" s="37"/>
      <c r="C59" s="39"/>
      <c r="D59" s="36" t="str">
        <f t="shared" si="2"/>
        <v/>
      </c>
      <c r="E59" s="36" t="str">
        <f t="shared" si="3"/>
        <v/>
      </c>
    </row>
    <row r="60" spans="1:5" ht="30" customHeight="1" x14ac:dyDescent="0.25">
      <c r="A60" s="42"/>
      <c r="B60" s="37"/>
      <c r="C60" s="39"/>
      <c r="D60" s="36" t="str">
        <f t="shared" si="2"/>
        <v/>
      </c>
      <c r="E60" s="36" t="str">
        <f t="shared" si="3"/>
        <v/>
      </c>
    </row>
    <row r="61" spans="1:5" ht="30" customHeight="1" x14ac:dyDescent="0.25">
      <c r="A61" s="42"/>
      <c r="B61" s="37"/>
      <c r="C61" s="39"/>
      <c r="D61" s="36" t="str">
        <f t="shared" si="2"/>
        <v/>
      </c>
      <c r="E61" s="36" t="str">
        <f t="shared" si="3"/>
        <v/>
      </c>
    </row>
    <row r="62" spans="1:5" ht="30" customHeight="1" x14ac:dyDescent="0.25">
      <c r="A62" s="42"/>
      <c r="B62" s="37"/>
      <c r="C62" s="39"/>
      <c r="D62" s="36" t="str">
        <f t="shared" si="2"/>
        <v/>
      </c>
      <c r="E62" s="36" t="str">
        <f t="shared" si="3"/>
        <v/>
      </c>
    </row>
    <row r="63" spans="1:5" ht="30" customHeight="1" x14ac:dyDescent="0.25">
      <c r="A63" s="42"/>
      <c r="B63" s="37"/>
      <c r="C63" s="39"/>
      <c r="D63" s="36" t="str">
        <f t="shared" si="2"/>
        <v/>
      </c>
      <c r="E63" s="36" t="str">
        <f t="shared" si="3"/>
        <v/>
      </c>
    </row>
    <row r="64" spans="1:5" ht="30" customHeight="1" x14ac:dyDescent="0.25">
      <c r="A64" s="42"/>
      <c r="B64" s="37"/>
      <c r="C64" s="39"/>
      <c r="D64" s="36" t="str">
        <f t="shared" si="2"/>
        <v/>
      </c>
      <c r="E64" s="36" t="str">
        <f t="shared" si="3"/>
        <v/>
      </c>
    </row>
    <row r="65" spans="1:5" ht="30" customHeight="1" x14ac:dyDescent="0.25">
      <c r="A65" s="42"/>
      <c r="B65" s="37"/>
      <c r="C65" s="39"/>
      <c r="D65" s="36" t="str">
        <f t="shared" si="2"/>
        <v/>
      </c>
      <c r="E65" s="36" t="str">
        <f t="shared" si="3"/>
        <v/>
      </c>
    </row>
    <row r="66" spans="1:5" ht="30" customHeight="1" x14ac:dyDescent="0.25">
      <c r="A66" s="42"/>
      <c r="B66" s="37"/>
      <c r="C66" s="39"/>
      <c r="D66" s="36" t="str">
        <f t="shared" si="2"/>
        <v/>
      </c>
      <c r="E66" s="36" t="str">
        <f t="shared" si="3"/>
        <v/>
      </c>
    </row>
    <row r="67" spans="1:5" ht="30" customHeight="1" x14ac:dyDescent="0.25">
      <c r="A67" s="42"/>
      <c r="B67" s="37"/>
      <c r="C67" s="39"/>
      <c r="D67" s="36" t="str">
        <f t="shared" si="2"/>
        <v/>
      </c>
      <c r="E67" s="36" t="str">
        <f t="shared" si="3"/>
        <v/>
      </c>
    </row>
    <row r="68" spans="1:5" ht="30" customHeight="1" x14ac:dyDescent="0.25">
      <c r="A68" s="42"/>
      <c r="B68" s="37"/>
      <c r="C68" s="39"/>
      <c r="D68" s="36" t="str">
        <f t="shared" si="2"/>
        <v/>
      </c>
      <c r="E68" s="36" t="str">
        <f t="shared" si="3"/>
        <v/>
      </c>
    </row>
    <row r="69" spans="1:5" ht="30" customHeight="1" x14ac:dyDescent="0.25">
      <c r="A69" s="42"/>
      <c r="B69" s="37"/>
      <c r="C69" s="39"/>
      <c r="D69" s="36" t="str">
        <f t="shared" si="2"/>
        <v/>
      </c>
      <c r="E69" s="36" t="str">
        <f t="shared" si="3"/>
        <v/>
      </c>
    </row>
    <row r="70" spans="1:5" ht="30" customHeight="1" x14ac:dyDescent="0.25">
      <c r="A70" s="42"/>
      <c r="B70" s="37"/>
      <c r="C70" s="39"/>
      <c r="D70" s="36" t="str">
        <f t="shared" si="2"/>
        <v/>
      </c>
      <c r="E70" s="36" t="str">
        <f t="shared" si="3"/>
        <v/>
      </c>
    </row>
    <row r="71" spans="1:5" ht="30" customHeight="1" x14ac:dyDescent="0.25">
      <c r="A71" s="42"/>
      <c r="B71" s="37"/>
      <c r="C71" s="39"/>
      <c r="D71" s="36" t="str">
        <f t="shared" si="2"/>
        <v/>
      </c>
      <c r="E71" s="36" t="str">
        <f t="shared" si="3"/>
        <v/>
      </c>
    </row>
    <row r="72" spans="1:5" ht="30" customHeight="1" x14ac:dyDescent="0.25">
      <c r="A72" s="42"/>
      <c r="B72" s="37"/>
      <c r="C72" s="39"/>
      <c r="D72" s="36" t="str">
        <f t="shared" si="2"/>
        <v/>
      </c>
      <c r="E72" s="36" t="str">
        <f t="shared" si="3"/>
        <v/>
      </c>
    </row>
    <row r="73" spans="1:5" ht="30" customHeight="1" x14ac:dyDescent="0.25">
      <c r="A73" s="42"/>
      <c r="B73" s="37"/>
      <c r="C73" s="39"/>
      <c r="D73" s="36" t="str">
        <f t="shared" si="2"/>
        <v/>
      </c>
      <c r="E73" s="36" t="str">
        <f t="shared" si="3"/>
        <v/>
      </c>
    </row>
    <row r="74" spans="1:5" ht="30" customHeight="1" x14ac:dyDescent="0.25">
      <c r="A74" s="42"/>
      <c r="B74" s="37"/>
      <c r="C74" s="39"/>
      <c r="D74" s="36" t="str">
        <f t="shared" si="2"/>
        <v/>
      </c>
      <c r="E74" s="36" t="str">
        <f t="shared" si="3"/>
        <v/>
      </c>
    </row>
    <row r="75" spans="1:5" ht="30" customHeight="1" x14ac:dyDescent="0.25">
      <c r="A75" s="42"/>
      <c r="B75" s="37"/>
      <c r="C75" s="39"/>
      <c r="D75" s="36" t="str">
        <f t="shared" si="2"/>
        <v/>
      </c>
      <c r="E75" s="36" t="str">
        <f t="shared" si="3"/>
        <v/>
      </c>
    </row>
    <row r="76" spans="1:5" ht="30" customHeight="1" x14ac:dyDescent="0.25">
      <c r="A76" s="42"/>
      <c r="B76" s="37"/>
      <c r="C76" s="39"/>
      <c r="D76" s="36" t="str">
        <f t="shared" si="2"/>
        <v/>
      </c>
      <c r="E76" s="36" t="str">
        <f t="shared" si="3"/>
        <v/>
      </c>
    </row>
    <row r="77" spans="1:5" ht="30" customHeight="1" x14ac:dyDescent="0.25">
      <c r="A77" s="42"/>
      <c r="B77" s="37"/>
      <c r="C77" s="39"/>
      <c r="D77" s="36" t="str">
        <f t="shared" si="2"/>
        <v/>
      </c>
      <c r="E77" s="36" t="str">
        <f t="shared" si="3"/>
        <v/>
      </c>
    </row>
    <row r="78" spans="1:5" ht="30" customHeight="1" x14ac:dyDescent="0.25">
      <c r="A78" s="42"/>
      <c r="B78" s="37"/>
      <c r="C78" s="39"/>
      <c r="D78" s="36" t="str">
        <f t="shared" si="2"/>
        <v/>
      </c>
      <c r="E78" s="36" t="str">
        <f t="shared" si="3"/>
        <v/>
      </c>
    </row>
    <row r="79" spans="1:5" ht="30" customHeight="1" x14ac:dyDescent="0.25">
      <c r="A79" s="42"/>
      <c r="B79" s="37"/>
      <c r="C79" s="39"/>
      <c r="D79" s="36" t="str">
        <f t="shared" si="2"/>
        <v/>
      </c>
      <c r="E79" s="36" t="str">
        <f t="shared" si="3"/>
        <v/>
      </c>
    </row>
    <row r="80" spans="1:5" ht="30" customHeight="1" x14ac:dyDescent="0.25">
      <c r="A80" s="42"/>
      <c r="B80" s="37"/>
      <c r="C80" s="39"/>
      <c r="D80" s="36" t="str">
        <f t="shared" si="2"/>
        <v/>
      </c>
      <c r="E80" s="36" t="str">
        <f t="shared" si="3"/>
        <v/>
      </c>
    </row>
    <row r="81" spans="1:5" ht="30" customHeight="1" x14ac:dyDescent="0.25">
      <c r="A81" s="42"/>
      <c r="B81" s="37"/>
      <c r="C81" s="39"/>
      <c r="D81" s="36" t="str">
        <f t="shared" si="2"/>
        <v/>
      </c>
      <c r="E81" s="36" t="str">
        <f t="shared" si="3"/>
        <v/>
      </c>
    </row>
    <row r="82" spans="1:5" ht="30" customHeight="1" x14ac:dyDescent="0.25">
      <c r="A82" s="42"/>
      <c r="B82" s="37"/>
      <c r="C82" s="39"/>
      <c r="D82" s="36" t="str">
        <f t="shared" si="2"/>
        <v/>
      </c>
      <c r="E82" s="36" t="str">
        <f t="shared" si="3"/>
        <v/>
      </c>
    </row>
    <row r="83" spans="1:5" ht="30" customHeight="1" x14ac:dyDescent="0.25">
      <c r="A83" s="42"/>
      <c r="B83" s="37"/>
      <c r="C83" s="39"/>
      <c r="D83" s="36" t="str">
        <f t="shared" si="2"/>
        <v/>
      </c>
      <c r="E83" s="36" t="str">
        <f t="shared" si="3"/>
        <v/>
      </c>
    </row>
    <row r="84" spans="1:5" ht="30" customHeight="1" x14ac:dyDescent="0.25">
      <c r="A84" s="42"/>
      <c r="B84" s="37"/>
      <c r="C84" s="39"/>
      <c r="D84" s="36" t="str">
        <f t="shared" si="2"/>
        <v/>
      </c>
      <c r="E84" s="36" t="str">
        <f t="shared" si="3"/>
        <v/>
      </c>
    </row>
    <row r="85" spans="1:5" ht="30" customHeight="1" x14ac:dyDescent="0.25">
      <c r="A85" s="42"/>
      <c r="B85" s="37"/>
      <c r="C85" s="39"/>
      <c r="D85" s="36" t="str">
        <f t="shared" si="2"/>
        <v/>
      </c>
      <c r="E85" s="36" t="str">
        <f t="shared" si="3"/>
        <v/>
      </c>
    </row>
    <row r="86" spans="1:5" ht="30" customHeight="1" x14ac:dyDescent="0.25">
      <c r="A86" s="42"/>
      <c r="B86" s="37"/>
      <c r="C86" s="39"/>
      <c r="D86" s="36" t="str">
        <f t="shared" si="2"/>
        <v/>
      </c>
      <c r="E86" s="36" t="str">
        <f t="shared" si="3"/>
        <v/>
      </c>
    </row>
    <row r="87" spans="1:5" ht="30" customHeight="1" x14ac:dyDescent="0.25">
      <c r="A87" s="42"/>
      <c r="B87" s="37"/>
      <c r="C87" s="39"/>
      <c r="D87" s="36" t="str">
        <f t="shared" si="2"/>
        <v/>
      </c>
      <c r="E87" s="36" t="str">
        <f t="shared" si="3"/>
        <v/>
      </c>
    </row>
    <row r="88" spans="1:5" ht="30" customHeight="1" x14ac:dyDescent="0.25">
      <c r="A88" s="42"/>
      <c r="B88" s="37"/>
      <c r="C88" s="39"/>
      <c r="D88" s="36" t="str">
        <f t="shared" si="2"/>
        <v/>
      </c>
      <c r="E88" s="36" t="str">
        <f t="shared" si="3"/>
        <v/>
      </c>
    </row>
    <row r="89" spans="1:5" ht="30" customHeight="1" x14ac:dyDescent="0.25">
      <c r="A89" s="42"/>
      <c r="B89" s="37"/>
      <c r="C89" s="39"/>
      <c r="D89" s="36" t="str">
        <f t="shared" si="2"/>
        <v/>
      </c>
      <c r="E89" s="36" t="str">
        <f t="shared" si="3"/>
        <v/>
      </c>
    </row>
    <row r="90" spans="1:5" ht="30" customHeight="1" x14ac:dyDescent="0.25">
      <c r="A90" s="42"/>
      <c r="B90" s="37"/>
      <c r="C90" s="39"/>
      <c r="D90" s="36" t="str">
        <f t="shared" si="2"/>
        <v/>
      </c>
      <c r="E90" s="36" t="str">
        <f t="shared" si="3"/>
        <v/>
      </c>
    </row>
    <row r="91" spans="1:5" ht="30" customHeight="1" x14ac:dyDescent="0.25">
      <c r="A91" s="42"/>
      <c r="B91" s="37"/>
      <c r="C91" s="39"/>
      <c r="D91" s="36" t="str">
        <f t="shared" si="2"/>
        <v/>
      </c>
      <c r="E91" s="36" t="str">
        <f t="shared" si="3"/>
        <v/>
      </c>
    </row>
    <row r="92" spans="1:5" ht="30" customHeight="1" x14ac:dyDescent="0.25">
      <c r="A92" s="42"/>
      <c r="B92" s="37"/>
      <c r="C92" s="39"/>
      <c r="D92" s="36" t="str">
        <f t="shared" si="2"/>
        <v/>
      </c>
      <c r="E92" s="36" t="str">
        <f t="shared" si="3"/>
        <v/>
      </c>
    </row>
    <row r="93" spans="1:5" ht="30" customHeight="1" x14ac:dyDescent="0.25">
      <c r="A93" s="42"/>
      <c r="B93" s="37"/>
      <c r="C93" s="39"/>
      <c r="D93" s="36" t="str">
        <f t="shared" si="2"/>
        <v/>
      </c>
      <c r="E93" s="36" t="str">
        <f t="shared" si="3"/>
        <v/>
      </c>
    </row>
    <row r="94" spans="1:5" ht="30" customHeight="1" x14ac:dyDescent="0.25">
      <c r="A94" s="42"/>
      <c r="B94" s="37"/>
      <c r="C94" s="39"/>
      <c r="D94" s="36" t="str">
        <f t="shared" si="2"/>
        <v/>
      </c>
      <c r="E94" s="36" t="str">
        <f t="shared" si="3"/>
        <v/>
      </c>
    </row>
    <row r="95" spans="1:5" ht="30" customHeight="1" x14ac:dyDescent="0.25">
      <c r="A95" s="42"/>
      <c r="B95" s="37"/>
      <c r="C95" s="39"/>
      <c r="D95" s="36" t="str">
        <f t="shared" si="2"/>
        <v/>
      </c>
      <c r="E95" s="36" t="str">
        <f t="shared" si="3"/>
        <v/>
      </c>
    </row>
    <row r="96" spans="1:5" ht="30" customHeight="1" x14ac:dyDescent="0.25">
      <c r="A96" s="42"/>
      <c r="B96" s="37"/>
      <c r="C96" s="39"/>
      <c r="D96" s="36" t="str">
        <f t="shared" si="2"/>
        <v/>
      </c>
      <c r="E96" s="36" t="str">
        <f t="shared" si="3"/>
        <v/>
      </c>
    </row>
    <row r="97" spans="1:5" ht="30" customHeight="1" x14ac:dyDescent="0.25">
      <c r="A97" s="42"/>
      <c r="B97" s="37"/>
      <c r="C97" s="39"/>
      <c r="D97" s="36" t="str">
        <f t="shared" si="2"/>
        <v/>
      </c>
      <c r="E97" s="36" t="str">
        <f t="shared" si="3"/>
        <v/>
      </c>
    </row>
    <row r="98" spans="1:5" ht="30" customHeight="1" x14ac:dyDescent="0.25">
      <c r="A98" s="42"/>
      <c r="B98" s="37"/>
      <c r="C98" s="39"/>
      <c r="D98" s="36" t="str">
        <f t="shared" si="2"/>
        <v/>
      </c>
      <c r="E98" s="36" t="str">
        <f t="shared" si="3"/>
        <v/>
      </c>
    </row>
    <row r="99" spans="1:5" ht="30" customHeight="1" x14ac:dyDescent="0.25">
      <c r="A99" s="42"/>
      <c r="B99" s="37"/>
      <c r="C99" s="39"/>
      <c r="D99" s="36" t="str">
        <f t="shared" si="2"/>
        <v/>
      </c>
      <c r="E99" s="36" t="str">
        <f t="shared" si="3"/>
        <v/>
      </c>
    </row>
    <row r="100" spans="1:5" ht="30" customHeight="1" x14ac:dyDescent="0.25">
      <c r="A100" s="42"/>
      <c r="B100" s="37"/>
      <c r="C100" s="39"/>
      <c r="D100" s="36" t="str">
        <f t="shared" si="2"/>
        <v/>
      </c>
      <c r="E100" s="36" t="str">
        <f t="shared" si="3"/>
        <v/>
      </c>
    </row>
    <row r="101" spans="1:5" ht="30" customHeight="1" x14ac:dyDescent="0.25">
      <c r="A101" s="42"/>
      <c r="B101" s="37"/>
      <c r="C101" s="39"/>
      <c r="D101" s="36" t="str">
        <f t="shared" si="2"/>
        <v/>
      </c>
      <c r="E101" s="36" t="str">
        <f t="shared" si="3"/>
        <v/>
      </c>
    </row>
    <row r="102" spans="1:5" ht="30" customHeight="1" x14ac:dyDescent="0.25">
      <c r="A102" s="42"/>
      <c r="B102" s="37"/>
      <c r="C102" s="39"/>
      <c r="D102" s="36" t="str">
        <f t="shared" si="2"/>
        <v/>
      </c>
      <c r="E102" s="36" t="str">
        <f t="shared" si="3"/>
        <v/>
      </c>
    </row>
    <row r="103" spans="1:5" ht="30" customHeight="1" x14ac:dyDescent="0.25">
      <c r="A103" s="42"/>
      <c r="B103" s="37"/>
      <c r="C103" s="39"/>
      <c r="D103" s="36" t="str">
        <f t="shared" si="2"/>
        <v/>
      </c>
      <c r="E103" s="36" t="str">
        <f t="shared" si="3"/>
        <v/>
      </c>
    </row>
    <row r="104" spans="1:5" ht="30" customHeight="1" x14ac:dyDescent="0.25">
      <c r="A104" s="42"/>
      <c r="B104" s="37"/>
      <c r="C104" s="39"/>
      <c r="D104" s="36" t="str">
        <f t="shared" si="2"/>
        <v/>
      </c>
      <c r="E104" s="36" t="str">
        <f t="shared" si="3"/>
        <v/>
      </c>
    </row>
    <row r="105" spans="1:5" ht="30" customHeight="1" x14ac:dyDescent="0.25">
      <c r="A105" s="42"/>
      <c r="B105" s="37"/>
      <c r="C105" s="39"/>
      <c r="D105" s="36" t="str">
        <f t="shared" si="2"/>
        <v/>
      </c>
      <c r="E105" s="36" t="str">
        <f t="shared" si="3"/>
        <v/>
      </c>
    </row>
    <row r="106" spans="1:5" ht="30" customHeight="1" x14ac:dyDescent="0.25">
      <c r="A106" s="42"/>
      <c r="B106" s="37"/>
      <c r="C106" s="39"/>
      <c r="D106" s="36" t="str">
        <f t="shared" si="2"/>
        <v/>
      </c>
      <c r="E106" s="36" t="str">
        <f t="shared" si="3"/>
        <v/>
      </c>
    </row>
    <row r="107" spans="1:5" ht="30" customHeight="1" x14ac:dyDescent="0.25">
      <c r="A107" s="42"/>
      <c r="B107" s="37"/>
      <c r="C107" s="39"/>
      <c r="D107" s="36" t="str">
        <f t="shared" si="2"/>
        <v/>
      </c>
      <c r="E107" s="36" t="str">
        <f t="shared" si="3"/>
        <v/>
      </c>
    </row>
    <row r="108" spans="1:5" ht="30" customHeight="1" x14ac:dyDescent="0.25">
      <c r="A108" s="42"/>
      <c r="B108" s="37"/>
      <c r="C108" s="39"/>
      <c r="D108" s="36" t="str">
        <f t="shared" si="2"/>
        <v/>
      </c>
      <c r="E108" s="36" t="str">
        <f t="shared" si="3"/>
        <v/>
      </c>
    </row>
    <row r="109" spans="1:5" ht="30" customHeight="1" x14ac:dyDescent="0.25">
      <c r="A109" s="42"/>
      <c r="B109" s="37"/>
      <c r="C109" s="39"/>
      <c r="D109" s="36" t="str">
        <f t="shared" si="2"/>
        <v/>
      </c>
      <c r="E109" s="36" t="str">
        <f t="shared" si="3"/>
        <v/>
      </c>
    </row>
    <row r="110" spans="1:5" ht="30" customHeight="1" x14ac:dyDescent="0.25">
      <c r="A110" s="42"/>
      <c r="B110" s="37"/>
      <c r="C110" s="39"/>
      <c r="D110" s="36" t="str">
        <f t="shared" si="2"/>
        <v/>
      </c>
      <c r="E110" s="36" t="str">
        <f t="shared" si="3"/>
        <v/>
      </c>
    </row>
    <row r="111" spans="1:5" ht="30" customHeight="1" x14ac:dyDescent="0.25">
      <c r="A111" s="42"/>
      <c r="B111" s="37"/>
      <c r="C111" s="39"/>
      <c r="D111" s="36" t="str">
        <f t="shared" si="2"/>
        <v/>
      </c>
      <c r="E111" s="36" t="str">
        <f t="shared" si="3"/>
        <v/>
      </c>
    </row>
    <row r="112" spans="1:5" ht="30" customHeight="1" x14ac:dyDescent="0.25">
      <c r="A112" s="42"/>
      <c r="B112" s="37"/>
      <c r="C112" s="39"/>
      <c r="D112" s="36" t="str">
        <f t="shared" si="2"/>
        <v/>
      </c>
      <c r="E112" s="36" t="str">
        <f t="shared" si="3"/>
        <v/>
      </c>
    </row>
    <row r="113" spans="1:5" ht="30" customHeight="1" x14ac:dyDescent="0.25">
      <c r="A113" s="42"/>
      <c r="B113" s="37"/>
      <c r="C113" s="39"/>
      <c r="D113" s="36" t="str">
        <f t="shared" si="2"/>
        <v/>
      </c>
      <c r="E113" s="36" t="str">
        <f t="shared" si="3"/>
        <v/>
      </c>
    </row>
    <row r="114" spans="1:5" ht="30" customHeight="1" x14ac:dyDescent="0.25">
      <c r="A114" s="42"/>
      <c r="B114" s="37"/>
      <c r="C114" s="39"/>
      <c r="D114" s="36" t="str">
        <f t="shared" si="2"/>
        <v/>
      </c>
      <c r="E114" s="36" t="str">
        <f t="shared" si="3"/>
        <v/>
      </c>
    </row>
    <row r="115" spans="1:5" ht="30" customHeight="1" x14ac:dyDescent="0.25">
      <c r="A115" s="42"/>
      <c r="B115" s="37"/>
      <c r="C115" s="39"/>
      <c r="D115" s="36" t="str">
        <f t="shared" si="2"/>
        <v/>
      </c>
      <c r="E115" s="36" t="str">
        <f t="shared" si="3"/>
        <v/>
      </c>
    </row>
    <row r="116" spans="1:5" ht="30" customHeight="1" x14ac:dyDescent="0.25">
      <c r="A116" s="42"/>
      <c r="B116" s="37"/>
      <c r="C116" s="39"/>
      <c r="D116" s="36" t="str">
        <f t="shared" si="2"/>
        <v/>
      </c>
      <c r="E116" s="36" t="str">
        <f t="shared" si="3"/>
        <v/>
      </c>
    </row>
    <row r="117" spans="1:5" ht="30" customHeight="1" x14ac:dyDescent="0.25">
      <c r="A117" s="42"/>
      <c r="B117" s="37"/>
      <c r="C117" s="39"/>
      <c r="D117" s="36" t="str">
        <f t="shared" si="2"/>
        <v/>
      </c>
      <c r="E117" s="36" t="str">
        <f t="shared" si="3"/>
        <v/>
      </c>
    </row>
    <row r="118" spans="1:5" ht="30" customHeight="1" x14ac:dyDescent="0.25">
      <c r="A118" s="42"/>
      <c r="B118" s="37"/>
      <c r="C118" s="39"/>
      <c r="D118" s="36" t="str">
        <f t="shared" si="2"/>
        <v/>
      </c>
      <c r="E118" s="36" t="str">
        <f t="shared" si="3"/>
        <v/>
      </c>
    </row>
    <row r="119" spans="1:5" ht="30" customHeight="1" x14ac:dyDescent="0.25">
      <c r="A119" s="42"/>
      <c r="B119" s="37"/>
      <c r="C119" s="39"/>
      <c r="D119" s="36" t="str">
        <f t="shared" si="2"/>
        <v/>
      </c>
      <c r="E119" s="36" t="str">
        <f t="shared" si="3"/>
        <v/>
      </c>
    </row>
    <row r="120" spans="1:5" ht="30" customHeight="1" x14ac:dyDescent="0.25">
      <c r="A120" s="42"/>
      <c r="B120" s="37"/>
      <c r="C120" s="39"/>
      <c r="D120" s="36" t="str">
        <f t="shared" si="2"/>
        <v/>
      </c>
      <c r="E120" s="36" t="str">
        <f t="shared" si="3"/>
        <v/>
      </c>
    </row>
    <row r="121" spans="1:5" ht="30" customHeight="1" x14ac:dyDescent="0.25">
      <c r="A121" s="42"/>
      <c r="B121" s="37"/>
      <c r="C121" s="39"/>
      <c r="D121" s="36" t="str">
        <f t="shared" si="2"/>
        <v/>
      </c>
      <c r="E121" s="36" t="str">
        <f t="shared" si="3"/>
        <v/>
      </c>
    </row>
    <row r="122" spans="1:5" ht="30" customHeight="1" x14ac:dyDescent="0.25">
      <c r="A122" s="42"/>
      <c r="B122" s="37"/>
      <c r="C122" s="39"/>
      <c r="D122" s="36" t="str">
        <f t="shared" si="2"/>
        <v/>
      </c>
      <c r="E122" s="36" t="str">
        <f t="shared" si="3"/>
        <v/>
      </c>
    </row>
    <row r="123" spans="1:5" ht="30" customHeight="1" x14ac:dyDescent="0.25">
      <c r="A123" s="42"/>
      <c r="B123" s="37"/>
      <c r="C123" s="39"/>
      <c r="D123" s="36" t="str">
        <f t="shared" si="2"/>
        <v/>
      </c>
      <c r="E123" s="36" t="str">
        <f t="shared" si="3"/>
        <v/>
      </c>
    </row>
    <row r="124" spans="1:5" ht="30" customHeight="1" x14ac:dyDescent="0.25">
      <c r="A124" s="42"/>
      <c r="B124" s="37"/>
      <c r="C124" s="39"/>
      <c r="D124" s="36" t="str">
        <f t="shared" si="2"/>
        <v/>
      </c>
      <c r="E124" s="36" t="str">
        <f t="shared" si="3"/>
        <v/>
      </c>
    </row>
    <row r="125" spans="1:5" ht="30" customHeight="1" x14ac:dyDescent="0.25">
      <c r="A125" s="42"/>
      <c r="B125" s="37"/>
      <c r="C125" s="39"/>
      <c r="D125" s="36" t="str">
        <f t="shared" si="2"/>
        <v/>
      </c>
      <c r="E125" s="36" t="str">
        <f t="shared" si="3"/>
        <v/>
      </c>
    </row>
    <row r="126" spans="1:5" ht="30" customHeight="1" x14ac:dyDescent="0.25">
      <c r="A126" s="42"/>
      <c r="B126" s="37"/>
      <c r="C126" s="39"/>
      <c r="D126" s="36" t="str">
        <f t="shared" si="2"/>
        <v/>
      </c>
      <c r="E126" s="36" t="str">
        <f t="shared" si="3"/>
        <v/>
      </c>
    </row>
    <row r="127" spans="1:5" ht="30" customHeight="1" x14ac:dyDescent="0.25">
      <c r="A127" s="42"/>
      <c r="B127" s="37"/>
      <c r="C127" s="39"/>
      <c r="D127" s="36" t="str">
        <f t="shared" si="2"/>
        <v/>
      </c>
      <c r="E127" s="36" t="str">
        <f t="shared" si="3"/>
        <v/>
      </c>
    </row>
    <row r="128" spans="1:5" ht="30" customHeight="1" x14ac:dyDescent="0.25">
      <c r="A128" s="42"/>
      <c r="B128" s="37"/>
      <c r="C128" s="39"/>
      <c r="D128" s="36" t="str">
        <f t="shared" si="2"/>
        <v/>
      </c>
      <c r="E128" s="36" t="str">
        <f t="shared" si="3"/>
        <v/>
      </c>
    </row>
    <row r="129" spans="1:5" ht="30" customHeight="1" x14ac:dyDescent="0.25">
      <c r="A129" s="42"/>
      <c r="B129" s="37"/>
      <c r="C129" s="39"/>
      <c r="D129" s="36" t="str">
        <f t="shared" si="2"/>
        <v/>
      </c>
      <c r="E129" s="36" t="str">
        <f t="shared" si="3"/>
        <v/>
      </c>
    </row>
    <row r="130" spans="1:5" ht="30" customHeight="1" x14ac:dyDescent="0.25">
      <c r="A130" s="42"/>
      <c r="B130" s="37"/>
      <c r="C130" s="39"/>
      <c r="D130" s="36" t="str">
        <f t="shared" si="2"/>
        <v/>
      </c>
      <c r="E130" s="36" t="str">
        <f t="shared" si="3"/>
        <v/>
      </c>
    </row>
    <row r="131" spans="1:5" ht="30" customHeight="1" x14ac:dyDescent="0.25">
      <c r="A131" s="42"/>
      <c r="B131" s="37"/>
      <c r="C131" s="39"/>
      <c r="D131" s="36" t="str">
        <f t="shared" si="2"/>
        <v/>
      </c>
      <c r="E131" s="36" t="str">
        <f t="shared" si="3"/>
        <v/>
      </c>
    </row>
    <row r="132" spans="1:5" ht="30" customHeight="1" x14ac:dyDescent="0.25">
      <c r="A132" s="42"/>
      <c r="B132" s="37"/>
      <c r="C132" s="39"/>
      <c r="D132" s="36" t="str">
        <f t="shared" si="2"/>
        <v/>
      </c>
      <c r="E132" s="36" t="str">
        <f t="shared" si="3"/>
        <v/>
      </c>
    </row>
    <row r="133" spans="1:5" ht="30" customHeight="1" x14ac:dyDescent="0.25">
      <c r="A133" s="42"/>
      <c r="B133" s="37"/>
      <c r="C133" s="39"/>
      <c r="D133" s="36" t="str">
        <f t="shared" si="2"/>
        <v/>
      </c>
      <c r="E133" s="36" t="str">
        <f t="shared" si="3"/>
        <v/>
      </c>
    </row>
    <row r="134" spans="1:5" ht="30" customHeight="1" x14ac:dyDescent="0.25">
      <c r="A134" s="42"/>
      <c r="B134" s="37"/>
      <c r="C134" s="39"/>
      <c r="D134" s="36" t="str">
        <f t="shared" si="2"/>
        <v/>
      </c>
      <c r="E134" s="36" t="str">
        <f t="shared" si="3"/>
        <v/>
      </c>
    </row>
    <row r="135" spans="1:5" ht="30" customHeight="1" x14ac:dyDescent="0.25">
      <c r="A135" s="42"/>
      <c r="B135" s="37"/>
      <c r="C135" s="39"/>
      <c r="D135" s="36" t="str">
        <f t="shared" si="2"/>
        <v/>
      </c>
      <c r="E135" s="36" t="str">
        <f t="shared" si="3"/>
        <v/>
      </c>
    </row>
    <row r="136" spans="1:5" ht="30" customHeight="1" x14ac:dyDescent="0.25">
      <c r="A136" s="42"/>
      <c r="B136" s="37"/>
      <c r="C136" s="39"/>
      <c r="D136" s="36" t="str">
        <f t="shared" si="2"/>
        <v/>
      </c>
      <c r="E136" s="36" t="str">
        <f t="shared" si="3"/>
        <v/>
      </c>
    </row>
    <row r="137" spans="1:5" ht="30" customHeight="1" x14ac:dyDescent="0.25">
      <c r="A137" s="42"/>
      <c r="B137" s="37"/>
      <c r="C137" s="39"/>
      <c r="D137" s="36" t="str">
        <f t="shared" si="2"/>
        <v/>
      </c>
      <c r="E137" s="36" t="str">
        <f t="shared" si="3"/>
        <v/>
      </c>
    </row>
    <row r="138" spans="1:5" ht="30" customHeight="1" x14ac:dyDescent="0.25">
      <c r="A138" s="42"/>
      <c r="B138" s="37"/>
      <c r="C138" s="39"/>
      <c r="D138" s="36" t="str">
        <f t="shared" si="2"/>
        <v/>
      </c>
      <c r="E138" s="36" t="str">
        <f t="shared" si="3"/>
        <v/>
      </c>
    </row>
    <row r="139" spans="1:5" ht="30" customHeight="1" x14ac:dyDescent="0.25">
      <c r="A139" s="42"/>
      <c r="B139" s="37"/>
      <c r="C139" s="39"/>
      <c r="D139" s="36" t="str">
        <f t="shared" si="2"/>
        <v/>
      </c>
      <c r="E139" s="36" t="str">
        <f t="shared" si="3"/>
        <v/>
      </c>
    </row>
    <row r="140" spans="1:5" ht="30" customHeight="1" x14ac:dyDescent="0.25">
      <c r="A140" s="42"/>
      <c r="B140" s="37"/>
      <c r="C140" s="39"/>
      <c r="D140" s="36" t="str">
        <f t="shared" si="2"/>
        <v/>
      </c>
      <c r="E140" s="36" t="str">
        <f t="shared" si="3"/>
        <v/>
      </c>
    </row>
    <row r="141" spans="1:5" ht="30" customHeight="1" x14ac:dyDescent="0.25">
      <c r="A141" s="42"/>
      <c r="B141" s="37"/>
      <c r="C141" s="39"/>
      <c r="D141" s="36" t="str">
        <f t="shared" si="2"/>
        <v/>
      </c>
      <c r="E141" s="36" t="str">
        <f t="shared" si="3"/>
        <v/>
      </c>
    </row>
    <row r="142" spans="1:5" ht="30" customHeight="1" x14ac:dyDescent="0.25">
      <c r="A142" s="42"/>
      <c r="B142" s="37"/>
      <c r="C142" s="39"/>
      <c r="D142" s="36" t="str">
        <f t="shared" si="2"/>
        <v/>
      </c>
      <c r="E142" s="36" t="str">
        <f t="shared" si="3"/>
        <v/>
      </c>
    </row>
    <row r="143" spans="1:5" ht="30" customHeight="1" x14ac:dyDescent="0.25">
      <c r="A143" s="42"/>
      <c r="B143" s="37"/>
      <c r="C143" s="39"/>
      <c r="D143" s="36" t="str">
        <f t="shared" si="2"/>
        <v/>
      </c>
      <c r="E143" s="36" t="str">
        <f t="shared" si="3"/>
        <v/>
      </c>
    </row>
    <row r="144" spans="1:5" ht="30" customHeight="1" x14ac:dyDescent="0.25">
      <c r="A144" s="42"/>
      <c r="B144" s="37"/>
      <c r="C144" s="39"/>
      <c r="D144" s="36" t="str">
        <f t="shared" si="2"/>
        <v/>
      </c>
      <c r="E144" s="36" t="str">
        <f t="shared" si="3"/>
        <v/>
      </c>
    </row>
    <row r="145" spans="1:5" ht="30" customHeight="1" x14ac:dyDescent="0.25">
      <c r="A145" s="42"/>
      <c r="B145" s="37"/>
      <c r="C145" s="39"/>
      <c r="D145" s="36" t="str">
        <f t="shared" si="2"/>
        <v/>
      </c>
      <c r="E145" s="36" t="str">
        <f t="shared" si="3"/>
        <v/>
      </c>
    </row>
    <row r="146" spans="1:5" ht="30" customHeight="1" x14ac:dyDescent="0.25">
      <c r="A146" s="42"/>
      <c r="B146" s="37"/>
      <c r="C146" s="39"/>
      <c r="D146" s="36" t="str">
        <f t="shared" si="2"/>
        <v/>
      </c>
      <c r="E146" s="36" t="str">
        <f t="shared" si="3"/>
        <v/>
      </c>
    </row>
    <row r="147" spans="1:5" ht="30" customHeight="1" x14ac:dyDescent="0.25">
      <c r="A147" s="42"/>
      <c r="B147" s="37"/>
      <c r="C147" s="39"/>
      <c r="D147" s="36" t="str">
        <f t="shared" si="2"/>
        <v/>
      </c>
      <c r="E147" s="36" t="str">
        <f t="shared" si="3"/>
        <v/>
      </c>
    </row>
    <row r="148" spans="1:5" ht="30" customHeight="1" x14ac:dyDescent="0.25">
      <c r="A148" s="42"/>
      <c r="B148" s="37"/>
      <c r="C148" s="39"/>
      <c r="D148" s="36" t="str">
        <f t="shared" si="2"/>
        <v/>
      </c>
      <c r="E148" s="36" t="str">
        <f t="shared" si="3"/>
        <v/>
      </c>
    </row>
    <row r="149" spans="1:5" ht="30" customHeight="1" x14ac:dyDescent="0.25">
      <c r="A149" s="42"/>
      <c r="B149" s="37"/>
      <c r="C149" s="39"/>
      <c r="D149" s="36" t="str">
        <f t="shared" si="2"/>
        <v/>
      </c>
      <c r="E149" s="36" t="str">
        <f t="shared" si="3"/>
        <v/>
      </c>
    </row>
    <row r="150" spans="1:5" ht="30" customHeight="1" x14ac:dyDescent="0.25">
      <c r="A150" s="42"/>
      <c r="B150" s="37"/>
      <c r="C150" s="39"/>
      <c r="D150" s="36" t="str">
        <f t="shared" si="2"/>
        <v/>
      </c>
      <c r="E150" s="36" t="str">
        <f t="shared" si="3"/>
        <v/>
      </c>
    </row>
    <row r="151" spans="1:5" ht="30" customHeight="1" x14ac:dyDescent="0.25">
      <c r="A151" s="42"/>
      <c r="B151" s="37"/>
      <c r="C151" s="39"/>
      <c r="D151" s="36" t="str">
        <f t="shared" si="2"/>
        <v/>
      </c>
      <c r="E151" s="36" t="str">
        <f t="shared" si="3"/>
        <v/>
      </c>
    </row>
    <row r="152" spans="1:5" ht="30" customHeight="1" x14ac:dyDescent="0.25">
      <c r="A152" s="42"/>
      <c r="B152" s="37"/>
      <c r="C152" s="39"/>
      <c r="D152" s="36" t="str">
        <f t="shared" si="2"/>
        <v/>
      </c>
      <c r="E152" s="36" t="str">
        <f t="shared" si="3"/>
        <v/>
      </c>
    </row>
    <row r="153" spans="1:5" ht="30" customHeight="1" x14ac:dyDescent="0.25">
      <c r="A153" s="42"/>
      <c r="B153" s="37"/>
      <c r="C153" s="39"/>
      <c r="D153" s="36" t="str">
        <f t="shared" si="2"/>
        <v/>
      </c>
      <c r="E153" s="36" t="str">
        <f t="shared" si="3"/>
        <v/>
      </c>
    </row>
    <row r="154" spans="1:5" ht="30" customHeight="1" x14ac:dyDescent="0.25">
      <c r="A154" s="42"/>
      <c r="B154" s="37"/>
      <c r="C154" s="39"/>
      <c r="D154" s="36" t="str">
        <f t="shared" si="2"/>
        <v/>
      </c>
      <c r="E154" s="36" t="str">
        <f t="shared" si="3"/>
        <v/>
      </c>
    </row>
    <row r="155" spans="1:5" ht="30" customHeight="1" x14ac:dyDescent="0.25">
      <c r="A155" s="42"/>
      <c r="B155" s="37"/>
      <c r="C155" s="39"/>
      <c r="D155" s="36" t="str">
        <f t="shared" si="2"/>
        <v/>
      </c>
      <c r="E155" s="36" t="str">
        <f t="shared" si="3"/>
        <v/>
      </c>
    </row>
    <row r="156" spans="1:5" ht="30" customHeight="1" x14ac:dyDescent="0.25">
      <c r="A156" s="42"/>
      <c r="B156" s="37"/>
      <c r="C156" s="39"/>
      <c r="D156" s="36" t="str">
        <f t="shared" si="2"/>
        <v/>
      </c>
      <c r="E156" s="36" t="str">
        <f t="shared" si="3"/>
        <v/>
      </c>
    </row>
    <row r="157" spans="1:5" ht="30" customHeight="1" x14ac:dyDescent="0.25">
      <c r="A157" s="42"/>
      <c r="B157" s="37"/>
      <c r="C157" s="39"/>
      <c r="D157" s="36" t="str">
        <f t="shared" si="2"/>
        <v/>
      </c>
      <c r="E157" s="36" t="str">
        <f t="shared" si="3"/>
        <v/>
      </c>
    </row>
    <row r="158" spans="1:5" ht="30" customHeight="1" x14ac:dyDescent="0.25">
      <c r="A158" s="42"/>
      <c r="B158" s="37"/>
      <c r="C158" s="39"/>
      <c r="D158" s="36" t="str">
        <f t="shared" si="2"/>
        <v/>
      </c>
      <c r="E158" s="36" t="str">
        <f t="shared" si="3"/>
        <v/>
      </c>
    </row>
    <row r="159" spans="1:5" ht="30" customHeight="1" x14ac:dyDescent="0.25">
      <c r="A159" s="42"/>
      <c r="B159" s="37"/>
      <c r="C159" s="39"/>
      <c r="D159" s="36" t="str">
        <f t="shared" si="2"/>
        <v/>
      </c>
      <c r="E159" s="36" t="str">
        <f t="shared" si="3"/>
        <v/>
      </c>
    </row>
    <row r="160" spans="1:5" ht="30" customHeight="1" x14ac:dyDescent="0.25">
      <c r="A160" s="42"/>
      <c r="B160" s="37"/>
      <c r="C160" s="39"/>
      <c r="D160" s="36" t="str">
        <f t="shared" si="2"/>
        <v/>
      </c>
      <c r="E160" s="36" t="str">
        <f t="shared" si="3"/>
        <v/>
      </c>
    </row>
    <row r="161" spans="1:5" ht="30" customHeight="1" x14ac:dyDescent="0.25">
      <c r="A161" s="42"/>
      <c r="B161" s="37"/>
      <c r="C161" s="39"/>
      <c r="D161" s="36" t="str">
        <f t="shared" si="2"/>
        <v/>
      </c>
      <c r="E161" s="36" t="str">
        <f t="shared" si="3"/>
        <v/>
      </c>
    </row>
    <row r="162" spans="1:5" ht="30" customHeight="1" x14ac:dyDescent="0.25">
      <c r="A162" s="42"/>
      <c r="B162" s="37"/>
      <c r="C162" s="39"/>
      <c r="D162" s="36" t="str">
        <f t="shared" si="2"/>
        <v/>
      </c>
      <c r="E162" s="36" t="str">
        <f t="shared" si="3"/>
        <v/>
      </c>
    </row>
    <row r="163" spans="1:5" ht="30" customHeight="1" x14ac:dyDescent="0.25">
      <c r="A163" s="42"/>
      <c r="B163" s="37"/>
      <c r="C163" s="39"/>
      <c r="D163" s="36" t="str">
        <f t="shared" si="2"/>
        <v/>
      </c>
      <c r="E163" s="36" t="str">
        <f t="shared" si="3"/>
        <v/>
      </c>
    </row>
    <row r="164" spans="1:5" ht="30" customHeight="1" x14ac:dyDescent="0.25">
      <c r="A164" s="42"/>
      <c r="B164" s="37"/>
      <c r="C164" s="39"/>
      <c r="D164" s="36" t="str">
        <f t="shared" si="2"/>
        <v/>
      </c>
      <c r="E164" s="36" t="str">
        <f t="shared" si="3"/>
        <v/>
      </c>
    </row>
    <row r="165" spans="1:5" ht="30" customHeight="1" x14ac:dyDescent="0.25">
      <c r="A165" s="42"/>
      <c r="B165" s="37"/>
      <c r="C165" s="39"/>
      <c r="D165" s="36" t="str">
        <f t="shared" si="2"/>
        <v/>
      </c>
      <c r="E165" s="36" t="str">
        <f t="shared" si="3"/>
        <v/>
      </c>
    </row>
    <row r="166" spans="1:5" ht="30" customHeight="1" x14ac:dyDescent="0.25">
      <c r="A166" s="42"/>
      <c r="B166" s="37"/>
      <c r="C166" s="39"/>
      <c r="D166" s="36" t="str">
        <f t="shared" si="2"/>
        <v/>
      </c>
      <c r="E166" s="36" t="str">
        <f t="shared" si="3"/>
        <v/>
      </c>
    </row>
    <row r="167" spans="1:5" ht="30" customHeight="1" x14ac:dyDescent="0.25">
      <c r="A167" s="42"/>
      <c r="B167" s="37"/>
      <c r="C167" s="39"/>
      <c r="D167" s="36" t="str">
        <f t="shared" si="2"/>
        <v/>
      </c>
      <c r="E167" s="36" t="str">
        <f t="shared" si="3"/>
        <v/>
      </c>
    </row>
    <row r="168" spans="1:5" ht="30" customHeight="1" x14ac:dyDescent="0.25">
      <c r="A168" s="42"/>
      <c r="B168" s="37"/>
      <c r="C168" s="39"/>
      <c r="D168" s="36" t="str">
        <f t="shared" si="2"/>
        <v/>
      </c>
      <c r="E168" s="36" t="str">
        <f t="shared" si="3"/>
        <v/>
      </c>
    </row>
    <row r="169" spans="1:5" ht="30" customHeight="1" x14ac:dyDescent="0.25">
      <c r="A169" s="42"/>
      <c r="B169" s="37"/>
      <c r="C169" s="39"/>
      <c r="D169" s="36" t="str">
        <f t="shared" si="2"/>
        <v/>
      </c>
      <c r="E169" s="36" t="str">
        <f t="shared" si="3"/>
        <v/>
      </c>
    </row>
    <row r="170" spans="1:5" ht="30" customHeight="1" x14ac:dyDescent="0.25">
      <c r="A170" s="42"/>
      <c r="B170" s="37"/>
      <c r="C170" s="39"/>
      <c r="D170" s="36" t="str">
        <f t="shared" si="2"/>
        <v/>
      </c>
      <c r="E170" s="36" t="str">
        <f t="shared" si="3"/>
        <v/>
      </c>
    </row>
    <row r="171" spans="1:5" ht="30" customHeight="1" x14ac:dyDescent="0.25">
      <c r="A171" s="42"/>
      <c r="B171" s="37"/>
      <c r="C171" s="39"/>
      <c r="D171" s="36" t="str">
        <f t="shared" si="2"/>
        <v/>
      </c>
      <c r="E171" s="36" t="str">
        <f t="shared" si="3"/>
        <v/>
      </c>
    </row>
    <row r="172" spans="1:5" ht="30" customHeight="1" x14ac:dyDescent="0.25">
      <c r="A172" s="42"/>
      <c r="B172" s="37"/>
      <c r="C172" s="39"/>
      <c r="D172" s="36" t="str">
        <f t="shared" si="2"/>
        <v/>
      </c>
      <c r="E172" s="36" t="str">
        <f t="shared" si="3"/>
        <v/>
      </c>
    </row>
    <row r="173" spans="1:5" ht="30" customHeight="1" x14ac:dyDescent="0.25">
      <c r="A173" s="42"/>
      <c r="B173" s="37"/>
      <c r="C173" s="39"/>
      <c r="D173" s="36" t="str">
        <f t="shared" si="2"/>
        <v/>
      </c>
      <c r="E173" s="36" t="str">
        <f t="shared" si="3"/>
        <v/>
      </c>
    </row>
    <row r="174" spans="1:5" ht="30" customHeight="1" x14ac:dyDescent="0.25">
      <c r="A174" s="42"/>
      <c r="B174" s="37"/>
      <c r="C174" s="39"/>
      <c r="D174" s="36" t="str">
        <f t="shared" si="2"/>
        <v/>
      </c>
      <c r="E174" s="36" t="str">
        <f t="shared" si="3"/>
        <v/>
      </c>
    </row>
    <row r="175" spans="1:5" ht="30" customHeight="1" x14ac:dyDescent="0.25">
      <c r="A175" s="42"/>
      <c r="B175" s="37"/>
      <c r="C175" s="39"/>
      <c r="D175" s="36" t="str">
        <f t="shared" si="2"/>
        <v/>
      </c>
      <c r="E175" s="36" t="str">
        <f t="shared" si="3"/>
        <v/>
      </c>
    </row>
    <row r="176" spans="1:5" ht="30" customHeight="1" x14ac:dyDescent="0.25">
      <c r="A176" s="42"/>
      <c r="B176" s="37"/>
      <c r="C176" s="39"/>
      <c r="D176" s="36" t="str">
        <f t="shared" si="2"/>
        <v/>
      </c>
      <c r="E176" s="36" t="str">
        <f t="shared" si="3"/>
        <v/>
      </c>
    </row>
    <row r="177" spans="1:5" ht="30" customHeight="1" x14ac:dyDescent="0.25">
      <c r="A177" s="42"/>
      <c r="B177" s="37"/>
      <c r="C177" s="39"/>
      <c r="D177" s="36" t="str">
        <f t="shared" si="2"/>
        <v/>
      </c>
      <c r="E177" s="36" t="str">
        <f t="shared" si="3"/>
        <v/>
      </c>
    </row>
    <row r="178" spans="1:5" ht="30" customHeight="1" x14ac:dyDescent="0.25">
      <c r="A178" s="42"/>
      <c r="B178" s="37"/>
      <c r="C178" s="39"/>
      <c r="D178" s="36" t="str">
        <f t="shared" si="2"/>
        <v/>
      </c>
      <c r="E178" s="36" t="str">
        <f t="shared" si="3"/>
        <v/>
      </c>
    </row>
    <row r="179" spans="1:5" ht="30" customHeight="1" x14ac:dyDescent="0.25">
      <c r="A179" s="42"/>
      <c r="B179" s="37"/>
      <c r="C179" s="39"/>
      <c r="D179" s="36" t="str">
        <f t="shared" si="2"/>
        <v/>
      </c>
      <c r="E179" s="36" t="str">
        <f t="shared" si="3"/>
        <v/>
      </c>
    </row>
    <row r="180" spans="1:5" ht="30" customHeight="1" x14ac:dyDescent="0.25">
      <c r="A180" s="42"/>
      <c r="B180" s="37"/>
      <c r="C180" s="39"/>
      <c r="D180" s="36" t="str">
        <f t="shared" si="2"/>
        <v/>
      </c>
      <c r="E180" s="36" t="str">
        <f t="shared" si="3"/>
        <v/>
      </c>
    </row>
    <row r="181" spans="1:5" ht="30" customHeight="1" x14ac:dyDescent="0.25">
      <c r="A181" s="42"/>
      <c r="B181" s="37"/>
      <c r="C181" s="39"/>
      <c r="D181" s="36" t="str">
        <f t="shared" si="2"/>
        <v/>
      </c>
      <c r="E181" s="36" t="str">
        <f t="shared" si="3"/>
        <v/>
      </c>
    </row>
    <row r="182" spans="1:5" ht="30" customHeight="1" x14ac:dyDescent="0.25">
      <c r="A182" s="42"/>
      <c r="B182" s="37"/>
      <c r="C182" s="39"/>
      <c r="D182" s="36" t="str">
        <f t="shared" si="2"/>
        <v/>
      </c>
      <c r="E182" s="36" t="str">
        <f t="shared" si="3"/>
        <v/>
      </c>
    </row>
    <row r="183" spans="1:5" ht="30" customHeight="1" x14ac:dyDescent="0.25">
      <c r="A183" s="42"/>
      <c r="B183" s="37"/>
      <c r="C183" s="39"/>
      <c r="D183" s="36" t="str">
        <f t="shared" si="2"/>
        <v/>
      </c>
      <c r="E183" s="36" t="str">
        <f t="shared" si="3"/>
        <v/>
      </c>
    </row>
    <row r="184" spans="1:5" ht="30" customHeight="1" x14ac:dyDescent="0.25">
      <c r="A184" s="42"/>
      <c r="B184" s="37"/>
      <c r="C184" s="39"/>
      <c r="D184" s="36" t="str">
        <f t="shared" si="2"/>
        <v/>
      </c>
      <c r="E184" s="36" t="str">
        <f t="shared" si="3"/>
        <v/>
      </c>
    </row>
    <row r="185" spans="1:5" ht="30" customHeight="1" x14ac:dyDescent="0.25">
      <c r="A185" s="42"/>
      <c r="B185" s="37"/>
      <c r="C185" s="39"/>
      <c r="D185" s="36" t="str">
        <f t="shared" si="2"/>
        <v/>
      </c>
      <c r="E185" s="36" t="str">
        <f t="shared" si="3"/>
        <v/>
      </c>
    </row>
    <row r="186" spans="1:5" ht="30" customHeight="1" x14ac:dyDescent="0.25">
      <c r="A186" s="42"/>
      <c r="B186" s="37"/>
      <c r="C186" s="39"/>
      <c r="D186" s="36" t="str">
        <f t="shared" si="2"/>
        <v/>
      </c>
      <c r="E186" s="36" t="str">
        <f t="shared" si="3"/>
        <v/>
      </c>
    </row>
    <row r="187" spans="1:5" ht="30" customHeight="1" x14ac:dyDescent="0.25">
      <c r="A187" s="42"/>
      <c r="B187" s="37"/>
      <c r="C187" s="39"/>
      <c r="D187" s="36" t="str">
        <f t="shared" si="2"/>
        <v/>
      </c>
      <c r="E187" s="36" t="str">
        <f t="shared" si="3"/>
        <v/>
      </c>
    </row>
    <row r="188" spans="1:5" ht="30" customHeight="1" x14ac:dyDescent="0.25">
      <c r="A188" s="42"/>
      <c r="B188" s="37"/>
      <c r="C188" s="39"/>
      <c r="D188" s="36" t="str">
        <f t="shared" si="2"/>
        <v/>
      </c>
      <c r="E188" s="36" t="str">
        <f t="shared" si="3"/>
        <v/>
      </c>
    </row>
    <row r="189" spans="1:5" ht="30" customHeight="1" x14ac:dyDescent="0.25">
      <c r="A189" s="42"/>
      <c r="B189" s="37"/>
      <c r="C189" s="39"/>
      <c r="D189" s="36" t="str">
        <f t="shared" si="2"/>
        <v/>
      </c>
      <c r="E189" s="36" t="str">
        <f t="shared" si="3"/>
        <v/>
      </c>
    </row>
    <row r="190" spans="1:5" ht="30" customHeight="1" x14ac:dyDescent="0.25">
      <c r="A190" s="42"/>
      <c r="B190" s="37"/>
      <c r="C190" s="39"/>
      <c r="D190" s="36" t="str">
        <f t="shared" si="2"/>
        <v/>
      </c>
      <c r="E190" s="36" t="str">
        <f t="shared" si="3"/>
        <v/>
      </c>
    </row>
    <row r="191" spans="1:5" ht="30" customHeight="1" x14ac:dyDescent="0.25">
      <c r="A191" s="42"/>
      <c r="B191" s="37"/>
      <c r="C191" s="39"/>
      <c r="D191" s="36" t="str">
        <f t="shared" si="2"/>
        <v/>
      </c>
      <c r="E191" s="36" t="str">
        <f t="shared" si="3"/>
        <v/>
      </c>
    </row>
    <row r="192" spans="1:5" ht="30" customHeight="1" x14ac:dyDescent="0.25">
      <c r="A192" s="42"/>
      <c r="B192" s="37"/>
      <c r="C192" s="39"/>
      <c r="D192" s="36" t="str">
        <f t="shared" si="2"/>
        <v/>
      </c>
      <c r="E192" s="36" t="str">
        <f t="shared" si="3"/>
        <v/>
      </c>
    </row>
    <row r="193" spans="1:5" ht="30" customHeight="1" x14ac:dyDescent="0.25">
      <c r="A193" s="42"/>
      <c r="B193" s="37"/>
      <c r="C193" s="39"/>
      <c r="D193" s="36" t="str">
        <f t="shared" si="2"/>
        <v/>
      </c>
      <c r="E193" s="36" t="str">
        <f t="shared" si="3"/>
        <v/>
      </c>
    </row>
    <row r="194" spans="1:5" ht="30" customHeight="1" x14ac:dyDescent="0.25">
      <c r="A194" s="42"/>
      <c r="B194" s="37"/>
      <c r="C194" s="39"/>
      <c r="D194" s="36" t="str">
        <f t="shared" si="2"/>
        <v/>
      </c>
      <c r="E194" s="36" t="str">
        <f t="shared" si="3"/>
        <v/>
      </c>
    </row>
    <row r="195" spans="1:5" ht="30" customHeight="1" x14ac:dyDescent="0.25">
      <c r="A195" s="42"/>
      <c r="B195" s="37"/>
      <c r="C195" s="39"/>
      <c r="D195" s="36" t="str">
        <f t="shared" si="2"/>
        <v/>
      </c>
      <c r="E195" s="36" t="str">
        <f t="shared" si="3"/>
        <v/>
      </c>
    </row>
    <row r="196" spans="1:5" ht="30" customHeight="1" x14ac:dyDescent="0.25">
      <c r="A196" s="42"/>
      <c r="B196" s="37"/>
      <c r="C196" s="39"/>
      <c r="D196" s="36" t="str">
        <f t="shared" si="2"/>
        <v/>
      </c>
      <c r="E196" s="36" t="str">
        <f t="shared" si="3"/>
        <v/>
      </c>
    </row>
    <row r="197" spans="1:5" ht="30" customHeight="1" x14ac:dyDescent="0.25">
      <c r="A197" s="42"/>
      <c r="B197" s="37"/>
      <c r="C197" s="39"/>
      <c r="D197" s="36" t="str">
        <f t="shared" si="2"/>
        <v/>
      </c>
      <c r="E197" s="36" t="str">
        <f t="shared" si="3"/>
        <v/>
      </c>
    </row>
    <row r="198" spans="1:5" ht="30" customHeight="1" x14ac:dyDescent="0.25">
      <c r="A198" s="42"/>
      <c r="B198" s="37"/>
      <c r="C198" s="39"/>
      <c r="D198" s="36" t="str">
        <f t="shared" si="2"/>
        <v/>
      </c>
      <c r="E198" s="36" t="str">
        <f t="shared" si="3"/>
        <v/>
      </c>
    </row>
    <row r="199" spans="1:5" ht="30" customHeight="1" x14ac:dyDescent="0.25">
      <c r="A199" s="42"/>
      <c r="B199" s="37"/>
      <c r="C199" s="39"/>
      <c r="D199" s="36" t="str">
        <f t="shared" si="2"/>
        <v/>
      </c>
      <c r="E199" s="36" t="str">
        <f t="shared" si="3"/>
        <v/>
      </c>
    </row>
    <row r="200" spans="1:5" ht="30" customHeight="1" x14ac:dyDescent="0.25">
      <c r="A200" s="42"/>
      <c r="B200" s="37"/>
      <c r="C200" s="39"/>
      <c r="D200" s="36" t="str">
        <f t="shared" si="2"/>
        <v/>
      </c>
      <c r="E200" s="36" t="str">
        <f t="shared" si="3"/>
        <v/>
      </c>
    </row>
    <row r="201" spans="1:5" ht="30" customHeight="1" x14ac:dyDescent="0.25">
      <c r="A201" s="42"/>
      <c r="B201" s="37"/>
      <c r="C201" s="39"/>
      <c r="D201" s="36" t="str">
        <f t="shared" si="2"/>
        <v/>
      </c>
      <c r="E201" s="36" t="str">
        <f t="shared" si="3"/>
        <v/>
      </c>
    </row>
    <row r="202" spans="1:5" ht="30" customHeight="1" x14ac:dyDescent="0.25">
      <c r="A202" s="42"/>
      <c r="B202" s="37"/>
      <c r="C202" s="39"/>
      <c r="D202" s="36" t="str">
        <f t="shared" si="2"/>
        <v/>
      </c>
      <c r="E202" s="36" t="str">
        <f t="shared" si="3"/>
        <v/>
      </c>
    </row>
    <row r="203" spans="1:5" ht="30" customHeight="1" x14ac:dyDescent="0.25">
      <c r="A203" s="42"/>
      <c r="B203" s="37"/>
      <c r="C203" s="39"/>
      <c r="D203" s="36" t="str">
        <f t="shared" si="2"/>
        <v/>
      </c>
      <c r="E203" s="36" t="str">
        <f t="shared" si="3"/>
        <v/>
      </c>
    </row>
    <row r="204" spans="1:5" ht="30" customHeight="1" x14ac:dyDescent="0.25">
      <c r="A204" s="42"/>
      <c r="B204" s="37"/>
      <c r="C204" s="39"/>
      <c r="D204" s="36" t="str">
        <f t="shared" si="2"/>
        <v/>
      </c>
      <c r="E204" s="36" t="str">
        <f t="shared" si="3"/>
        <v/>
      </c>
    </row>
    <row r="205" spans="1:5" ht="30" customHeight="1" x14ac:dyDescent="0.25">
      <c r="A205" s="42"/>
      <c r="B205" s="37"/>
      <c r="C205" s="39"/>
      <c r="D205" s="36" t="str">
        <f t="shared" si="2"/>
        <v/>
      </c>
      <c r="E205" s="36" t="str">
        <f t="shared" si="3"/>
        <v/>
      </c>
    </row>
    <row r="206" spans="1:5" ht="30" customHeight="1" x14ac:dyDescent="0.25">
      <c r="A206" s="42"/>
      <c r="B206" s="37"/>
      <c r="C206" s="39"/>
      <c r="D206" s="36" t="str">
        <f t="shared" si="2"/>
        <v/>
      </c>
      <c r="E206" s="36" t="str">
        <f t="shared" si="3"/>
        <v/>
      </c>
    </row>
    <row r="207" spans="1:5" ht="30" customHeight="1" x14ac:dyDescent="0.25">
      <c r="A207" s="42"/>
      <c r="B207" s="37"/>
      <c r="C207" s="39"/>
      <c r="D207" s="36" t="str">
        <f t="shared" si="2"/>
        <v/>
      </c>
      <c r="E207" s="36" t="str">
        <f t="shared" si="3"/>
        <v/>
      </c>
    </row>
    <row r="208" spans="1:5" ht="30" customHeight="1" x14ac:dyDescent="0.25">
      <c r="A208" s="42"/>
      <c r="B208" s="37"/>
      <c r="C208" s="39"/>
      <c r="D208" s="36" t="str">
        <f t="shared" si="2"/>
        <v/>
      </c>
      <c r="E208" s="36" t="str">
        <f t="shared" si="3"/>
        <v/>
      </c>
    </row>
    <row r="209" spans="1:5" ht="30" customHeight="1" x14ac:dyDescent="0.25">
      <c r="A209" s="42"/>
      <c r="B209" s="37"/>
      <c r="C209" s="39"/>
      <c r="D209" s="36" t="str">
        <f t="shared" si="2"/>
        <v/>
      </c>
      <c r="E209" s="36" t="str">
        <f t="shared" si="3"/>
        <v/>
      </c>
    </row>
    <row r="210" spans="1:5" ht="30" customHeight="1" x14ac:dyDescent="0.25">
      <c r="A210" s="42"/>
      <c r="B210" s="37"/>
      <c r="C210" s="39"/>
      <c r="D210" s="36" t="str">
        <f t="shared" si="2"/>
        <v/>
      </c>
      <c r="E210" s="36" t="str">
        <f t="shared" si="3"/>
        <v/>
      </c>
    </row>
    <row r="211" spans="1:5" ht="30" customHeight="1" x14ac:dyDescent="0.25">
      <c r="A211" s="42"/>
      <c r="B211" s="37"/>
      <c r="C211" s="39"/>
      <c r="D211" s="36" t="str">
        <f t="shared" si="2"/>
        <v/>
      </c>
      <c r="E211" s="36" t="str">
        <f t="shared" si="3"/>
        <v/>
      </c>
    </row>
    <row r="212" spans="1:5" ht="30" customHeight="1" x14ac:dyDescent="0.25">
      <c r="A212" s="42"/>
      <c r="B212" s="37"/>
      <c r="C212" s="39"/>
      <c r="D212" s="36" t="str">
        <f t="shared" si="2"/>
        <v/>
      </c>
      <c r="E212" s="36" t="str">
        <f t="shared" si="3"/>
        <v/>
      </c>
    </row>
    <row r="213" spans="1:5" ht="30" customHeight="1" x14ac:dyDescent="0.25">
      <c r="A213" s="42"/>
      <c r="B213" s="37"/>
      <c r="C213" s="39"/>
      <c r="D213" s="36" t="str">
        <f t="shared" si="2"/>
        <v/>
      </c>
      <c r="E213" s="36" t="str">
        <f t="shared" si="3"/>
        <v/>
      </c>
    </row>
    <row r="214" spans="1:5" ht="30" customHeight="1" x14ac:dyDescent="0.25">
      <c r="A214" s="42"/>
      <c r="B214" s="37"/>
      <c r="C214" s="39"/>
      <c r="D214" s="36" t="str">
        <f t="shared" si="2"/>
        <v/>
      </c>
      <c r="E214" s="36" t="str">
        <f t="shared" si="3"/>
        <v/>
      </c>
    </row>
    <row r="215" spans="1:5" ht="30" customHeight="1" x14ac:dyDescent="0.25">
      <c r="A215" s="42"/>
      <c r="B215" s="37"/>
      <c r="C215" s="39"/>
      <c r="D215" s="36" t="str">
        <f t="shared" si="2"/>
        <v/>
      </c>
      <c r="E215" s="36" t="str">
        <f t="shared" si="3"/>
        <v/>
      </c>
    </row>
    <row r="216" spans="1:5" ht="30" customHeight="1" x14ac:dyDescent="0.25">
      <c r="A216" s="42"/>
      <c r="B216" s="37"/>
      <c r="C216" s="39"/>
      <c r="D216" s="36" t="str">
        <f t="shared" si="2"/>
        <v/>
      </c>
      <c r="E216" s="36" t="str">
        <f t="shared" si="3"/>
        <v/>
      </c>
    </row>
    <row r="217" spans="1:5" ht="30" customHeight="1" x14ac:dyDescent="0.25">
      <c r="A217" s="42"/>
      <c r="B217" s="37"/>
      <c r="C217" s="39"/>
      <c r="D217" s="36" t="str">
        <f t="shared" si="2"/>
        <v/>
      </c>
      <c r="E217" s="36" t="str">
        <f t="shared" si="3"/>
        <v/>
      </c>
    </row>
    <row r="218" spans="1:5" ht="30" customHeight="1" x14ac:dyDescent="0.25">
      <c r="A218" s="42"/>
      <c r="B218" s="37"/>
      <c r="C218" s="39"/>
      <c r="D218" s="36" t="str">
        <f t="shared" si="2"/>
        <v/>
      </c>
      <c r="E218" s="36" t="str">
        <f t="shared" si="3"/>
        <v/>
      </c>
    </row>
    <row r="219" spans="1:5" ht="30" customHeight="1" x14ac:dyDescent="0.25">
      <c r="A219" s="42"/>
      <c r="B219" s="37"/>
      <c r="C219" s="39"/>
      <c r="D219" s="36" t="str">
        <f t="shared" si="2"/>
        <v/>
      </c>
      <c r="E219" s="36" t="str">
        <f t="shared" si="3"/>
        <v/>
      </c>
    </row>
    <row r="220" spans="1:5" ht="30" customHeight="1" x14ac:dyDescent="0.25">
      <c r="A220" s="42"/>
      <c r="B220" s="37"/>
      <c r="C220" s="39"/>
      <c r="D220" s="36" t="str">
        <f t="shared" si="2"/>
        <v/>
      </c>
      <c r="E220" s="36" t="str">
        <f t="shared" si="3"/>
        <v/>
      </c>
    </row>
    <row r="221" spans="1:5" ht="30" customHeight="1" x14ac:dyDescent="0.25">
      <c r="A221" s="42"/>
      <c r="B221" s="37"/>
      <c r="C221" s="39"/>
      <c r="D221" s="36" t="str">
        <f t="shared" si="2"/>
        <v/>
      </c>
      <c r="E221" s="36" t="str">
        <f t="shared" si="3"/>
        <v/>
      </c>
    </row>
    <row r="222" spans="1:5" ht="30" customHeight="1" x14ac:dyDescent="0.25">
      <c r="A222" s="42"/>
      <c r="B222" s="37"/>
      <c r="C222" s="39"/>
      <c r="D222" s="36" t="str">
        <f t="shared" si="2"/>
        <v/>
      </c>
      <c r="E222" s="36" t="str">
        <f t="shared" si="3"/>
        <v/>
      </c>
    </row>
    <row r="223" spans="1:5" ht="30" customHeight="1" x14ac:dyDescent="0.25">
      <c r="A223" s="42"/>
      <c r="B223" s="37"/>
      <c r="C223" s="39"/>
      <c r="D223" s="36" t="str">
        <f t="shared" si="2"/>
        <v/>
      </c>
      <c r="E223" s="36" t="str">
        <f t="shared" si="3"/>
        <v/>
      </c>
    </row>
    <row r="224" spans="1:5" ht="30" customHeight="1" x14ac:dyDescent="0.25">
      <c r="A224" s="42"/>
      <c r="B224" s="37"/>
      <c r="C224" s="39"/>
      <c r="D224" s="36" t="str">
        <f t="shared" si="2"/>
        <v/>
      </c>
      <c r="E224" s="36" t="str">
        <f t="shared" si="3"/>
        <v/>
      </c>
    </row>
    <row r="225" spans="1:5" ht="30" customHeight="1" x14ac:dyDescent="0.25">
      <c r="A225" s="42"/>
      <c r="B225" s="37"/>
      <c r="C225" s="39"/>
      <c r="D225" s="36" t="str">
        <f t="shared" si="2"/>
        <v/>
      </c>
      <c r="E225" s="36" t="str">
        <f t="shared" si="3"/>
        <v/>
      </c>
    </row>
    <row r="226" spans="1:5" ht="30" customHeight="1" x14ac:dyDescent="0.25">
      <c r="A226" s="42"/>
      <c r="B226" s="37"/>
      <c r="C226" s="39"/>
      <c r="D226" s="36" t="str">
        <f t="shared" si="2"/>
        <v/>
      </c>
      <c r="E226" s="36" t="str">
        <f t="shared" si="3"/>
        <v/>
      </c>
    </row>
    <row r="227" spans="1:5" ht="30" customHeight="1" x14ac:dyDescent="0.25">
      <c r="A227" s="42"/>
      <c r="B227" s="37"/>
      <c r="C227" s="39"/>
      <c r="D227" s="36" t="str">
        <f t="shared" si="2"/>
        <v/>
      </c>
      <c r="E227" s="36" t="str">
        <f t="shared" si="3"/>
        <v/>
      </c>
    </row>
    <row r="228" spans="1:5" ht="30" customHeight="1" x14ac:dyDescent="0.25">
      <c r="A228" s="42"/>
      <c r="B228" s="37"/>
      <c r="C228" s="39"/>
      <c r="D228" s="36" t="str">
        <f t="shared" si="2"/>
        <v/>
      </c>
      <c r="E228" s="36" t="str">
        <f t="shared" si="3"/>
        <v/>
      </c>
    </row>
    <row r="229" spans="1:5" ht="30" customHeight="1" x14ac:dyDescent="0.25">
      <c r="A229" s="42"/>
      <c r="B229" s="37"/>
      <c r="C229" s="39"/>
      <c r="D229" s="36" t="str">
        <f t="shared" si="2"/>
        <v/>
      </c>
      <c r="E229" s="36" t="str">
        <f t="shared" si="3"/>
        <v/>
      </c>
    </row>
    <row r="230" spans="1:5" ht="30" customHeight="1" x14ac:dyDescent="0.25">
      <c r="A230" s="42"/>
      <c r="B230" s="37"/>
      <c r="C230" s="39"/>
      <c r="D230" s="36" t="str">
        <f t="shared" si="2"/>
        <v/>
      </c>
      <c r="E230" s="36" t="str">
        <f t="shared" si="3"/>
        <v/>
      </c>
    </row>
    <row r="231" spans="1:5" ht="30" customHeight="1" x14ac:dyDescent="0.25">
      <c r="A231" s="42"/>
      <c r="B231" s="37"/>
      <c r="C231" s="39"/>
      <c r="D231" s="36" t="str">
        <f t="shared" si="2"/>
        <v/>
      </c>
      <c r="E231" s="36" t="str">
        <f t="shared" si="3"/>
        <v/>
      </c>
    </row>
    <row r="232" spans="1:5" ht="30" customHeight="1" x14ac:dyDescent="0.25">
      <c r="A232" s="42"/>
      <c r="B232" s="37"/>
      <c r="C232" s="39"/>
      <c r="D232" s="36" t="str">
        <f t="shared" si="2"/>
        <v/>
      </c>
      <c r="E232" s="36" t="str">
        <f t="shared" si="3"/>
        <v/>
      </c>
    </row>
    <row r="233" spans="1:5" ht="30" customHeight="1" x14ac:dyDescent="0.25">
      <c r="A233" s="42"/>
      <c r="B233" s="37"/>
      <c r="C233" s="39"/>
      <c r="D233" s="36" t="str">
        <f t="shared" si="2"/>
        <v/>
      </c>
      <c r="E233" s="36" t="str">
        <f t="shared" si="3"/>
        <v/>
      </c>
    </row>
    <row r="234" spans="1:5" ht="30" customHeight="1" x14ac:dyDescent="0.25">
      <c r="A234" s="42"/>
      <c r="B234" s="37"/>
      <c r="C234" s="39"/>
      <c r="D234" s="36" t="str">
        <f t="shared" si="2"/>
        <v/>
      </c>
      <c r="E234" s="36" t="str">
        <f t="shared" si="3"/>
        <v/>
      </c>
    </row>
    <row r="235" spans="1:5" ht="30" customHeight="1" x14ac:dyDescent="0.25">
      <c r="A235" s="42"/>
      <c r="B235" s="37"/>
      <c r="C235" s="39"/>
      <c r="D235" s="36" t="str">
        <f t="shared" si="2"/>
        <v/>
      </c>
      <c r="E235" s="36" t="str">
        <f t="shared" si="3"/>
        <v/>
      </c>
    </row>
    <row r="236" spans="1:5" ht="30" customHeight="1" x14ac:dyDescent="0.25">
      <c r="A236" s="42"/>
      <c r="B236" s="37"/>
      <c r="C236" s="39"/>
      <c r="D236" s="36" t="str">
        <f t="shared" si="2"/>
        <v/>
      </c>
      <c r="E236" s="36" t="str">
        <f t="shared" si="3"/>
        <v/>
      </c>
    </row>
    <row r="237" spans="1:5" ht="30" customHeight="1" x14ac:dyDescent="0.25">
      <c r="A237" s="42"/>
      <c r="B237" s="37"/>
      <c r="C237" s="39"/>
      <c r="D237" s="36" t="str">
        <f t="shared" si="2"/>
        <v/>
      </c>
      <c r="E237" s="36" t="str">
        <f t="shared" si="3"/>
        <v/>
      </c>
    </row>
    <row r="238" spans="1:5" ht="30" customHeight="1" x14ac:dyDescent="0.25">
      <c r="A238" s="42"/>
      <c r="B238" s="37"/>
      <c r="C238" s="39"/>
      <c r="D238" s="36" t="str">
        <f t="shared" si="2"/>
        <v/>
      </c>
      <c r="E238" s="36" t="str">
        <f t="shared" si="3"/>
        <v/>
      </c>
    </row>
    <row r="239" spans="1:5" ht="30" customHeight="1" x14ac:dyDescent="0.25">
      <c r="A239" s="42"/>
      <c r="B239" s="37"/>
      <c r="C239" s="39"/>
      <c r="D239" s="36" t="str">
        <f t="shared" si="2"/>
        <v/>
      </c>
      <c r="E239" s="36" t="str">
        <f t="shared" si="3"/>
        <v/>
      </c>
    </row>
    <row r="240" spans="1:5" ht="30" customHeight="1" x14ac:dyDescent="0.25">
      <c r="A240" s="42"/>
      <c r="B240" s="37"/>
      <c r="C240" s="39"/>
      <c r="D240" s="36" t="str">
        <f t="shared" si="2"/>
        <v/>
      </c>
      <c r="E240" s="36" t="str">
        <f t="shared" si="3"/>
        <v/>
      </c>
    </row>
    <row r="241" spans="1:5" ht="30" customHeight="1" x14ac:dyDescent="0.25">
      <c r="A241" s="42"/>
      <c r="B241" s="37"/>
      <c r="C241" s="39"/>
      <c r="D241" s="36" t="str">
        <f t="shared" si="2"/>
        <v/>
      </c>
      <c r="E241" s="36" t="str">
        <f t="shared" si="3"/>
        <v/>
      </c>
    </row>
    <row r="242" spans="1:5" ht="30" customHeight="1" x14ac:dyDescent="0.25">
      <c r="A242" s="42"/>
      <c r="B242" s="37"/>
      <c r="C242" s="39"/>
      <c r="D242" s="36" t="str">
        <f t="shared" si="2"/>
        <v/>
      </c>
      <c r="E242" s="36" t="str">
        <f t="shared" si="3"/>
        <v/>
      </c>
    </row>
    <row r="243" spans="1:5" ht="30" customHeight="1" x14ac:dyDescent="0.25">
      <c r="A243" s="42"/>
      <c r="B243" s="37"/>
      <c r="C243" s="39"/>
      <c r="D243" s="36" t="str">
        <f t="shared" si="2"/>
        <v/>
      </c>
      <c r="E243" s="36" t="str">
        <f t="shared" si="3"/>
        <v/>
      </c>
    </row>
    <row r="244" spans="1:5" ht="30" customHeight="1" x14ac:dyDescent="0.25">
      <c r="A244" s="42"/>
      <c r="B244" s="37"/>
      <c r="C244" s="39"/>
      <c r="D244" s="36" t="str">
        <f t="shared" si="2"/>
        <v/>
      </c>
      <c r="E244" s="36" t="str">
        <f t="shared" si="3"/>
        <v/>
      </c>
    </row>
    <row r="245" spans="1:5" ht="30" customHeight="1" x14ac:dyDescent="0.25">
      <c r="A245" s="42"/>
      <c r="B245" s="37"/>
      <c r="C245" s="39"/>
      <c r="D245" s="36" t="str">
        <f t="shared" si="2"/>
        <v/>
      </c>
      <c r="E245" s="36" t="str">
        <f t="shared" si="3"/>
        <v/>
      </c>
    </row>
    <row r="246" spans="1:5" ht="30" customHeight="1" x14ac:dyDescent="0.25">
      <c r="A246" s="42"/>
      <c r="B246" s="37"/>
      <c r="C246" s="39"/>
      <c r="D246" s="36" t="str">
        <f t="shared" si="2"/>
        <v/>
      </c>
      <c r="E246" s="36" t="str">
        <f t="shared" si="3"/>
        <v/>
      </c>
    </row>
    <row r="247" spans="1:5" ht="30" customHeight="1" x14ac:dyDescent="0.25">
      <c r="A247" s="42"/>
      <c r="B247" s="37"/>
      <c r="C247" s="39"/>
      <c r="D247" s="36" t="str">
        <f t="shared" si="2"/>
        <v/>
      </c>
      <c r="E247" s="36" t="str">
        <f t="shared" si="3"/>
        <v/>
      </c>
    </row>
    <row r="248" spans="1:5" ht="30" customHeight="1" x14ac:dyDescent="0.25">
      <c r="A248" s="42"/>
      <c r="B248" s="37"/>
      <c r="C248" s="39"/>
      <c r="D248" s="36" t="str">
        <f t="shared" si="2"/>
        <v/>
      </c>
      <c r="E248" s="36" t="str">
        <f t="shared" si="3"/>
        <v/>
      </c>
    </row>
    <row r="249" spans="1:5" ht="30" customHeight="1" x14ac:dyDescent="0.25">
      <c r="A249" s="42"/>
      <c r="B249" s="37"/>
      <c r="C249" s="39"/>
      <c r="D249" s="36" t="str">
        <f t="shared" si="2"/>
        <v/>
      </c>
      <c r="E249" s="36" t="str">
        <f t="shared" si="3"/>
        <v/>
      </c>
    </row>
    <row r="250" spans="1:5" ht="30" customHeight="1" x14ac:dyDescent="0.25">
      <c r="A250" s="42"/>
      <c r="B250" s="37"/>
      <c r="C250" s="39"/>
      <c r="D250" s="36" t="str">
        <f t="shared" si="2"/>
        <v/>
      </c>
      <c r="E250" s="36" t="str">
        <f t="shared" si="3"/>
        <v/>
      </c>
    </row>
    <row r="251" spans="1:5" ht="30" customHeight="1" x14ac:dyDescent="0.25">
      <c r="A251" s="42"/>
      <c r="B251" s="37"/>
      <c r="C251" s="39"/>
      <c r="D251" s="36" t="str">
        <f t="shared" si="2"/>
        <v/>
      </c>
      <c r="E251" s="36" t="str">
        <f t="shared" si="3"/>
        <v/>
      </c>
    </row>
    <row r="252" spans="1:5" ht="30" customHeight="1" x14ac:dyDescent="0.25">
      <c r="A252" s="42"/>
      <c r="B252" s="37"/>
      <c r="C252" s="39"/>
      <c r="D252" s="36" t="str">
        <f t="shared" si="2"/>
        <v/>
      </c>
      <c r="E252" s="36" t="str">
        <f t="shared" si="3"/>
        <v/>
      </c>
    </row>
    <row r="253" spans="1:5" ht="30" customHeight="1" x14ac:dyDescent="0.25">
      <c r="A253" s="42"/>
      <c r="B253" s="37"/>
      <c r="C253" s="39"/>
      <c r="D253" s="36" t="str">
        <f t="shared" si="2"/>
        <v/>
      </c>
      <c r="E253" s="36" t="str">
        <f t="shared" si="3"/>
        <v/>
      </c>
    </row>
    <row r="254" spans="1:5" ht="30" customHeight="1" x14ac:dyDescent="0.25">
      <c r="A254" s="42"/>
      <c r="B254" s="37"/>
      <c r="C254" s="39"/>
      <c r="D254" s="36" t="str">
        <f t="shared" si="2"/>
        <v/>
      </c>
      <c r="E254" s="36" t="str">
        <f t="shared" si="3"/>
        <v/>
      </c>
    </row>
    <row r="255" spans="1:5" ht="30" customHeight="1" x14ac:dyDescent="0.25">
      <c r="A255" s="42"/>
      <c r="B255" s="37"/>
      <c r="C255" s="39"/>
      <c r="D255" s="36" t="str">
        <f t="shared" si="2"/>
        <v/>
      </c>
      <c r="E255" s="36" t="str">
        <f t="shared" si="3"/>
        <v/>
      </c>
    </row>
    <row r="256" spans="1:5" ht="30" customHeight="1" x14ac:dyDescent="0.25">
      <c r="A256" s="42"/>
      <c r="B256" s="37"/>
      <c r="C256" s="39"/>
      <c r="D256" s="36" t="str">
        <f t="shared" si="2"/>
        <v/>
      </c>
      <c r="E256" s="36" t="str">
        <f t="shared" si="3"/>
        <v/>
      </c>
    </row>
    <row r="257" spans="1:5" ht="30" customHeight="1" x14ac:dyDescent="0.25">
      <c r="A257" s="42"/>
      <c r="B257" s="37"/>
      <c r="C257" s="39"/>
      <c r="D257" s="36" t="str">
        <f t="shared" si="2"/>
        <v/>
      </c>
      <c r="E257" s="36" t="str">
        <f t="shared" si="3"/>
        <v/>
      </c>
    </row>
    <row r="258" spans="1:5" ht="30" customHeight="1" x14ac:dyDescent="0.25">
      <c r="A258" s="42"/>
      <c r="B258" s="37"/>
      <c r="C258" s="39"/>
      <c r="D258" s="36" t="str">
        <f t="shared" si="2"/>
        <v/>
      </c>
      <c r="E258" s="36" t="str">
        <f t="shared" si="3"/>
        <v/>
      </c>
    </row>
    <row r="259" spans="1:5" ht="30" customHeight="1" x14ac:dyDescent="0.25">
      <c r="A259" s="42"/>
      <c r="B259" s="37"/>
      <c r="C259" s="39"/>
      <c r="D259" s="36" t="str">
        <f t="shared" si="2"/>
        <v/>
      </c>
      <c r="E259" s="36" t="str">
        <f t="shared" si="3"/>
        <v/>
      </c>
    </row>
    <row r="260" spans="1:5" ht="30" customHeight="1" x14ac:dyDescent="0.25">
      <c r="A260" s="42"/>
      <c r="B260" s="37"/>
      <c r="C260" s="39"/>
      <c r="D260" s="36" t="str">
        <f t="shared" si="2"/>
        <v/>
      </c>
      <c r="E260" s="36" t="str">
        <f t="shared" si="3"/>
        <v/>
      </c>
    </row>
    <row r="261" spans="1:5" ht="30" customHeight="1" x14ac:dyDescent="0.25">
      <c r="A261" s="42"/>
      <c r="B261" s="37"/>
      <c r="C261" s="39"/>
      <c r="D261" s="36" t="str">
        <f t="shared" si="2"/>
        <v/>
      </c>
      <c r="E261" s="36" t="str">
        <f t="shared" si="3"/>
        <v/>
      </c>
    </row>
    <row r="262" spans="1:5" ht="30" customHeight="1" x14ac:dyDescent="0.25">
      <c r="A262" s="42"/>
      <c r="B262" s="37"/>
      <c r="C262" s="39"/>
      <c r="D262" s="36" t="str">
        <f t="shared" si="2"/>
        <v/>
      </c>
      <c r="E262" s="36" t="str">
        <f t="shared" si="3"/>
        <v/>
      </c>
    </row>
    <row r="263" spans="1:5" ht="30" customHeight="1" x14ac:dyDescent="0.25">
      <c r="A263" s="42"/>
      <c r="B263" s="37"/>
      <c r="C263" s="39"/>
      <c r="D263" s="36" t="str">
        <f t="shared" si="2"/>
        <v/>
      </c>
      <c r="E263" s="36" t="str">
        <f t="shared" si="3"/>
        <v/>
      </c>
    </row>
    <row r="264" spans="1:5" ht="30" customHeight="1" x14ac:dyDescent="0.25">
      <c r="A264" s="42"/>
      <c r="B264" s="37"/>
      <c r="C264" s="39"/>
      <c r="D264" s="36" t="str">
        <f t="shared" si="2"/>
        <v/>
      </c>
      <c r="E264" s="36" t="str">
        <f t="shared" si="3"/>
        <v/>
      </c>
    </row>
    <row r="265" spans="1:5" ht="30" customHeight="1" x14ac:dyDescent="0.25">
      <c r="A265" s="42"/>
      <c r="B265" s="37"/>
      <c r="C265" s="39"/>
      <c r="D265" s="36" t="str">
        <f t="shared" si="2"/>
        <v/>
      </c>
      <c r="E265" s="36" t="str">
        <f t="shared" si="3"/>
        <v/>
      </c>
    </row>
    <row r="266" spans="1:5" ht="30" customHeight="1" x14ac:dyDescent="0.25">
      <c r="A266" s="42"/>
      <c r="B266" s="37"/>
      <c r="C266" s="39"/>
      <c r="D266" s="36" t="str">
        <f t="shared" si="2"/>
        <v/>
      </c>
      <c r="E266" s="36" t="str">
        <f t="shared" si="3"/>
        <v/>
      </c>
    </row>
    <row r="267" spans="1:5" ht="30" customHeight="1" x14ac:dyDescent="0.25">
      <c r="A267" s="42"/>
      <c r="B267" s="37"/>
      <c r="C267" s="39"/>
      <c r="D267" s="36" t="str">
        <f t="shared" si="2"/>
        <v/>
      </c>
      <c r="E267" s="36" t="str">
        <f t="shared" si="3"/>
        <v/>
      </c>
    </row>
    <row r="268" spans="1:5" ht="30" customHeight="1" x14ac:dyDescent="0.25">
      <c r="A268" s="42"/>
      <c r="B268" s="37"/>
      <c r="C268" s="39"/>
      <c r="D268" s="36" t="str">
        <f t="shared" si="2"/>
        <v/>
      </c>
      <c r="E268" s="36" t="str">
        <f t="shared" si="3"/>
        <v/>
      </c>
    </row>
    <row r="269" spans="1:5" ht="30" customHeight="1" x14ac:dyDescent="0.25">
      <c r="A269" s="42"/>
      <c r="B269" s="37"/>
      <c r="C269" s="39"/>
      <c r="D269" s="36" t="str">
        <f t="shared" si="2"/>
        <v/>
      </c>
      <c r="E269" s="36" t="str">
        <f t="shared" si="3"/>
        <v/>
      </c>
    </row>
    <row r="270" spans="1:5" ht="30" customHeight="1" x14ac:dyDescent="0.25">
      <c r="A270" s="42"/>
      <c r="B270" s="37"/>
      <c r="C270" s="39"/>
      <c r="D270" s="36" t="str">
        <f t="shared" si="2"/>
        <v/>
      </c>
      <c r="E270" s="36" t="str">
        <f t="shared" si="3"/>
        <v/>
      </c>
    </row>
    <row r="271" spans="1:5" ht="30" customHeight="1" x14ac:dyDescent="0.25">
      <c r="A271" s="42"/>
      <c r="B271" s="37"/>
      <c r="C271" s="39"/>
      <c r="D271" s="36" t="str">
        <f t="shared" si="2"/>
        <v/>
      </c>
      <c r="E271" s="36" t="str">
        <f t="shared" si="3"/>
        <v/>
      </c>
    </row>
    <row r="272" spans="1:5" ht="30" customHeight="1" x14ac:dyDescent="0.25">
      <c r="A272" s="42"/>
      <c r="B272" s="37"/>
      <c r="C272" s="39"/>
      <c r="D272" s="36" t="str">
        <f t="shared" si="2"/>
        <v/>
      </c>
      <c r="E272" s="36" t="str">
        <f t="shared" si="3"/>
        <v/>
      </c>
    </row>
    <row r="273" spans="1:5" ht="30" customHeight="1" x14ac:dyDescent="0.25">
      <c r="A273" s="42"/>
      <c r="B273" s="37"/>
      <c r="C273" s="39"/>
      <c r="D273" s="36" t="str">
        <f t="shared" si="2"/>
        <v/>
      </c>
      <c r="E273" s="36" t="str">
        <f t="shared" si="3"/>
        <v/>
      </c>
    </row>
    <row r="274" spans="1:5" ht="30" customHeight="1" x14ac:dyDescent="0.25">
      <c r="A274" s="42"/>
      <c r="B274" s="37"/>
      <c r="C274" s="39"/>
      <c r="D274" s="36" t="str">
        <f t="shared" si="2"/>
        <v/>
      </c>
      <c r="E274" s="36" t="str">
        <f t="shared" si="3"/>
        <v/>
      </c>
    </row>
    <row r="275" spans="1:5" ht="30" customHeight="1" x14ac:dyDescent="0.25">
      <c r="A275" s="42"/>
      <c r="B275" s="37"/>
      <c r="C275" s="39"/>
      <c r="D275" s="36" t="str">
        <f t="shared" si="2"/>
        <v/>
      </c>
      <c r="E275" s="36" t="str">
        <f t="shared" si="3"/>
        <v/>
      </c>
    </row>
    <row r="276" spans="1:5" ht="30" customHeight="1" x14ac:dyDescent="0.25">
      <c r="A276" s="42"/>
      <c r="B276" s="37"/>
      <c r="C276" s="39"/>
      <c r="D276" s="36" t="str">
        <f t="shared" si="2"/>
        <v/>
      </c>
      <c r="E276" s="36" t="str">
        <f t="shared" si="3"/>
        <v/>
      </c>
    </row>
    <row r="277" spans="1:5" ht="30" customHeight="1" x14ac:dyDescent="0.25">
      <c r="A277" s="42"/>
      <c r="B277" s="37"/>
      <c r="C277" s="39"/>
      <c r="D277" s="36" t="str">
        <f t="shared" si="2"/>
        <v/>
      </c>
      <c r="E277" s="36" t="str">
        <f t="shared" si="3"/>
        <v/>
      </c>
    </row>
    <row r="278" spans="1:5" ht="30" customHeight="1" x14ac:dyDescent="0.25">
      <c r="A278" s="42"/>
      <c r="B278" s="37"/>
      <c r="C278" s="39"/>
      <c r="D278" s="36" t="str">
        <f t="shared" si="2"/>
        <v/>
      </c>
      <c r="E278" s="36" t="str">
        <f t="shared" si="3"/>
        <v/>
      </c>
    </row>
    <row r="279" spans="1:5" ht="30" customHeight="1" x14ac:dyDescent="0.25">
      <c r="A279" s="42"/>
      <c r="B279" s="37"/>
      <c r="C279" s="39"/>
      <c r="D279" s="36" t="str">
        <f t="shared" si="2"/>
        <v/>
      </c>
      <c r="E279" s="36" t="str">
        <f t="shared" si="3"/>
        <v/>
      </c>
    </row>
    <row r="280" spans="1:5" ht="30" customHeight="1" x14ac:dyDescent="0.25">
      <c r="A280" s="42"/>
      <c r="B280" s="37"/>
      <c r="C280" s="39"/>
      <c r="D280" s="36" t="str">
        <f t="shared" ref="D280:D505" si="4">IF(A280="","",IF(ISNUMBER(A280),A280,IFERROR(DATE(VALUE(LEFT(A280,4)),VALUE(RIGHT(A280,2)),1),"")))</f>
        <v/>
      </c>
      <c r="E280" s="36" t="str">
        <f t="shared" ref="E280:E505" si="5">IF(A280="","",ISNUMBER(A280))</f>
        <v/>
      </c>
    </row>
    <row r="281" spans="1:5" ht="30" customHeight="1" x14ac:dyDescent="0.25">
      <c r="A281" s="42"/>
      <c r="B281" s="37"/>
      <c r="C281" s="39"/>
      <c r="D281" s="36" t="str">
        <f t="shared" si="4"/>
        <v/>
      </c>
      <c r="E281" s="36" t="str">
        <f t="shared" si="5"/>
        <v/>
      </c>
    </row>
    <row r="282" spans="1:5" ht="30" customHeight="1" x14ac:dyDescent="0.25">
      <c r="A282" s="42"/>
      <c r="B282" s="37"/>
      <c r="C282" s="39"/>
      <c r="D282" s="36" t="str">
        <f t="shared" si="4"/>
        <v/>
      </c>
      <c r="E282" s="36" t="str">
        <f t="shared" si="5"/>
        <v/>
      </c>
    </row>
    <row r="283" spans="1:5" ht="30" customHeight="1" x14ac:dyDescent="0.25">
      <c r="A283" s="42"/>
      <c r="B283" s="37"/>
      <c r="C283" s="39"/>
      <c r="D283" s="36" t="str">
        <f t="shared" si="4"/>
        <v/>
      </c>
      <c r="E283" s="36" t="str">
        <f t="shared" si="5"/>
        <v/>
      </c>
    </row>
    <row r="284" spans="1:5" ht="30" customHeight="1" x14ac:dyDescent="0.25">
      <c r="A284" s="42"/>
      <c r="B284" s="37"/>
      <c r="C284" s="39"/>
      <c r="D284" s="36" t="str">
        <f t="shared" si="4"/>
        <v/>
      </c>
      <c r="E284" s="36" t="str">
        <f t="shared" si="5"/>
        <v/>
      </c>
    </row>
    <row r="285" spans="1:5" ht="30" customHeight="1" x14ac:dyDescent="0.25">
      <c r="A285" s="42"/>
      <c r="B285" s="37"/>
      <c r="C285" s="39"/>
      <c r="D285" s="36" t="str">
        <f t="shared" si="4"/>
        <v/>
      </c>
      <c r="E285" s="36" t="str">
        <f t="shared" si="5"/>
        <v/>
      </c>
    </row>
    <row r="286" spans="1:5" ht="30" customHeight="1" x14ac:dyDescent="0.25">
      <c r="A286" s="42"/>
      <c r="B286" s="37"/>
      <c r="C286" s="39"/>
      <c r="D286" s="36" t="str">
        <f t="shared" si="4"/>
        <v/>
      </c>
      <c r="E286" s="36" t="str">
        <f t="shared" si="5"/>
        <v/>
      </c>
    </row>
    <row r="287" spans="1:5" ht="30" customHeight="1" x14ac:dyDescent="0.25">
      <c r="A287" s="42"/>
      <c r="B287" s="37"/>
      <c r="C287" s="39"/>
      <c r="D287" s="36" t="str">
        <f t="shared" si="4"/>
        <v/>
      </c>
      <c r="E287" s="36" t="str">
        <f t="shared" si="5"/>
        <v/>
      </c>
    </row>
    <row r="288" spans="1:5" ht="30" customHeight="1" x14ac:dyDescent="0.25">
      <c r="A288" s="42"/>
      <c r="B288" s="37"/>
      <c r="C288" s="39"/>
      <c r="D288" s="36" t="str">
        <f t="shared" si="4"/>
        <v/>
      </c>
      <c r="E288" s="36" t="str">
        <f t="shared" si="5"/>
        <v/>
      </c>
    </row>
    <row r="289" spans="1:5" ht="30" customHeight="1" x14ac:dyDescent="0.25">
      <c r="A289" s="42"/>
      <c r="B289" s="37"/>
      <c r="C289" s="39"/>
      <c r="D289" s="36" t="str">
        <f t="shared" si="4"/>
        <v/>
      </c>
      <c r="E289" s="36" t="str">
        <f t="shared" si="5"/>
        <v/>
      </c>
    </row>
    <row r="290" spans="1:5" ht="30" customHeight="1" x14ac:dyDescent="0.25">
      <c r="A290" s="42"/>
      <c r="B290" s="37"/>
      <c r="C290" s="39"/>
      <c r="D290" s="36" t="str">
        <f t="shared" si="4"/>
        <v/>
      </c>
      <c r="E290" s="36" t="str">
        <f t="shared" si="5"/>
        <v/>
      </c>
    </row>
    <row r="291" spans="1:5" ht="30" customHeight="1" x14ac:dyDescent="0.25">
      <c r="A291" s="42"/>
      <c r="B291" s="37"/>
      <c r="C291" s="39"/>
      <c r="D291" s="36" t="str">
        <f t="shared" si="4"/>
        <v/>
      </c>
      <c r="E291" s="36" t="str">
        <f t="shared" si="5"/>
        <v/>
      </c>
    </row>
    <row r="292" spans="1:5" ht="30" customHeight="1" x14ac:dyDescent="0.25">
      <c r="A292" s="42"/>
      <c r="B292" s="37"/>
      <c r="C292" s="39"/>
      <c r="D292" s="36" t="str">
        <f t="shared" si="4"/>
        <v/>
      </c>
      <c r="E292" s="36" t="str">
        <f t="shared" si="5"/>
        <v/>
      </c>
    </row>
    <row r="293" spans="1:5" ht="30" customHeight="1" x14ac:dyDescent="0.25">
      <c r="A293" s="42"/>
      <c r="B293" s="37"/>
      <c r="C293" s="39"/>
      <c r="D293" s="36" t="str">
        <f t="shared" si="4"/>
        <v/>
      </c>
      <c r="E293" s="36" t="str">
        <f t="shared" si="5"/>
        <v/>
      </c>
    </row>
    <row r="294" spans="1:5" ht="30" customHeight="1" x14ac:dyDescent="0.25">
      <c r="A294" s="42"/>
      <c r="B294" s="37"/>
      <c r="C294" s="39"/>
      <c r="D294" s="36" t="str">
        <f t="shared" si="4"/>
        <v/>
      </c>
      <c r="E294" s="36" t="str">
        <f t="shared" si="5"/>
        <v/>
      </c>
    </row>
    <row r="295" spans="1:5" ht="30" customHeight="1" x14ac:dyDescent="0.25">
      <c r="A295" s="42"/>
      <c r="B295" s="37"/>
      <c r="C295" s="39"/>
      <c r="D295" s="36" t="str">
        <f t="shared" si="4"/>
        <v/>
      </c>
      <c r="E295" s="36" t="str">
        <f t="shared" si="5"/>
        <v/>
      </c>
    </row>
    <row r="296" spans="1:5" ht="30" customHeight="1" x14ac:dyDescent="0.25">
      <c r="A296" s="42"/>
      <c r="B296" s="37"/>
      <c r="C296" s="39"/>
      <c r="D296" s="36" t="str">
        <f t="shared" si="4"/>
        <v/>
      </c>
      <c r="E296" s="36" t="str">
        <f t="shared" si="5"/>
        <v/>
      </c>
    </row>
    <row r="297" spans="1:5" ht="30" customHeight="1" x14ac:dyDescent="0.25">
      <c r="A297" s="42"/>
      <c r="B297" s="37"/>
      <c r="C297" s="39"/>
      <c r="D297" s="36" t="str">
        <f t="shared" si="4"/>
        <v/>
      </c>
      <c r="E297" s="36" t="str">
        <f t="shared" si="5"/>
        <v/>
      </c>
    </row>
    <row r="298" spans="1:5" ht="30" customHeight="1" x14ac:dyDescent="0.25">
      <c r="A298" s="42"/>
      <c r="B298" s="37"/>
      <c r="C298" s="39"/>
      <c r="D298" s="36" t="str">
        <f t="shared" si="4"/>
        <v/>
      </c>
      <c r="E298" s="36" t="str">
        <f t="shared" si="5"/>
        <v/>
      </c>
    </row>
    <row r="299" spans="1:5" ht="30" customHeight="1" x14ac:dyDescent="0.25">
      <c r="A299" s="42"/>
      <c r="B299" s="37"/>
      <c r="C299" s="39"/>
      <c r="D299" s="36" t="str">
        <f t="shared" si="4"/>
        <v/>
      </c>
      <c r="E299" s="36" t="str">
        <f t="shared" si="5"/>
        <v/>
      </c>
    </row>
    <row r="300" spans="1:5" ht="30" customHeight="1" x14ac:dyDescent="0.25">
      <c r="A300" s="42"/>
      <c r="B300" s="37"/>
      <c r="C300" s="39"/>
      <c r="D300" s="36" t="str">
        <f t="shared" si="4"/>
        <v/>
      </c>
      <c r="E300" s="36" t="str">
        <f t="shared" si="5"/>
        <v/>
      </c>
    </row>
    <row r="301" spans="1:5" ht="30" customHeight="1" x14ac:dyDescent="0.25">
      <c r="A301" s="42"/>
      <c r="B301" s="37"/>
      <c r="C301" s="39"/>
      <c r="D301" s="36" t="str">
        <f t="shared" si="4"/>
        <v/>
      </c>
      <c r="E301" s="36" t="str">
        <f t="shared" si="5"/>
        <v/>
      </c>
    </row>
    <row r="302" spans="1:5" ht="30" customHeight="1" x14ac:dyDescent="0.25">
      <c r="A302" s="42"/>
      <c r="B302" s="37"/>
      <c r="C302" s="39"/>
      <c r="D302" s="36" t="str">
        <f t="shared" si="4"/>
        <v/>
      </c>
      <c r="E302" s="36" t="str">
        <f t="shared" si="5"/>
        <v/>
      </c>
    </row>
    <row r="303" spans="1:5" ht="30" customHeight="1" x14ac:dyDescent="0.25">
      <c r="A303" s="42"/>
      <c r="B303" s="37"/>
      <c r="C303" s="39"/>
      <c r="D303" s="36" t="str">
        <f t="shared" si="4"/>
        <v/>
      </c>
      <c r="E303" s="36" t="str">
        <f t="shared" si="5"/>
        <v/>
      </c>
    </row>
    <row r="304" spans="1:5" ht="30" customHeight="1" x14ac:dyDescent="0.25">
      <c r="A304" s="42"/>
      <c r="B304" s="37"/>
      <c r="C304" s="39"/>
      <c r="D304" s="36" t="str">
        <f t="shared" si="4"/>
        <v/>
      </c>
      <c r="E304" s="36" t="str">
        <f t="shared" si="5"/>
        <v/>
      </c>
    </row>
    <row r="305" spans="1:5" ht="30" customHeight="1" x14ac:dyDescent="0.25">
      <c r="A305" s="42"/>
      <c r="B305" s="37"/>
      <c r="C305" s="39"/>
      <c r="D305" s="36" t="str">
        <f t="shared" si="4"/>
        <v/>
      </c>
      <c r="E305" s="36" t="str">
        <f t="shared" si="5"/>
        <v/>
      </c>
    </row>
    <row r="306" spans="1:5" ht="30" customHeight="1" x14ac:dyDescent="0.25">
      <c r="A306" s="42"/>
      <c r="B306" s="37"/>
      <c r="C306" s="39"/>
      <c r="D306" s="36" t="str">
        <f t="shared" si="4"/>
        <v/>
      </c>
      <c r="E306" s="36" t="str">
        <f t="shared" si="5"/>
        <v/>
      </c>
    </row>
    <row r="307" spans="1:5" ht="30" customHeight="1" x14ac:dyDescent="0.25">
      <c r="A307" s="42"/>
      <c r="B307" s="37"/>
      <c r="C307" s="39"/>
      <c r="D307" s="36" t="str">
        <f t="shared" si="4"/>
        <v/>
      </c>
      <c r="E307" s="36" t="str">
        <f t="shared" si="5"/>
        <v/>
      </c>
    </row>
    <row r="308" spans="1:5" ht="30" customHeight="1" x14ac:dyDescent="0.25">
      <c r="A308" s="42"/>
      <c r="B308" s="37"/>
      <c r="C308" s="39"/>
      <c r="D308" s="36" t="str">
        <f t="shared" si="4"/>
        <v/>
      </c>
      <c r="E308" s="36" t="str">
        <f t="shared" si="5"/>
        <v/>
      </c>
    </row>
    <row r="309" spans="1:5" ht="30" customHeight="1" x14ac:dyDescent="0.25">
      <c r="A309" s="42"/>
      <c r="B309" s="37"/>
      <c r="C309" s="39"/>
      <c r="D309" s="36" t="str">
        <f t="shared" si="4"/>
        <v/>
      </c>
      <c r="E309" s="36" t="str">
        <f t="shared" si="5"/>
        <v/>
      </c>
    </row>
    <row r="310" spans="1:5" ht="30" customHeight="1" x14ac:dyDescent="0.25">
      <c r="A310" s="42"/>
      <c r="B310" s="37"/>
      <c r="C310" s="39"/>
      <c r="D310" s="36" t="str">
        <f t="shared" si="4"/>
        <v/>
      </c>
      <c r="E310" s="36" t="str">
        <f t="shared" si="5"/>
        <v/>
      </c>
    </row>
    <row r="311" spans="1:5" ht="30" customHeight="1" x14ac:dyDescent="0.25">
      <c r="A311" s="42"/>
      <c r="B311" s="37"/>
      <c r="C311" s="39"/>
      <c r="D311" s="36" t="str">
        <f t="shared" si="4"/>
        <v/>
      </c>
      <c r="E311" s="36" t="str">
        <f t="shared" si="5"/>
        <v/>
      </c>
    </row>
    <row r="312" spans="1:5" ht="30" customHeight="1" x14ac:dyDescent="0.25">
      <c r="A312" s="42"/>
      <c r="B312" s="37"/>
      <c r="C312" s="39"/>
      <c r="D312" s="36" t="str">
        <f t="shared" si="4"/>
        <v/>
      </c>
      <c r="E312" s="36" t="str">
        <f t="shared" si="5"/>
        <v/>
      </c>
    </row>
    <row r="313" spans="1:5" ht="30" customHeight="1" x14ac:dyDescent="0.25">
      <c r="A313" s="42"/>
      <c r="B313" s="37"/>
      <c r="C313" s="39"/>
      <c r="D313" s="36" t="str">
        <f t="shared" si="4"/>
        <v/>
      </c>
      <c r="E313" s="36" t="str">
        <f t="shared" si="5"/>
        <v/>
      </c>
    </row>
    <row r="314" spans="1:5" ht="30" customHeight="1" x14ac:dyDescent="0.25">
      <c r="A314" s="42"/>
      <c r="B314" s="37"/>
      <c r="C314" s="39"/>
      <c r="D314" s="36" t="str">
        <f t="shared" si="4"/>
        <v/>
      </c>
      <c r="E314" s="36" t="str">
        <f t="shared" si="5"/>
        <v/>
      </c>
    </row>
    <row r="315" spans="1:5" ht="30" customHeight="1" x14ac:dyDescent="0.25">
      <c r="A315" s="42"/>
      <c r="B315" s="37"/>
      <c r="C315" s="39"/>
      <c r="D315" s="36" t="str">
        <f t="shared" si="4"/>
        <v/>
      </c>
      <c r="E315" s="36" t="str">
        <f t="shared" si="5"/>
        <v/>
      </c>
    </row>
    <row r="316" spans="1:5" ht="30" customHeight="1" x14ac:dyDescent="0.25">
      <c r="A316" s="42"/>
      <c r="B316" s="37"/>
      <c r="C316" s="39"/>
      <c r="D316" s="36" t="str">
        <f t="shared" si="4"/>
        <v/>
      </c>
      <c r="E316" s="36" t="str">
        <f t="shared" si="5"/>
        <v/>
      </c>
    </row>
    <row r="317" spans="1:5" ht="30" customHeight="1" x14ac:dyDescent="0.25">
      <c r="A317" s="42"/>
      <c r="B317" s="37"/>
      <c r="C317" s="39"/>
      <c r="D317" s="36" t="str">
        <f t="shared" si="4"/>
        <v/>
      </c>
      <c r="E317" s="36" t="str">
        <f t="shared" si="5"/>
        <v/>
      </c>
    </row>
    <row r="318" spans="1:5" ht="30" customHeight="1" x14ac:dyDescent="0.25">
      <c r="A318" s="42"/>
      <c r="B318" s="37"/>
      <c r="C318" s="39"/>
      <c r="D318" s="36" t="str">
        <f t="shared" si="4"/>
        <v/>
      </c>
      <c r="E318" s="36" t="str">
        <f t="shared" si="5"/>
        <v/>
      </c>
    </row>
    <row r="319" spans="1:5" ht="30" customHeight="1" x14ac:dyDescent="0.25">
      <c r="A319" s="42"/>
      <c r="B319" s="37"/>
      <c r="C319" s="39"/>
      <c r="D319" s="36" t="str">
        <f t="shared" si="4"/>
        <v/>
      </c>
      <c r="E319" s="36" t="str">
        <f t="shared" si="5"/>
        <v/>
      </c>
    </row>
    <row r="320" spans="1:5" ht="30" customHeight="1" x14ac:dyDescent="0.25">
      <c r="A320" s="42"/>
      <c r="B320" s="37"/>
      <c r="C320" s="39"/>
      <c r="D320" s="36" t="str">
        <f t="shared" si="4"/>
        <v/>
      </c>
      <c r="E320" s="36" t="str">
        <f t="shared" si="5"/>
        <v/>
      </c>
    </row>
    <row r="321" spans="1:5" ht="30" customHeight="1" x14ac:dyDescent="0.25">
      <c r="A321" s="42"/>
      <c r="B321" s="37"/>
      <c r="C321" s="39"/>
      <c r="D321" s="36" t="str">
        <f t="shared" si="4"/>
        <v/>
      </c>
      <c r="E321" s="36" t="str">
        <f t="shared" si="5"/>
        <v/>
      </c>
    </row>
    <row r="322" spans="1:5" ht="30" customHeight="1" x14ac:dyDescent="0.25">
      <c r="A322" s="42"/>
      <c r="B322" s="37"/>
      <c r="C322" s="39"/>
      <c r="D322" s="36" t="str">
        <f t="shared" si="4"/>
        <v/>
      </c>
      <c r="E322" s="36" t="str">
        <f t="shared" si="5"/>
        <v/>
      </c>
    </row>
    <row r="323" spans="1:5" ht="30" customHeight="1" x14ac:dyDescent="0.25">
      <c r="A323" s="42"/>
      <c r="B323" s="37"/>
      <c r="C323" s="39"/>
      <c r="D323" s="36" t="str">
        <f t="shared" si="4"/>
        <v/>
      </c>
      <c r="E323" s="36" t="str">
        <f t="shared" si="5"/>
        <v/>
      </c>
    </row>
    <row r="324" spans="1:5" ht="30" customHeight="1" x14ac:dyDescent="0.25">
      <c r="A324" s="42"/>
      <c r="B324" s="37"/>
      <c r="C324" s="39"/>
      <c r="D324" s="36" t="str">
        <f t="shared" si="4"/>
        <v/>
      </c>
      <c r="E324" s="36" t="str">
        <f t="shared" si="5"/>
        <v/>
      </c>
    </row>
    <row r="325" spans="1:5" ht="30" customHeight="1" x14ac:dyDescent="0.25">
      <c r="A325" s="42"/>
      <c r="B325" s="37"/>
      <c r="C325" s="39"/>
      <c r="D325" s="36" t="str">
        <f t="shared" si="4"/>
        <v/>
      </c>
      <c r="E325" s="36" t="str">
        <f t="shared" si="5"/>
        <v/>
      </c>
    </row>
    <row r="326" spans="1:5" ht="30" customHeight="1" x14ac:dyDescent="0.25">
      <c r="A326" s="42"/>
      <c r="B326" s="37"/>
      <c r="C326" s="39"/>
      <c r="D326" s="36" t="str">
        <f t="shared" si="4"/>
        <v/>
      </c>
      <c r="E326" s="36" t="str">
        <f t="shared" si="5"/>
        <v/>
      </c>
    </row>
    <row r="327" spans="1:5" ht="30" customHeight="1" x14ac:dyDescent="0.25">
      <c r="A327" s="42"/>
      <c r="B327" s="37"/>
      <c r="C327" s="39"/>
      <c r="D327" s="36" t="str">
        <f t="shared" si="4"/>
        <v/>
      </c>
      <c r="E327" s="36" t="str">
        <f t="shared" si="5"/>
        <v/>
      </c>
    </row>
    <row r="328" spans="1:5" ht="30" customHeight="1" x14ac:dyDescent="0.25">
      <c r="A328" s="42"/>
      <c r="B328" s="37"/>
      <c r="C328" s="39"/>
      <c r="D328" s="36" t="str">
        <f t="shared" si="4"/>
        <v/>
      </c>
      <c r="E328" s="36" t="str">
        <f t="shared" si="5"/>
        <v/>
      </c>
    </row>
    <row r="329" spans="1:5" ht="30" customHeight="1" x14ac:dyDescent="0.25">
      <c r="A329" s="42"/>
      <c r="B329" s="37"/>
      <c r="C329" s="39"/>
      <c r="D329" s="36" t="str">
        <f t="shared" si="4"/>
        <v/>
      </c>
      <c r="E329" s="36" t="str">
        <f t="shared" si="5"/>
        <v/>
      </c>
    </row>
    <row r="330" spans="1:5" ht="30" customHeight="1" x14ac:dyDescent="0.25">
      <c r="A330" s="42"/>
      <c r="B330" s="37"/>
      <c r="C330" s="39"/>
      <c r="D330" s="36" t="str">
        <f t="shared" si="4"/>
        <v/>
      </c>
      <c r="E330" s="36" t="str">
        <f t="shared" si="5"/>
        <v/>
      </c>
    </row>
    <row r="331" spans="1:5" ht="30" customHeight="1" x14ac:dyDescent="0.25">
      <c r="A331" s="42"/>
      <c r="B331" s="37"/>
      <c r="C331" s="39"/>
      <c r="D331" s="36" t="str">
        <f t="shared" si="4"/>
        <v/>
      </c>
      <c r="E331" s="36" t="str">
        <f t="shared" si="5"/>
        <v/>
      </c>
    </row>
    <row r="332" spans="1:5" ht="30" customHeight="1" x14ac:dyDescent="0.25">
      <c r="A332" s="42"/>
      <c r="B332" s="37"/>
      <c r="C332" s="39"/>
      <c r="D332" s="36" t="str">
        <f t="shared" si="4"/>
        <v/>
      </c>
      <c r="E332" s="36" t="str">
        <f t="shared" si="5"/>
        <v/>
      </c>
    </row>
    <row r="333" spans="1:5" ht="30" customHeight="1" x14ac:dyDescent="0.25">
      <c r="A333" s="42"/>
      <c r="B333" s="37"/>
      <c r="C333" s="39"/>
      <c r="D333" s="36" t="str">
        <f t="shared" si="4"/>
        <v/>
      </c>
      <c r="E333" s="36" t="str">
        <f t="shared" si="5"/>
        <v/>
      </c>
    </row>
    <row r="334" spans="1:5" ht="30" customHeight="1" x14ac:dyDescent="0.25">
      <c r="A334" s="42"/>
      <c r="B334" s="37"/>
      <c r="C334" s="39"/>
      <c r="D334" s="36" t="str">
        <f t="shared" si="4"/>
        <v/>
      </c>
      <c r="E334" s="36" t="str">
        <f t="shared" si="5"/>
        <v/>
      </c>
    </row>
    <row r="335" spans="1:5" ht="30" customHeight="1" x14ac:dyDescent="0.25">
      <c r="A335" s="42"/>
      <c r="B335" s="37"/>
      <c r="C335" s="39"/>
      <c r="D335" s="36" t="str">
        <f t="shared" si="4"/>
        <v/>
      </c>
      <c r="E335" s="36" t="str">
        <f t="shared" si="5"/>
        <v/>
      </c>
    </row>
    <row r="336" spans="1:5" ht="30" customHeight="1" x14ac:dyDescent="0.25">
      <c r="A336" s="42"/>
      <c r="B336" s="37"/>
      <c r="C336" s="39"/>
      <c r="D336" s="36" t="str">
        <f t="shared" si="4"/>
        <v/>
      </c>
      <c r="E336" s="36" t="str">
        <f t="shared" si="5"/>
        <v/>
      </c>
    </row>
    <row r="337" spans="1:5" ht="30" customHeight="1" x14ac:dyDescent="0.25">
      <c r="A337" s="42"/>
      <c r="B337" s="37"/>
      <c r="C337" s="39"/>
      <c r="D337" s="36" t="str">
        <f t="shared" si="4"/>
        <v/>
      </c>
      <c r="E337" s="36" t="str">
        <f t="shared" si="5"/>
        <v/>
      </c>
    </row>
    <row r="338" spans="1:5" ht="30" customHeight="1" x14ac:dyDescent="0.25">
      <c r="A338" s="42"/>
      <c r="B338" s="37"/>
      <c r="C338" s="39"/>
      <c r="D338" s="36" t="str">
        <f t="shared" si="4"/>
        <v/>
      </c>
      <c r="E338" s="36" t="str">
        <f t="shared" si="5"/>
        <v/>
      </c>
    </row>
    <row r="339" spans="1:5" ht="30" customHeight="1" x14ac:dyDescent="0.25">
      <c r="A339" s="42"/>
      <c r="B339" s="37"/>
      <c r="C339" s="39"/>
      <c r="D339" s="36" t="str">
        <f t="shared" si="4"/>
        <v/>
      </c>
      <c r="E339" s="36" t="str">
        <f t="shared" si="5"/>
        <v/>
      </c>
    </row>
    <row r="340" spans="1:5" ht="30" customHeight="1" x14ac:dyDescent="0.25">
      <c r="A340" s="42"/>
      <c r="B340" s="37"/>
      <c r="C340" s="39"/>
      <c r="D340" s="36" t="str">
        <f t="shared" si="4"/>
        <v/>
      </c>
      <c r="E340" s="36" t="str">
        <f t="shared" si="5"/>
        <v/>
      </c>
    </row>
    <row r="341" spans="1:5" ht="30" customHeight="1" x14ac:dyDescent="0.25">
      <c r="A341" s="42"/>
      <c r="B341" s="37"/>
      <c r="C341" s="39"/>
      <c r="D341" s="36" t="str">
        <f t="shared" si="4"/>
        <v/>
      </c>
      <c r="E341" s="36" t="str">
        <f t="shared" si="5"/>
        <v/>
      </c>
    </row>
    <row r="342" spans="1:5" ht="30" customHeight="1" x14ac:dyDescent="0.25">
      <c r="A342" s="42"/>
      <c r="B342" s="37"/>
      <c r="C342" s="39"/>
      <c r="D342" s="36" t="str">
        <f t="shared" si="4"/>
        <v/>
      </c>
      <c r="E342" s="36" t="str">
        <f t="shared" si="5"/>
        <v/>
      </c>
    </row>
    <row r="343" spans="1:5" ht="30" customHeight="1" x14ac:dyDescent="0.25">
      <c r="A343" s="42"/>
      <c r="B343" s="37"/>
      <c r="C343" s="39"/>
      <c r="D343" s="36" t="str">
        <f t="shared" si="4"/>
        <v/>
      </c>
      <c r="E343" s="36" t="str">
        <f t="shared" si="5"/>
        <v/>
      </c>
    </row>
    <row r="344" spans="1:5" ht="30" customHeight="1" x14ac:dyDescent="0.25">
      <c r="A344" s="42"/>
      <c r="B344" s="37"/>
      <c r="C344" s="39"/>
      <c r="D344" s="36" t="str">
        <f t="shared" si="4"/>
        <v/>
      </c>
      <c r="E344" s="36" t="str">
        <f t="shared" si="5"/>
        <v/>
      </c>
    </row>
    <row r="345" spans="1:5" ht="30" customHeight="1" x14ac:dyDescent="0.25">
      <c r="A345" s="42"/>
      <c r="B345" s="37"/>
      <c r="C345" s="39"/>
      <c r="D345" s="36" t="str">
        <f t="shared" si="4"/>
        <v/>
      </c>
      <c r="E345" s="36" t="str">
        <f t="shared" si="5"/>
        <v/>
      </c>
    </row>
    <row r="346" spans="1:5" ht="30" customHeight="1" x14ac:dyDescent="0.25">
      <c r="A346" s="42"/>
      <c r="B346" s="37"/>
      <c r="C346" s="39"/>
      <c r="D346" s="36" t="str">
        <f t="shared" si="4"/>
        <v/>
      </c>
      <c r="E346" s="36" t="str">
        <f t="shared" si="5"/>
        <v/>
      </c>
    </row>
    <row r="347" spans="1:5" ht="30" customHeight="1" x14ac:dyDescent="0.25">
      <c r="A347" s="42"/>
      <c r="B347" s="37"/>
      <c r="C347" s="39"/>
      <c r="D347" s="36" t="str">
        <f t="shared" si="4"/>
        <v/>
      </c>
      <c r="E347" s="36" t="str">
        <f t="shared" si="5"/>
        <v/>
      </c>
    </row>
    <row r="348" spans="1:5" ht="30" customHeight="1" x14ac:dyDescent="0.25">
      <c r="A348" s="42"/>
      <c r="B348" s="37"/>
      <c r="C348" s="39"/>
      <c r="D348" s="36" t="str">
        <f t="shared" si="4"/>
        <v/>
      </c>
      <c r="E348" s="36" t="str">
        <f t="shared" si="5"/>
        <v/>
      </c>
    </row>
    <row r="349" spans="1:5" ht="30" customHeight="1" x14ac:dyDescent="0.25">
      <c r="A349" s="42"/>
      <c r="B349" s="37"/>
      <c r="C349" s="39"/>
      <c r="D349" s="36" t="str">
        <f t="shared" si="4"/>
        <v/>
      </c>
      <c r="E349" s="36" t="str">
        <f t="shared" si="5"/>
        <v/>
      </c>
    </row>
    <row r="350" spans="1:5" ht="30" customHeight="1" x14ac:dyDescent="0.25">
      <c r="A350" s="42"/>
      <c r="B350" s="37"/>
      <c r="C350" s="39"/>
      <c r="D350" s="36" t="str">
        <f t="shared" si="4"/>
        <v/>
      </c>
      <c r="E350" s="36" t="str">
        <f t="shared" si="5"/>
        <v/>
      </c>
    </row>
    <row r="351" spans="1:5" ht="30" customHeight="1" x14ac:dyDescent="0.25">
      <c r="A351" s="42"/>
      <c r="B351" s="37"/>
      <c r="C351" s="39"/>
      <c r="D351" s="36" t="str">
        <f t="shared" si="4"/>
        <v/>
      </c>
      <c r="E351" s="36" t="str">
        <f t="shared" si="5"/>
        <v/>
      </c>
    </row>
    <row r="352" spans="1:5" ht="30" customHeight="1" x14ac:dyDescent="0.25">
      <c r="A352" s="42"/>
      <c r="B352" s="37"/>
      <c r="C352" s="39"/>
      <c r="D352" s="36" t="str">
        <f t="shared" si="4"/>
        <v/>
      </c>
      <c r="E352" s="36" t="str">
        <f t="shared" si="5"/>
        <v/>
      </c>
    </row>
    <row r="353" spans="1:5" ht="30" customHeight="1" x14ac:dyDescent="0.25">
      <c r="A353" s="42"/>
      <c r="B353" s="37"/>
      <c r="C353" s="39"/>
      <c r="D353" s="36" t="str">
        <f t="shared" si="4"/>
        <v/>
      </c>
      <c r="E353" s="36" t="str">
        <f t="shared" si="5"/>
        <v/>
      </c>
    </row>
    <row r="354" spans="1:5" ht="30" customHeight="1" x14ac:dyDescent="0.25">
      <c r="A354" s="42"/>
      <c r="B354" s="37"/>
      <c r="C354" s="39"/>
      <c r="D354" s="36" t="str">
        <f t="shared" si="4"/>
        <v/>
      </c>
      <c r="E354" s="36" t="str">
        <f t="shared" si="5"/>
        <v/>
      </c>
    </row>
    <row r="355" spans="1:5" ht="30" customHeight="1" x14ac:dyDescent="0.25">
      <c r="A355" s="42"/>
      <c r="B355" s="37"/>
      <c r="C355" s="39"/>
      <c r="D355" s="36" t="str">
        <f t="shared" si="4"/>
        <v/>
      </c>
      <c r="E355" s="36" t="str">
        <f t="shared" si="5"/>
        <v/>
      </c>
    </row>
    <row r="356" spans="1:5" ht="30" customHeight="1" x14ac:dyDescent="0.25">
      <c r="A356" s="42"/>
      <c r="B356" s="37"/>
      <c r="C356" s="39"/>
      <c r="D356" s="36" t="str">
        <f t="shared" si="4"/>
        <v/>
      </c>
      <c r="E356" s="36" t="str">
        <f t="shared" si="5"/>
        <v/>
      </c>
    </row>
    <row r="357" spans="1:5" ht="30" customHeight="1" x14ac:dyDescent="0.25">
      <c r="A357" s="42"/>
      <c r="B357" s="37"/>
      <c r="C357" s="39"/>
      <c r="D357" s="36" t="str">
        <f t="shared" si="4"/>
        <v/>
      </c>
      <c r="E357" s="36" t="str">
        <f t="shared" si="5"/>
        <v/>
      </c>
    </row>
    <row r="358" spans="1:5" ht="30" customHeight="1" x14ac:dyDescent="0.25">
      <c r="A358" s="42"/>
      <c r="B358" s="37"/>
      <c r="C358" s="39"/>
      <c r="D358" s="36" t="str">
        <f t="shared" si="4"/>
        <v/>
      </c>
      <c r="E358" s="36" t="str">
        <f t="shared" si="5"/>
        <v/>
      </c>
    </row>
    <row r="359" spans="1:5" ht="30" customHeight="1" x14ac:dyDescent="0.25">
      <c r="A359" s="42"/>
      <c r="B359" s="37"/>
      <c r="C359" s="39"/>
      <c r="D359" s="36" t="str">
        <f t="shared" si="4"/>
        <v/>
      </c>
      <c r="E359" s="36" t="str">
        <f t="shared" si="5"/>
        <v/>
      </c>
    </row>
    <row r="360" spans="1:5" ht="30" customHeight="1" x14ac:dyDescent="0.25">
      <c r="A360" s="42"/>
      <c r="B360" s="37"/>
      <c r="C360" s="39"/>
      <c r="D360" s="36" t="str">
        <f t="shared" si="4"/>
        <v/>
      </c>
      <c r="E360" s="36" t="str">
        <f t="shared" si="5"/>
        <v/>
      </c>
    </row>
    <row r="361" spans="1:5" ht="30" customHeight="1" x14ac:dyDescent="0.25">
      <c r="A361" s="42"/>
      <c r="B361" s="37"/>
      <c r="C361" s="39"/>
      <c r="D361" s="36" t="str">
        <f t="shared" si="4"/>
        <v/>
      </c>
      <c r="E361" s="36" t="str">
        <f t="shared" si="5"/>
        <v/>
      </c>
    </row>
    <row r="362" spans="1:5" ht="30" customHeight="1" x14ac:dyDescent="0.25">
      <c r="A362" s="42"/>
      <c r="B362" s="37"/>
      <c r="C362" s="39"/>
      <c r="D362" s="36" t="str">
        <f t="shared" si="4"/>
        <v/>
      </c>
      <c r="E362" s="36" t="str">
        <f t="shared" si="5"/>
        <v/>
      </c>
    </row>
    <row r="363" spans="1:5" ht="30" customHeight="1" x14ac:dyDescent="0.25">
      <c r="A363" s="42"/>
      <c r="B363" s="37"/>
      <c r="C363" s="39"/>
      <c r="D363" s="36" t="str">
        <f t="shared" si="4"/>
        <v/>
      </c>
      <c r="E363" s="36" t="str">
        <f t="shared" si="5"/>
        <v/>
      </c>
    </row>
    <row r="364" spans="1:5" ht="30" customHeight="1" x14ac:dyDescent="0.25">
      <c r="A364" s="42"/>
      <c r="B364" s="37"/>
      <c r="C364" s="39"/>
      <c r="D364" s="36" t="str">
        <f t="shared" si="4"/>
        <v/>
      </c>
      <c r="E364" s="36" t="str">
        <f t="shared" si="5"/>
        <v/>
      </c>
    </row>
    <row r="365" spans="1:5" ht="30" customHeight="1" x14ac:dyDescent="0.25">
      <c r="A365" s="42"/>
      <c r="B365" s="37"/>
      <c r="C365" s="39"/>
      <c r="D365" s="36" t="str">
        <f t="shared" si="4"/>
        <v/>
      </c>
      <c r="E365" s="36" t="str">
        <f t="shared" si="5"/>
        <v/>
      </c>
    </row>
    <row r="366" spans="1:5" ht="30" customHeight="1" x14ac:dyDescent="0.25">
      <c r="A366" s="42"/>
      <c r="B366" s="37"/>
      <c r="C366" s="39"/>
      <c r="D366" s="36" t="str">
        <f t="shared" si="4"/>
        <v/>
      </c>
      <c r="E366" s="36" t="str">
        <f t="shared" si="5"/>
        <v/>
      </c>
    </row>
    <row r="367" spans="1:5" ht="30" customHeight="1" x14ac:dyDescent="0.25">
      <c r="A367" s="42"/>
      <c r="B367" s="37"/>
      <c r="C367" s="39"/>
      <c r="D367" s="36" t="str">
        <f t="shared" si="4"/>
        <v/>
      </c>
      <c r="E367" s="36" t="str">
        <f t="shared" si="5"/>
        <v/>
      </c>
    </row>
    <row r="368" spans="1:5" ht="30" customHeight="1" x14ac:dyDescent="0.25">
      <c r="A368" s="42"/>
      <c r="B368" s="37"/>
      <c r="C368" s="39"/>
      <c r="D368" s="36" t="str">
        <f t="shared" si="4"/>
        <v/>
      </c>
      <c r="E368" s="36" t="str">
        <f t="shared" si="5"/>
        <v/>
      </c>
    </row>
    <row r="369" spans="1:5" ht="30" customHeight="1" x14ac:dyDescent="0.25">
      <c r="A369" s="42"/>
      <c r="B369" s="37"/>
      <c r="C369" s="39"/>
      <c r="D369" s="36" t="str">
        <f t="shared" si="4"/>
        <v/>
      </c>
      <c r="E369" s="36" t="str">
        <f t="shared" si="5"/>
        <v/>
      </c>
    </row>
    <row r="370" spans="1:5" ht="30" customHeight="1" x14ac:dyDescent="0.25">
      <c r="A370" s="42"/>
      <c r="B370" s="37"/>
      <c r="C370" s="39"/>
      <c r="D370" s="36" t="str">
        <f t="shared" si="4"/>
        <v/>
      </c>
      <c r="E370" s="36" t="str">
        <f t="shared" si="5"/>
        <v/>
      </c>
    </row>
    <row r="371" spans="1:5" ht="30" customHeight="1" x14ac:dyDescent="0.25">
      <c r="A371" s="42"/>
      <c r="B371" s="37"/>
      <c r="C371" s="39"/>
      <c r="D371" s="36" t="str">
        <f t="shared" si="4"/>
        <v/>
      </c>
      <c r="E371" s="36" t="str">
        <f t="shared" si="5"/>
        <v/>
      </c>
    </row>
    <row r="372" spans="1:5" ht="30" customHeight="1" x14ac:dyDescent="0.25">
      <c r="A372" s="42"/>
      <c r="B372" s="37"/>
      <c r="C372" s="39"/>
      <c r="D372" s="36" t="str">
        <f t="shared" si="4"/>
        <v/>
      </c>
      <c r="E372" s="36" t="str">
        <f t="shared" si="5"/>
        <v/>
      </c>
    </row>
    <row r="373" spans="1:5" ht="30" customHeight="1" x14ac:dyDescent="0.25">
      <c r="A373" s="42"/>
      <c r="B373" s="37"/>
      <c r="C373" s="39"/>
      <c r="D373" s="36" t="str">
        <f t="shared" si="4"/>
        <v/>
      </c>
      <c r="E373" s="36" t="str">
        <f t="shared" si="5"/>
        <v/>
      </c>
    </row>
    <row r="374" spans="1:5" ht="30" customHeight="1" x14ac:dyDescent="0.25">
      <c r="A374" s="42"/>
      <c r="B374" s="37"/>
      <c r="C374" s="39"/>
      <c r="D374" s="36" t="str">
        <f t="shared" si="4"/>
        <v/>
      </c>
      <c r="E374" s="36" t="str">
        <f t="shared" si="5"/>
        <v/>
      </c>
    </row>
    <row r="375" spans="1:5" ht="30" customHeight="1" x14ac:dyDescent="0.25">
      <c r="A375" s="42"/>
      <c r="B375" s="37"/>
      <c r="C375" s="39"/>
      <c r="D375" s="36" t="str">
        <f t="shared" si="4"/>
        <v/>
      </c>
      <c r="E375" s="36" t="str">
        <f t="shared" si="5"/>
        <v/>
      </c>
    </row>
    <row r="376" spans="1:5" ht="30" customHeight="1" x14ac:dyDescent="0.25">
      <c r="A376" s="42"/>
      <c r="B376" s="37"/>
      <c r="C376" s="39"/>
      <c r="D376" s="36" t="str">
        <f t="shared" si="4"/>
        <v/>
      </c>
      <c r="E376" s="36" t="str">
        <f t="shared" si="5"/>
        <v/>
      </c>
    </row>
    <row r="377" spans="1:5" ht="30" customHeight="1" x14ac:dyDescent="0.25">
      <c r="A377" s="42"/>
      <c r="B377" s="37"/>
      <c r="C377" s="39"/>
      <c r="D377" s="36" t="str">
        <f t="shared" si="4"/>
        <v/>
      </c>
      <c r="E377" s="36" t="str">
        <f t="shared" si="5"/>
        <v/>
      </c>
    </row>
    <row r="378" spans="1:5" ht="30" customHeight="1" x14ac:dyDescent="0.25">
      <c r="A378" s="42"/>
      <c r="B378" s="37"/>
      <c r="C378" s="39"/>
      <c r="D378" s="36" t="str">
        <f t="shared" si="4"/>
        <v/>
      </c>
      <c r="E378" s="36" t="str">
        <f t="shared" si="5"/>
        <v/>
      </c>
    </row>
    <row r="379" spans="1:5" ht="30" customHeight="1" x14ac:dyDescent="0.25">
      <c r="A379" s="42"/>
      <c r="B379" s="37"/>
      <c r="C379" s="39"/>
      <c r="D379" s="36" t="str">
        <f t="shared" si="4"/>
        <v/>
      </c>
      <c r="E379" s="36" t="str">
        <f t="shared" si="5"/>
        <v/>
      </c>
    </row>
    <row r="380" spans="1:5" ht="30" customHeight="1" x14ac:dyDescent="0.25">
      <c r="A380" s="42"/>
      <c r="B380" s="37"/>
      <c r="C380" s="39"/>
      <c r="D380" s="36" t="str">
        <f t="shared" si="4"/>
        <v/>
      </c>
      <c r="E380" s="36" t="str">
        <f t="shared" si="5"/>
        <v/>
      </c>
    </row>
    <row r="381" spans="1:5" ht="30" customHeight="1" x14ac:dyDescent="0.25">
      <c r="A381" s="42"/>
      <c r="B381" s="37"/>
      <c r="C381" s="39"/>
      <c r="D381" s="36" t="str">
        <f t="shared" si="4"/>
        <v/>
      </c>
      <c r="E381" s="36" t="str">
        <f t="shared" si="5"/>
        <v/>
      </c>
    </row>
    <row r="382" spans="1:5" ht="30" customHeight="1" x14ac:dyDescent="0.25">
      <c r="A382" s="42"/>
      <c r="B382" s="37"/>
      <c r="C382" s="39"/>
      <c r="D382" s="36" t="str">
        <f t="shared" si="4"/>
        <v/>
      </c>
      <c r="E382" s="36" t="str">
        <f t="shared" si="5"/>
        <v/>
      </c>
    </row>
    <row r="383" spans="1:5" ht="30" customHeight="1" x14ac:dyDescent="0.25">
      <c r="A383" s="42"/>
      <c r="B383" s="37"/>
      <c r="C383" s="39"/>
      <c r="D383" s="36" t="str">
        <f t="shared" si="4"/>
        <v/>
      </c>
      <c r="E383" s="36" t="str">
        <f t="shared" si="5"/>
        <v/>
      </c>
    </row>
    <row r="384" spans="1:5" ht="30" customHeight="1" x14ac:dyDescent="0.25">
      <c r="A384" s="42"/>
      <c r="B384" s="37"/>
      <c r="C384" s="39"/>
      <c r="D384" s="36" t="str">
        <f t="shared" si="4"/>
        <v/>
      </c>
      <c r="E384" s="36" t="str">
        <f t="shared" si="5"/>
        <v/>
      </c>
    </row>
    <row r="385" spans="1:5" ht="30" customHeight="1" x14ac:dyDescent="0.25">
      <c r="A385" s="42"/>
      <c r="B385" s="37"/>
      <c r="C385" s="39"/>
      <c r="D385" s="36" t="str">
        <f t="shared" si="4"/>
        <v/>
      </c>
      <c r="E385" s="36" t="str">
        <f t="shared" si="5"/>
        <v/>
      </c>
    </row>
    <row r="386" spans="1:5" ht="30" customHeight="1" x14ac:dyDescent="0.25">
      <c r="A386" s="42"/>
      <c r="B386" s="37"/>
      <c r="C386" s="39"/>
      <c r="D386" s="36" t="str">
        <f t="shared" si="4"/>
        <v/>
      </c>
      <c r="E386" s="36" t="str">
        <f t="shared" si="5"/>
        <v/>
      </c>
    </row>
    <row r="387" spans="1:5" ht="30" customHeight="1" x14ac:dyDescent="0.25">
      <c r="A387" s="42"/>
      <c r="B387" s="37"/>
      <c r="C387" s="39"/>
      <c r="D387" s="36" t="str">
        <f t="shared" si="4"/>
        <v/>
      </c>
      <c r="E387" s="36" t="str">
        <f t="shared" si="5"/>
        <v/>
      </c>
    </row>
    <row r="388" spans="1:5" ht="30" customHeight="1" x14ac:dyDescent="0.25">
      <c r="A388" s="42"/>
      <c r="B388" s="37"/>
      <c r="C388" s="39"/>
      <c r="D388" s="36" t="str">
        <f t="shared" si="4"/>
        <v/>
      </c>
      <c r="E388" s="36" t="str">
        <f t="shared" si="5"/>
        <v/>
      </c>
    </row>
    <row r="389" spans="1:5" ht="30" customHeight="1" x14ac:dyDescent="0.25">
      <c r="A389" s="42"/>
      <c r="B389" s="37"/>
      <c r="C389" s="39"/>
      <c r="D389" s="36" t="str">
        <f t="shared" si="4"/>
        <v/>
      </c>
      <c r="E389" s="36" t="str">
        <f t="shared" si="5"/>
        <v/>
      </c>
    </row>
    <row r="390" spans="1:5" ht="30" customHeight="1" x14ac:dyDescent="0.25">
      <c r="A390" s="42"/>
      <c r="B390" s="37"/>
      <c r="C390" s="39"/>
      <c r="D390" s="36" t="str">
        <f t="shared" si="4"/>
        <v/>
      </c>
      <c r="E390" s="36" t="str">
        <f t="shared" si="5"/>
        <v/>
      </c>
    </row>
    <row r="391" spans="1:5" ht="30" customHeight="1" x14ac:dyDescent="0.25">
      <c r="A391" s="42"/>
      <c r="B391" s="37"/>
      <c r="C391" s="39"/>
      <c r="D391" s="36" t="str">
        <f t="shared" si="4"/>
        <v/>
      </c>
      <c r="E391" s="36" t="str">
        <f t="shared" si="5"/>
        <v/>
      </c>
    </row>
    <row r="392" spans="1:5" ht="30" customHeight="1" x14ac:dyDescent="0.25">
      <c r="A392" s="42"/>
      <c r="B392" s="37"/>
      <c r="C392" s="39"/>
      <c r="D392" s="36" t="str">
        <f t="shared" si="4"/>
        <v/>
      </c>
      <c r="E392" s="36" t="str">
        <f t="shared" si="5"/>
        <v/>
      </c>
    </row>
    <row r="393" spans="1:5" ht="30" customHeight="1" x14ac:dyDescent="0.25">
      <c r="A393" s="42"/>
      <c r="B393" s="37"/>
      <c r="C393" s="39"/>
      <c r="D393" s="36" t="str">
        <f t="shared" si="4"/>
        <v/>
      </c>
      <c r="E393" s="36" t="str">
        <f t="shared" si="5"/>
        <v/>
      </c>
    </row>
    <row r="394" spans="1:5" ht="30" customHeight="1" x14ac:dyDescent="0.25">
      <c r="A394" s="42"/>
      <c r="B394" s="37"/>
      <c r="C394" s="39"/>
      <c r="D394" s="36" t="str">
        <f t="shared" si="4"/>
        <v/>
      </c>
      <c r="E394" s="36" t="str">
        <f t="shared" si="5"/>
        <v/>
      </c>
    </row>
    <row r="395" spans="1:5" ht="30" customHeight="1" x14ac:dyDescent="0.25">
      <c r="A395" s="42"/>
      <c r="B395" s="37"/>
      <c r="C395" s="39"/>
      <c r="D395" s="36" t="str">
        <f t="shared" si="4"/>
        <v/>
      </c>
      <c r="E395" s="36" t="str">
        <f t="shared" si="5"/>
        <v/>
      </c>
    </row>
    <row r="396" spans="1:5" ht="30" customHeight="1" x14ac:dyDescent="0.25">
      <c r="A396" s="42"/>
      <c r="B396" s="37"/>
      <c r="C396" s="39"/>
      <c r="D396" s="36" t="str">
        <f t="shared" si="4"/>
        <v/>
      </c>
      <c r="E396" s="36" t="str">
        <f t="shared" si="5"/>
        <v/>
      </c>
    </row>
    <row r="397" spans="1:5" ht="30" customHeight="1" x14ac:dyDescent="0.25">
      <c r="A397" s="42"/>
      <c r="B397" s="37"/>
      <c r="C397" s="39"/>
      <c r="D397" s="36" t="str">
        <f t="shared" si="4"/>
        <v/>
      </c>
      <c r="E397" s="36" t="str">
        <f t="shared" si="5"/>
        <v/>
      </c>
    </row>
    <row r="398" spans="1:5" ht="30" customHeight="1" x14ac:dyDescent="0.25">
      <c r="A398" s="42"/>
      <c r="B398" s="37"/>
      <c r="C398" s="39"/>
      <c r="D398" s="36" t="str">
        <f t="shared" si="4"/>
        <v/>
      </c>
      <c r="E398" s="36" t="str">
        <f t="shared" si="5"/>
        <v/>
      </c>
    </row>
    <row r="399" spans="1:5" ht="30" customHeight="1" x14ac:dyDescent="0.25">
      <c r="A399" s="42"/>
      <c r="B399" s="37"/>
      <c r="C399" s="39"/>
      <c r="D399" s="36" t="str">
        <f t="shared" si="4"/>
        <v/>
      </c>
      <c r="E399" s="36" t="str">
        <f t="shared" si="5"/>
        <v/>
      </c>
    </row>
    <row r="400" spans="1:5" ht="30" customHeight="1" x14ac:dyDescent="0.25">
      <c r="A400" s="42"/>
      <c r="B400" s="37"/>
      <c r="C400" s="39"/>
      <c r="D400" s="36" t="str">
        <f t="shared" si="4"/>
        <v/>
      </c>
      <c r="E400" s="36" t="str">
        <f t="shared" si="5"/>
        <v/>
      </c>
    </row>
    <row r="401" spans="1:5" ht="30" customHeight="1" x14ac:dyDescent="0.25">
      <c r="A401" s="42"/>
      <c r="B401" s="37"/>
      <c r="C401" s="39"/>
      <c r="D401" s="36" t="str">
        <f t="shared" si="4"/>
        <v/>
      </c>
      <c r="E401" s="36" t="str">
        <f t="shared" si="5"/>
        <v/>
      </c>
    </row>
    <row r="402" spans="1:5" ht="30" customHeight="1" x14ac:dyDescent="0.25">
      <c r="A402" s="42"/>
      <c r="B402" s="37"/>
      <c r="C402" s="39"/>
      <c r="D402" s="36" t="str">
        <f t="shared" si="4"/>
        <v/>
      </c>
      <c r="E402" s="36" t="str">
        <f t="shared" si="5"/>
        <v/>
      </c>
    </row>
    <row r="403" spans="1:5" ht="30" customHeight="1" x14ac:dyDescent="0.25">
      <c r="A403" s="42"/>
      <c r="B403" s="37"/>
      <c r="C403" s="39"/>
      <c r="D403" s="36" t="str">
        <f t="shared" si="4"/>
        <v/>
      </c>
      <c r="E403" s="36" t="str">
        <f t="shared" si="5"/>
        <v/>
      </c>
    </row>
    <row r="404" spans="1:5" ht="30" customHeight="1" x14ac:dyDescent="0.25">
      <c r="A404" s="42"/>
      <c r="B404" s="37"/>
      <c r="C404" s="39"/>
      <c r="D404" s="36" t="str">
        <f t="shared" si="4"/>
        <v/>
      </c>
      <c r="E404" s="36" t="str">
        <f t="shared" si="5"/>
        <v/>
      </c>
    </row>
    <row r="405" spans="1:5" ht="30" customHeight="1" x14ac:dyDescent="0.25">
      <c r="A405" s="42"/>
      <c r="B405" s="37"/>
      <c r="C405" s="39"/>
      <c r="D405" s="36" t="str">
        <f t="shared" si="4"/>
        <v/>
      </c>
      <c r="E405" s="36" t="str">
        <f t="shared" si="5"/>
        <v/>
      </c>
    </row>
    <row r="406" spans="1:5" ht="30" customHeight="1" x14ac:dyDescent="0.25">
      <c r="A406" s="42"/>
      <c r="B406" s="37"/>
      <c r="C406" s="39"/>
      <c r="D406" s="36" t="str">
        <f t="shared" si="4"/>
        <v/>
      </c>
      <c r="E406" s="36" t="str">
        <f t="shared" si="5"/>
        <v/>
      </c>
    </row>
    <row r="407" spans="1:5" ht="30" customHeight="1" x14ac:dyDescent="0.25">
      <c r="A407" s="42"/>
      <c r="B407" s="37"/>
      <c r="C407" s="39"/>
      <c r="D407" s="36" t="str">
        <f t="shared" si="4"/>
        <v/>
      </c>
      <c r="E407" s="36" t="str">
        <f t="shared" si="5"/>
        <v/>
      </c>
    </row>
    <row r="408" spans="1:5" ht="30" customHeight="1" x14ac:dyDescent="0.25">
      <c r="A408" s="42"/>
      <c r="B408" s="37"/>
      <c r="C408" s="39"/>
      <c r="D408" s="36" t="str">
        <f t="shared" si="4"/>
        <v/>
      </c>
      <c r="E408" s="36" t="str">
        <f t="shared" si="5"/>
        <v/>
      </c>
    </row>
    <row r="409" spans="1:5" ht="30" customHeight="1" x14ac:dyDescent="0.25">
      <c r="A409" s="42"/>
      <c r="B409" s="37"/>
      <c r="C409" s="39"/>
      <c r="D409" s="36" t="str">
        <f t="shared" si="4"/>
        <v/>
      </c>
      <c r="E409" s="36" t="str">
        <f t="shared" si="5"/>
        <v/>
      </c>
    </row>
    <row r="410" spans="1:5" ht="30" customHeight="1" x14ac:dyDescent="0.25">
      <c r="A410" s="42"/>
      <c r="B410" s="37"/>
      <c r="C410" s="39"/>
      <c r="D410" s="36" t="str">
        <f t="shared" si="4"/>
        <v/>
      </c>
      <c r="E410" s="36" t="str">
        <f t="shared" si="5"/>
        <v/>
      </c>
    </row>
    <row r="411" spans="1:5" ht="30" customHeight="1" x14ac:dyDescent="0.25">
      <c r="A411" s="42"/>
      <c r="B411" s="37"/>
      <c r="C411" s="39"/>
      <c r="D411" s="36" t="str">
        <f t="shared" si="4"/>
        <v/>
      </c>
      <c r="E411" s="36" t="str">
        <f t="shared" si="5"/>
        <v/>
      </c>
    </row>
    <row r="412" spans="1:5" ht="30" customHeight="1" x14ac:dyDescent="0.25">
      <c r="A412" s="42"/>
      <c r="B412" s="37"/>
      <c r="C412" s="39"/>
      <c r="D412" s="36" t="str">
        <f t="shared" si="4"/>
        <v/>
      </c>
      <c r="E412" s="36" t="str">
        <f t="shared" si="5"/>
        <v/>
      </c>
    </row>
    <row r="413" spans="1:5" ht="30" customHeight="1" x14ac:dyDescent="0.25">
      <c r="A413" s="42"/>
      <c r="B413" s="37"/>
      <c r="C413" s="39"/>
      <c r="D413" s="36" t="str">
        <f t="shared" si="4"/>
        <v/>
      </c>
      <c r="E413" s="36" t="str">
        <f t="shared" si="5"/>
        <v/>
      </c>
    </row>
    <row r="414" spans="1:5" ht="30" customHeight="1" x14ac:dyDescent="0.25">
      <c r="A414" s="42"/>
      <c r="B414" s="37"/>
      <c r="C414" s="39"/>
      <c r="D414" s="36" t="str">
        <f t="shared" si="4"/>
        <v/>
      </c>
      <c r="E414" s="36" t="str">
        <f t="shared" si="5"/>
        <v/>
      </c>
    </row>
    <row r="415" spans="1:5" ht="30" customHeight="1" x14ac:dyDescent="0.25">
      <c r="A415" s="42"/>
      <c r="B415" s="37"/>
      <c r="C415" s="39"/>
      <c r="D415" s="36" t="str">
        <f t="shared" si="4"/>
        <v/>
      </c>
      <c r="E415" s="36" t="str">
        <f t="shared" si="5"/>
        <v/>
      </c>
    </row>
    <row r="416" spans="1:5" ht="30" customHeight="1" x14ac:dyDescent="0.25">
      <c r="A416" s="42"/>
      <c r="B416" s="37"/>
      <c r="C416" s="39"/>
      <c r="D416" s="36" t="str">
        <f t="shared" si="4"/>
        <v/>
      </c>
      <c r="E416" s="36" t="str">
        <f t="shared" si="5"/>
        <v/>
      </c>
    </row>
    <row r="417" spans="1:5" ht="30" customHeight="1" x14ac:dyDescent="0.25">
      <c r="A417" s="42"/>
      <c r="B417" s="37"/>
      <c r="C417" s="39"/>
      <c r="D417" s="36" t="str">
        <f t="shared" si="4"/>
        <v/>
      </c>
      <c r="E417" s="36" t="str">
        <f t="shared" si="5"/>
        <v/>
      </c>
    </row>
    <row r="418" spans="1:5" ht="30" customHeight="1" x14ac:dyDescent="0.25">
      <c r="A418" s="42"/>
      <c r="B418" s="37"/>
      <c r="C418" s="39"/>
      <c r="D418" s="36" t="str">
        <f t="shared" si="4"/>
        <v/>
      </c>
      <c r="E418" s="36" t="str">
        <f t="shared" si="5"/>
        <v/>
      </c>
    </row>
    <row r="419" spans="1:5" ht="30" customHeight="1" x14ac:dyDescent="0.25">
      <c r="A419" s="42"/>
      <c r="B419" s="37"/>
      <c r="C419" s="39"/>
      <c r="D419" s="36" t="str">
        <f t="shared" si="4"/>
        <v/>
      </c>
      <c r="E419" s="36" t="str">
        <f t="shared" si="5"/>
        <v/>
      </c>
    </row>
    <row r="420" spans="1:5" ht="30" customHeight="1" x14ac:dyDescent="0.25">
      <c r="A420" s="42"/>
      <c r="B420" s="37"/>
      <c r="C420" s="39"/>
      <c r="D420" s="36" t="str">
        <f t="shared" si="4"/>
        <v/>
      </c>
      <c r="E420" s="36" t="str">
        <f t="shared" si="5"/>
        <v/>
      </c>
    </row>
    <row r="421" spans="1:5" ht="30" customHeight="1" x14ac:dyDescent="0.25">
      <c r="A421" s="42"/>
      <c r="B421" s="37"/>
      <c r="C421" s="39"/>
      <c r="D421" s="36" t="str">
        <f t="shared" si="4"/>
        <v/>
      </c>
      <c r="E421" s="36" t="str">
        <f t="shared" si="5"/>
        <v/>
      </c>
    </row>
    <row r="422" spans="1:5" ht="30" customHeight="1" x14ac:dyDescent="0.25">
      <c r="A422" s="42"/>
      <c r="B422" s="37"/>
      <c r="C422" s="39"/>
      <c r="D422" s="36" t="str">
        <f t="shared" si="4"/>
        <v/>
      </c>
      <c r="E422" s="36" t="str">
        <f t="shared" si="5"/>
        <v/>
      </c>
    </row>
    <row r="423" spans="1:5" ht="30" customHeight="1" x14ac:dyDescent="0.25">
      <c r="A423" s="42"/>
      <c r="B423" s="37"/>
      <c r="C423" s="39"/>
      <c r="D423" s="36" t="str">
        <f t="shared" si="4"/>
        <v/>
      </c>
      <c r="E423" s="36" t="str">
        <f t="shared" si="5"/>
        <v/>
      </c>
    </row>
    <row r="424" spans="1:5" ht="30" customHeight="1" x14ac:dyDescent="0.25">
      <c r="A424" s="42"/>
      <c r="B424" s="37"/>
      <c r="C424" s="39"/>
      <c r="D424" s="36" t="str">
        <f t="shared" si="4"/>
        <v/>
      </c>
      <c r="E424" s="36" t="str">
        <f t="shared" si="5"/>
        <v/>
      </c>
    </row>
    <row r="425" spans="1:5" ht="30" customHeight="1" x14ac:dyDescent="0.25">
      <c r="A425" s="42"/>
      <c r="B425" s="37"/>
      <c r="C425" s="39"/>
      <c r="D425" s="36" t="str">
        <f t="shared" si="4"/>
        <v/>
      </c>
      <c r="E425" s="36" t="str">
        <f t="shared" si="5"/>
        <v/>
      </c>
    </row>
    <row r="426" spans="1:5" ht="30" customHeight="1" x14ac:dyDescent="0.25">
      <c r="A426" s="42"/>
      <c r="B426" s="37"/>
      <c r="C426" s="39"/>
      <c r="D426" s="36" t="str">
        <f t="shared" si="4"/>
        <v/>
      </c>
      <c r="E426" s="36" t="str">
        <f t="shared" si="5"/>
        <v/>
      </c>
    </row>
    <row r="427" spans="1:5" ht="30" customHeight="1" x14ac:dyDescent="0.25">
      <c r="A427" s="42"/>
      <c r="B427" s="37"/>
      <c r="C427" s="39"/>
      <c r="D427" s="36" t="str">
        <f t="shared" si="4"/>
        <v/>
      </c>
      <c r="E427" s="36" t="str">
        <f t="shared" si="5"/>
        <v/>
      </c>
    </row>
    <row r="428" spans="1:5" ht="30" customHeight="1" x14ac:dyDescent="0.25">
      <c r="A428" s="42"/>
      <c r="B428" s="37"/>
      <c r="C428" s="39"/>
      <c r="D428" s="36" t="str">
        <f t="shared" si="4"/>
        <v/>
      </c>
      <c r="E428" s="36" t="str">
        <f t="shared" si="5"/>
        <v/>
      </c>
    </row>
    <row r="429" spans="1:5" ht="30" customHeight="1" x14ac:dyDescent="0.25">
      <c r="A429" s="42"/>
      <c r="B429" s="37"/>
      <c r="C429" s="39"/>
      <c r="D429" s="36" t="str">
        <f t="shared" si="4"/>
        <v/>
      </c>
      <c r="E429" s="36" t="str">
        <f t="shared" si="5"/>
        <v/>
      </c>
    </row>
    <row r="430" spans="1:5" ht="30" customHeight="1" x14ac:dyDescent="0.25">
      <c r="A430" s="42"/>
      <c r="B430" s="37"/>
      <c r="C430" s="39"/>
      <c r="D430" s="36" t="str">
        <f t="shared" si="4"/>
        <v/>
      </c>
      <c r="E430" s="36" t="str">
        <f t="shared" si="5"/>
        <v/>
      </c>
    </row>
    <row r="431" spans="1:5" ht="30" customHeight="1" x14ac:dyDescent="0.25">
      <c r="A431" s="42"/>
      <c r="B431" s="37"/>
      <c r="C431" s="39"/>
      <c r="D431" s="36" t="str">
        <f t="shared" si="4"/>
        <v/>
      </c>
      <c r="E431" s="36" t="str">
        <f t="shared" si="5"/>
        <v/>
      </c>
    </row>
    <row r="432" spans="1:5" ht="30" customHeight="1" x14ac:dyDescent="0.25">
      <c r="A432" s="42"/>
      <c r="B432" s="37"/>
      <c r="C432" s="39"/>
      <c r="D432" s="36" t="str">
        <f t="shared" si="4"/>
        <v/>
      </c>
      <c r="E432" s="36" t="str">
        <f t="shared" si="5"/>
        <v/>
      </c>
    </row>
    <row r="433" spans="1:5" ht="30" customHeight="1" x14ac:dyDescent="0.25">
      <c r="A433" s="42"/>
      <c r="B433" s="37"/>
      <c r="C433" s="39"/>
      <c r="D433" s="36" t="str">
        <f t="shared" si="4"/>
        <v/>
      </c>
      <c r="E433" s="36" t="str">
        <f t="shared" si="5"/>
        <v/>
      </c>
    </row>
    <row r="434" spans="1:5" ht="30" customHeight="1" x14ac:dyDescent="0.25">
      <c r="A434" s="42"/>
      <c r="B434" s="37"/>
      <c r="C434" s="39"/>
      <c r="D434" s="36" t="str">
        <f t="shared" si="4"/>
        <v/>
      </c>
      <c r="E434" s="36" t="str">
        <f t="shared" si="5"/>
        <v/>
      </c>
    </row>
    <row r="435" spans="1:5" ht="30" customHeight="1" x14ac:dyDescent="0.25">
      <c r="A435" s="42"/>
      <c r="B435" s="37"/>
      <c r="C435" s="39"/>
      <c r="D435" s="36" t="str">
        <f t="shared" si="4"/>
        <v/>
      </c>
      <c r="E435" s="36" t="str">
        <f t="shared" si="5"/>
        <v/>
      </c>
    </row>
    <row r="436" spans="1:5" ht="30" customHeight="1" x14ac:dyDescent="0.25">
      <c r="A436" s="42"/>
      <c r="B436" s="37"/>
      <c r="C436" s="39"/>
      <c r="D436" s="36" t="str">
        <f t="shared" si="4"/>
        <v/>
      </c>
      <c r="E436" s="36" t="str">
        <f t="shared" si="5"/>
        <v/>
      </c>
    </row>
    <row r="437" spans="1:5" ht="30" customHeight="1" x14ac:dyDescent="0.25">
      <c r="A437" s="42"/>
      <c r="B437" s="37"/>
      <c r="C437" s="39"/>
      <c r="D437" s="36" t="str">
        <f t="shared" si="4"/>
        <v/>
      </c>
      <c r="E437" s="36" t="str">
        <f t="shared" si="5"/>
        <v/>
      </c>
    </row>
    <row r="438" spans="1:5" ht="30" customHeight="1" x14ac:dyDescent="0.25">
      <c r="A438" s="42"/>
      <c r="B438" s="37"/>
      <c r="C438" s="39"/>
      <c r="D438" s="36" t="str">
        <f t="shared" si="4"/>
        <v/>
      </c>
      <c r="E438" s="36" t="str">
        <f t="shared" si="5"/>
        <v/>
      </c>
    </row>
    <row r="439" spans="1:5" ht="30" customHeight="1" x14ac:dyDescent="0.25">
      <c r="A439" s="42"/>
      <c r="B439" s="37"/>
      <c r="C439" s="39"/>
      <c r="D439" s="36" t="str">
        <f t="shared" si="4"/>
        <v/>
      </c>
      <c r="E439" s="36" t="str">
        <f t="shared" si="5"/>
        <v/>
      </c>
    </row>
    <row r="440" spans="1:5" ht="30" customHeight="1" x14ac:dyDescent="0.25">
      <c r="A440" s="42"/>
      <c r="B440" s="37"/>
      <c r="C440" s="39"/>
      <c r="D440" s="36" t="str">
        <f t="shared" si="4"/>
        <v/>
      </c>
      <c r="E440" s="36" t="str">
        <f t="shared" si="5"/>
        <v/>
      </c>
    </row>
    <row r="441" spans="1:5" ht="30" customHeight="1" x14ac:dyDescent="0.25">
      <c r="A441" s="42"/>
      <c r="B441" s="37"/>
      <c r="C441" s="39"/>
      <c r="D441" s="36" t="str">
        <f t="shared" si="4"/>
        <v/>
      </c>
      <c r="E441" s="36" t="str">
        <f t="shared" si="5"/>
        <v/>
      </c>
    </row>
    <row r="442" spans="1:5" ht="30" customHeight="1" x14ac:dyDescent="0.25">
      <c r="A442" s="42"/>
      <c r="B442" s="37"/>
      <c r="C442" s="39"/>
      <c r="D442" s="36" t="str">
        <f t="shared" si="4"/>
        <v/>
      </c>
      <c r="E442" s="36" t="str">
        <f t="shared" si="5"/>
        <v/>
      </c>
    </row>
    <row r="443" spans="1:5" ht="30" customHeight="1" x14ac:dyDescent="0.25">
      <c r="A443" s="42"/>
      <c r="B443" s="37"/>
      <c r="C443" s="39"/>
      <c r="D443" s="36" t="str">
        <f t="shared" si="4"/>
        <v/>
      </c>
      <c r="E443" s="36" t="str">
        <f t="shared" si="5"/>
        <v/>
      </c>
    </row>
    <row r="444" spans="1:5" ht="30" customHeight="1" x14ac:dyDescent="0.25">
      <c r="A444" s="42"/>
      <c r="B444" s="37"/>
      <c r="C444" s="39"/>
      <c r="D444" s="36" t="str">
        <f t="shared" si="4"/>
        <v/>
      </c>
      <c r="E444" s="36" t="str">
        <f t="shared" si="5"/>
        <v/>
      </c>
    </row>
    <row r="445" spans="1:5" ht="30" customHeight="1" x14ac:dyDescent="0.25">
      <c r="A445" s="42"/>
      <c r="B445" s="37"/>
      <c r="C445" s="39"/>
      <c r="D445" s="36" t="str">
        <f t="shared" si="4"/>
        <v/>
      </c>
      <c r="E445" s="36" t="str">
        <f t="shared" si="5"/>
        <v/>
      </c>
    </row>
    <row r="446" spans="1:5" ht="30" customHeight="1" x14ac:dyDescent="0.25">
      <c r="A446" s="42"/>
      <c r="B446" s="37"/>
      <c r="C446" s="39"/>
      <c r="D446" s="36" t="str">
        <f t="shared" si="4"/>
        <v/>
      </c>
      <c r="E446" s="36" t="str">
        <f t="shared" si="5"/>
        <v/>
      </c>
    </row>
    <row r="447" spans="1:5" ht="30" customHeight="1" x14ac:dyDescent="0.25">
      <c r="A447" s="42"/>
      <c r="B447" s="37"/>
      <c r="C447" s="39"/>
      <c r="D447" s="36" t="str">
        <f t="shared" si="4"/>
        <v/>
      </c>
      <c r="E447" s="36" t="str">
        <f t="shared" si="5"/>
        <v/>
      </c>
    </row>
    <row r="448" spans="1:5" ht="30" customHeight="1" x14ac:dyDescent="0.25">
      <c r="A448" s="42"/>
      <c r="B448" s="37"/>
      <c r="C448" s="39"/>
      <c r="D448" s="36" t="str">
        <f t="shared" si="4"/>
        <v/>
      </c>
      <c r="E448" s="36" t="str">
        <f t="shared" si="5"/>
        <v/>
      </c>
    </row>
    <row r="449" spans="1:5" ht="30" customHeight="1" x14ac:dyDescent="0.25">
      <c r="A449" s="42"/>
      <c r="B449" s="37"/>
      <c r="C449" s="39"/>
      <c r="D449" s="36" t="str">
        <f t="shared" si="4"/>
        <v/>
      </c>
      <c r="E449" s="36" t="str">
        <f t="shared" si="5"/>
        <v/>
      </c>
    </row>
    <row r="450" spans="1:5" ht="30" customHeight="1" x14ac:dyDescent="0.25">
      <c r="A450" s="42"/>
      <c r="B450" s="37"/>
      <c r="C450" s="39"/>
      <c r="D450" s="36" t="str">
        <f t="shared" si="4"/>
        <v/>
      </c>
      <c r="E450" s="36" t="str">
        <f t="shared" si="5"/>
        <v/>
      </c>
    </row>
    <row r="451" spans="1:5" ht="30" customHeight="1" x14ac:dyDescent="0.25">
      <c r="A451" s="42"/>
      <c r="B451" s="37"/>
      <c r="C451" s="39"/>
      <c r="D451" s="36" t="str">
        <f t="shared" si="4"/>
        <v/>
      </c>
      <c r="E451" s="36" t="str">
        <f t="shared" si="5"/>
        <v/>
      </c>
    </row>
    <row r="452" spans="1:5" ht="30" customHeight="1" x14ac:dyDescent="0.25">
      <c r="A452" s="42"/>
      <c r="B452" s="37"/>
      <c r="C452" s="39"/>
      <c r="D452" s="36" t="str">
        <f t="shared" si="4"/>
        <v/>
      </c>
      <c r="E452" s="36" t="str">
        <f t="shared" si="5"/>
        <v/>
      </c>
    </row>
    <row r="453" spans="1:5" ht="30" customHeight="1" x14ac:dyDescent="0.25">
      <c r="A453" s="42"/>
      <c r="B453" s="37"/>
      <c r="C453" s="39"/>
      <c r="D453" s="36" t="str">
        <f t="shared" si="4"/>
        <v/>
      </c>
      <c r="E453" s="36" t="str">
        <f t="shared" si="5"/>
        <v/>
      </c>
    </row>
    <row r="454" spans="1:5" ht="30" customHeight="1" x14ac:dyDescent="0.25">
      <c r="A454" s="42"/>
      <c r="B454" s="37"/>
      <c r="C454" s="39"/>
      <c r="D454" s="36" t="str">
        <f t="shared" si="4"/>
        <v/>
      </c>
      <c r="E454" s="36" t="str">
        <f t="shared" si="5"/>
        <v/>
      </c>
    </row>
    <row r="455" spans="1:5" ht="30" customHeight="1" x14ac:dyDescent="0.25">
      <c r="A455" s="42"/>
      <c r="B455" s="37"/>
      <c r="C455" s="39"/>
      <c r="D455" s="36" t="str">
        <f t="shared" si="4"/>
        <v/>
      </c>
      <c r="E455" s="36" t="str">
        <f t="shared" si="5"/>
        <v/>
      </c>
    </row>
    <row r="456" spans="1:5" ht="30" customHeight="1" x14ac:dyDescent="0.25">
      <c r="A456" s="42"/>
      <c r="B456" s="37"/>
      <c r="C456" s="39"/>
      <c r="D456" s="36" t="str">
        <f t="shared" si="4"/>
        <v/>
      </c>
      <c r="E456" s="36" t="str">
        <f t="shared" si="5"/>
        <v/>
      </c>
    </row>
    <row r="457" spans="1:5" ht="30" customHeight="1" x14ac:dyDescent="0.25">
      <c r="A457" s="42"/>
      <c r="B457" s="37"/>
      <c r="C457" s="39"/>
      <c r="D457" s="36" t="str">
        <f t="shared" si="4"/>
        <v/>
      </c>
      <c r="E457" s="36" t="str">
        <f t="shared" si="5"/>
        <v/>
      </c>
    </row>
    <row r="458" spans="1:5" ht="30" customHeight="1" x14ac:dyDescent="0.25">
      <c r="A458" s="42"/>
      <c r="B458" s="37"/>
      <c r="C458" s="39"/>
      <c r="D458" s="36" t="str">
        <f t="shared" si="4"/>
        <v/>
      </c>
      <c r="E458" s="36" t="str">
        <f t="shared" si="5"/>
        <v/>
      </c>
    </row>
    <row r="459" spans="1:5" ht="30" customHeight="1" x14ac:dyDescent="0.25">
      <c r="A459" s="42"/>
      <c r="B459" s="37"/>
      <c r="C459" s="39"/>
      <c r="D459" s="36" t="str">
        <f t="shared" si="4"/>
        <v/>
      </c>
      <c r="E459" s="36" t="str">
        <f t="shared" si="5"/>
        <v/>
      </c>
    </row>
    <row r="460" spans="1:5" ht="30" customHeight="1" x14ac:dyDescent="0.25">
      <c r="A460" s="42"/>
      <c r="B460" s="37"/>
      <c r="C460" s="39"/>
      <c r="D460" s="36" t="str">
        <f t="shared" si="4"/>
        <v/>
      </c>
      <c r="E460" s="36" t="str">
        <f t="shared" si="5"/>
        <v/>
      </c>
    </row>
    <row r="461" spans="1:5" ht="30" customHeight="1" x14ac:dyDescent="0.25">
      <c r="A461" s="42"/>
      <c r="B461" s="37"/>
      <c r="C461" s="39"/>
      <c r="D461" s="36" t="str">
        <f t="shared" si="4"/>
        <v/>
      </c>
      <c r="E461" s="36" t="str">
        <f t="shared" si="5"/>
        <v/>
      </c>
    </row>
    <row r="462" spans="1:5" ht="30" customHeight="1" x14ac:dyDescent="0.25">
      <c r="A462" s="42"/>
      <c r="B462" s="37"/>
      <c r="C462" s="39"/>
      <c r="D462" s="36" t="str">
        <f t="shared" si="4"/>
        <v/>
      </c>
      <c r="E462" s="36" t="str">
        <f t="shared" si="5"/>
        <v/>
      </c>
    </row>
    <row r="463" spans="1:5" ht="30" customHeight="1" x14ac:dyDescent="0.25">
      <c r="A463" s="42"/>
      <c r="B463" s="37"/>
      <c r="C463" s="39"/>
      <c r="D463" s="36" t="str">
        <f t="shared" si="4"/>
        <v/>
      </c>
      <c r="E463" s="36" t="str">
        <f t="shared" si="5"/>
        <v/>
      </c>
    </row>
    <row r="464" spans="1:5" ht="30" customHeight="1" x14ac:dyDescent="0.25">
      <c r="A464" s="42"/>
      <c r="B464" s="37"/>
      <c r="C464" s="39"/>
      <c r="D464" s="36" t="str">
        <f t="shared" si="4"/>
        <v/>
      </c>
      <c r="E464" s="36" t="str">
        <f t="shared" si="5"/>
        <v/>
      </c>
    </row>
    <row r="465" spans="1:5" ht="30" customHeight="1" x14ac:dyDescent="0.25">
      <c r="A465" s="42"/>
      <c r="B465" s="37"/>
      <c r="C465" s="39"/>
      <c r="D465" s="36" t="str">
        <f t="shared" si="4"/>
        <v/>
      </c>
      <c r="E465" s="36" t="str">
        <f t="shared" si="5"/>
        <v/>
      </c>
    </row>
    <row r="466" spans="1:5" ht="30" customHeight="1" x14ac:dyDescent="0.25">
      <c r="A466" s="42"/>
      <c r="B466" s="37"/>
      <c r="C466" s="39"/>
      <c r="D466" s="36" t="str">
        <f t="shared" si="4"/>
        <v/>
      </c>
      <c r="E466" s="36" t="str">
        <f t="shared" si="5"/>
        <v/>
      </c>
    </row>
    <row r="467" spans="1:5" ht="30" customHeight="1" x14ac:dyDescent="0.25">
      <c r="A467" s="42"/>
      <c r="B467" s="37"/>
      <c r="C467" s="39"/>
      <c r="D467" s="36" t="str">
        <f t="shared" si="4"/>
        <v/>
      </c>
      <c r="E467" s="36" t="str">
        <f t="shared" si="5"/>
        <v/>
      </c>
    </row>
    <row r="468" spans="1:5" ht="30" customHeight="1" x14ac:dyDescent="0.25">
      <c r="A468" s="42"/>
      <c r="B468" s="37"/>
      <c r="C468" s="39"/>
      <c r="D468" s="36" t="str">
        <f t="shared" si="4"/>
        <v/>
      </c>
      <c r="E468" s="36" t="str">
        <f t="shared" si="5"/>
        <v/>
      </c>
    </row>
    <row r="469" spans="1:5" ht="30" customHeight="1" x14ac:dyDescent="0.25">
      <c r="A469" s="42"/>
      <c r="B469" s="37"/>
      <c r="C469" s="39"/>
      <c r="D469" s="36" t="str">
        <f t="shared" si="4"/>
        <v/>
      </c>
      <c r="E469" s="36" t="str">
        <f t="shared" si="5"/>
        <v/>
      </c>
    </row>
    <row r="470" spans="1:5" ht="30" customHeight="1" x14ac:dyDescent="0.25">
      <c r="A470" s="42"/>
      <c r="B470" s="37"/>
      <c r="C470" s="39"/>
      <c r="D470" s="36" t="str">
        <f t="shared" si="4"/>
        <v/>
      </c>
      <c r="E470" s="36" t="str">
        <f t="shared" si="5"/>
        <v/>
      </c>
    </row>
    <row r="471" spans="1:5" ht="30" customHeight="1" x14ac:dyDescent="0.25">
      <c r="A471" s="42"/>
      <c r="B471" s="37"/>
      <c r="C471" s="39"/>
      <c r="D471" s="36" t="str">
        <f t="shared" si="4"/>
        <v/>
      </c>
      <c r="E471" s="36" t="str">
        <f t="shared" si="5"/>
        <v/>
      </c>
    </row>
    <row r="472" spans="1:5" ht="30" customHeight="1" x14ac:dyDescent="0.25">
      <c r="A472" s="42"/>
      <c r="B472" s="37"/>
      <c r="C472" s="39"/>
      <c r="D472" s="36" t="str">
        <f t="shared" si="4"/>
        <v/>
      </c>
      <c r="E472" s="36" t="str">
        <f t="shared" si="5"/>
        <v/>
      </c>
    </row>
    <row r="473" spans="1:5" ht="30" customHeight="1" x14ac:dyDescent="0.25">
      <c r="A473" s="42"/>
      <c r="B473" s="37"/>
      <c r="C473" s="39"/>
      <c r="D473" s="36" t="str">
        <f t="shared" si="4"/>
        <v/>
      </c>
      <c r="E473" s="36" t="str">
        <f t="shared" si="5"/>
        <v/>
      </c>
    </row>
    <row r="474" spans="1:5" ht="30" customHeight="1" x14ac:dyDescent="0.25">
      <c r="A474" s="42"/>
      <c r="B474" s="37"/>
      <c r="C474" s="39"/>
      <c r="D474" s="36" t="str">
        <f t="shared" si="4"/>
        <v/>
      </c>
      <c r="E474" s="36" t="str">
        <f t="shared" si="5"/>
        <v/>
      </c>
    </row>
    <row r="475" spans="1:5" ht="30" customHeight="1" x14ac:dyDescent="0.25">
      <c r="A475" s="42"/>
      <c r="B475" s="37"/>
      <c r="C475" s="39"/>
      <c r="D475" s="36" t="str">
        <f t="shared" si="4"/>
        <v/>
      </c>
      <c r="E475" s="36" t="str">
        <f t="shared" si="5"/>
        <v/>
      </c>
    </row>
    <row r="476" spans="1:5" ht="30" customHeight="1" x14ac:dyDescent="0.25">
      <c r="A476" s="42"/>
      <c r="B476" s="37"/>
      <c r="C476" s="39"/>
      <c r="D476" s="36" t="str">
        <f t="shared" si="4"/>
        <v/>
      </c>
      <c r="E476" s="36" t="str">
        <f t="shared" si="5"/>
        <v/>
      </c>
    </row>
    <row r="477" spans="1:5" ht="30" customHeight="1" x14ac:dyDescent="0.25">
      <c r="A477" s="42"/>
      <c r="B477" s="37"/>
      <c r="C477" s="39"/>
      <c r="D477" s="36" t="str">
        <f t="shared" si="4"/>
        <v/>
      </c>
      <c r="E477" s="36" t="str">
        <f t="shared" si="5"/>
        <v/>
      </c>
    </row>
    <row r="478" spans="1:5" ht="30" customHeight="1" x14ac:dyDescent="0.25">
      <c r="A478" s="42"/>
      <c r="B478" s="37"/>
      <c r="C478" s="39"/>
      <c r="D478" s="36" t="str">
        <f t="shared" si="4"/>
        <v/>
      </c>
      <c r="E478" s="36" t="str">
        <f t="shared" si="5"/>
        <v/>
      </c>
    </row>
    <row r="479" spans="1:5" ht="30" customHeight="1" x14ac:dyDescent="0.25">
      <c r="A479" s="42"/>
      <c r="B479" s="37"/>
      <c r="C479" s="39"/>
      <c r="D479" s="36" t="str">
        <f t="shared" si="4"/>
        <v/>
      </c>
      <c r="E479" s="36" t="str">
        <f t="shared" si="5"/>
        <v/>
      </c>
    </row>
    <row r="480" spans="1:5" ht="30" customHeight="1" x14ac:dyDescent="0.25">
      <c r="A480" s="42"/>
      <c r="B480" s="37"/>
      <c r="C480" s="39"/>
      <c r="D480" s="36" t="str">
        <f t="shared" si="4"/>
        <v/>
      </c>
      <c r="E480" s="36" t="str">
        <f t="shared" si="5"/>
        <v/>
      </c>
    </row>
    <row r="481" spans="1:5" ht="30" customHeight="1" x14ac:dyDescent="0.25">
      <c r="A481" s="42"/>
      <c r="B481" s="37"/>
      <c r="C481" s="39"/>
      <c r="D481" s="36" t="str">
        <f t="shared" si="4"/>
        <v/>
      </c>
      <c r="E481" s="36" t="str">
        <f t="shared" si="5"/>
        <v/>
      </c>
    </row>
    <row r="482" spans="1:5" ht="30" customHeight="1" x14ac:dyDescent="0.25">
      <c r="A482" s="42"/>
      <c r="B482" s="37"/>
      <c r="C482" s="39"/>
      <c r="D482" s="36" t="str">
        <f t="shared" si="4"/>
        <v/>
      </c>
      <c r="E482" s="36" t="str">
        <f t="shared" si="5"/>
        <v/>
      </c>
    </row>
    <row r="483" spans="1:5" ht="30" customHeight="1" x14ac:dyDescent="0.25">
      <c r="A483" s="42"/>
      <c r="B483" s="37"/>
      <c r="C483" s="39"/>
      <c r="D483" s="36" t="str">
        <f t="shared" si="4"/>
        <v/>
      </c>
      <c r="E483" s="36" t="str">
        <f t="shared" si="5"/>
        <v/>
      </c>
    </row>
    <row r="484" spans="1:5" ht="30" customHeight="1" x14ac:dyDescent="0.25">
      <c r="A484" s="42"/>
      <c r="B484" s="37"/>
      <c r="C484" s="39"/>
      <c r="D484" s="36" t="str">
        <f t="shared" si="4"/>
        <v/>
      </c>
      <c r="E484" s="36" t="str">
        <f t="shared" si="5"/>
        <v/>
      </c>
    </row>
    <row r="485" spans="1:5" ht="30" customHeight="1" x14ac:dyDescent="0.25">
      <c r="A485" s="42"/>
      <c r="B485" s="37"/>
      <c r="C485" s="39"/>
      <c r="D485" s="36" t="str">
        <f t="shared" si="4"/>
        <v/>
      </c>
      <c r="E485" s="36" t="str">
        <f t="shared" si="5"/>
        <v/>
      </c>
    </row>
    <row r="486" spans="1:5" ht="30" customHeight="1" x14ac:dyDescent="0.25">
      <c r="A486" s="42"/>
      <c r="B486" s="37"/>
      <c r="C486" s="39"/>
      <c r="D486" s="36" t="str">
        <f t="shared" si="4"/>
        <v/>
      </c>
      <c r="E486" s="36" t="str">
        <f t="shared" si="5"/>
        <v/>
      </c>
    </row>
    <row r="487" spans="1:5" ht="30" customHeight="1" x14ac:dyDescent="0.25">
      <c r="A487" s="42"/>
      <c r="B487" s="37"/>
      <c r="C487" s="39"/>
      <c r="D487" s="36" t="str">
        <f t="shared" si="4"/>
        <v/>
      </c>
      <c r="E487" s="36" t="str">
        <f t="shared" si="5"/>
        <v/>
      </c>
    </row>
    <row r="488" spans="1:5" ht="30" customHeight="1" x14ac:dyDescent="0.25">
      <c r="A488" s="42"/>
      <c r="B488" s="37"/>
      <c r="C488" s="39"/>
      <c r="D488" s="36" t="str">
        <f t="shared" si="4"/>
        <v/>
      </c>
      <c r="E488" s="36" t="str">
        <f t="shared" si="5"/>
        <v/>
      </c>
    </row>
    <row r="489" spans="1:5" ht="30" customHeight="1" x14ac:dyDescent="0.25">
      <c r="A489" s="42"/>
      <c r="B489" s="37"/>
      <c r="C489" s="39"/>
      <c r="D489" s="36" t="str">
        <f t="shared" si="4"/>
        <v/>
      </c>
      <c r="E489" s="36" t="str">
        <f t="shared" si="5"/>
        <v/>
      </c>
    </row>
    <row r="490" spans="1:5" ht="30" customHeight="1" x14ac:dyDescent="0.25">
      <c r="A490" s="42"/>
      <c r="B490" s="37"/>
      <c r="C490" s="39"/>
      <c r="D490" s="36" t="str">
        <f t="shared" si="4"/>
        <v/>
      </c>
      <c r="E490" s="36" t="str">
        <f t="shared" si="5"/>
        <v/>
      </c>
    </row>
    <row r="491" spans="1:5" ht="30" customHeight="1" x14ac:dyDescent="0.25">
      <c r="A491" s="42"/>
      <c r="B491" s="37"/>
      <c r="C491" s="39"/>
      <c r="D491" s="36" t="str">
        <f t="shared" si="4"/>
        <v/>
      </c>
      <c r="E491" s="36" t="str">
        <f t="shared" si="5"/>
        <v/>
      </c>
    </row>
    <row r="492" spans="1:5" ht="30" customHeight="1" x14ac:dyDescent="0.25">
      <c r="A492" s="42"/>
      <c r="B492" s="37"/>
      <c r="C492" s="39"/>
      <c r="D492" s="36" t="str">
        <f t="shared" si="4"/>
        <v/>
      </c>
      <c r="E492" s="36" t="str">
        <f t="shared" si="5"/>
        <v/>
      </c>
    </row>
    <row r="493" spans="1:5" ht="30" customHeight="1" x14ac:dyDescent="0.25">
      <c r="A493" s="42"/>
      <c r="B493" s="37"/>
      <c r="C493" s="39"/>
      <c r="D493" s="36" t="str">
        <f t="shared" si="4"/>
        <v/>
      </c>
      <c r="E493" s="36" t="str">
        <f t="shared" si="5"/>
        <v/>
      </c>
    </row>
    <row r="494" spans="1:5" ht="30" customHeight="1" x14ac:dyDescent="0.25">
      <c r="A494" s="42"/>
      <c r="B494" s="37"/>
      <c r="C494" s="39"/>
      <c r="D494" s="36" t="str">
        <f t="shared" si="4"/>
        <v/>
      </c>
      <c r="E494" s="36" t="str">
        <f t="shared" si="5"/>
        <v/>
      </c>
    </row>
    <row r="495" spans="1:5" ht="30" customHeight="1" x14ac:dyDescent="0.25">
      <c r="A495" s="42"/>
      <c r="B495" s="37"/>
      <c r="C495" s="39"/>
      <c r="D495" s="36" t="str">
        <f t="shared" si="4"/>
        <v/>
      </c>
      <c r="E495" s="36" t="str">
        <f t="shared" si="5"/>
        <v/>
      </c>
    </row>
    <row r="496" spans="1:5" ht="30" customHeight="1" x14ac:dyDescent="0.25">
      <c r="A496" s="42"/>
      <c r="B496" s="37"/>
      <c r="C496" s="39"/>
      <c r="D496" s="36" t="str">
        <f t="shared" si="4"/>
        <v/>
      </c>
      <c r="E496" s="36" t="str">
        <f t="shared" si="5"/>
        <v/>
      </c>
    </row>
    <row r="497" spans="1:5" ht="30" customHeight="1" x14ac:dyDescent="0.25">
      <c r="A497" s="42"/>
      <c r="B497" s="37"/>
      <c r="C497" s="39"/>
      <c r="D497" s="36" t="str">
        <f t="shared" si="4"/>
        <v/>
      </c>
      <c r="E497" s="36" t="str">
        <f t="shared" si="5"/>
        <v/>
      </c>
    </row>
    <row r="498" spans="1:5" ht="30" customHeight="1" x14ac:dyDescent="0.25">
      <c r="A498" s="42"/>
      <c r="B498" s="37"/>
      <c r="C498" s="39"/>
      <c r="D498" s="36" t="str">
        <f t="shared" si="4"/>
        <v/>
      </c>
      <c r="E498" s="36" t="str">
        <f t="shared" si="5"/>
        <v/>
      </c>
    </row>
    <row r="499" spans="1:5" ht="30" customHeight="1" x14ac:dyDescent="0.25">
      <c r="A499" s="42"/>
      <c r="B499" s="37"/>
      <c r="C499" s="39"/>
      <c r="D499" s="36" t="str">
        <f t="shared" si="4"/>
        <v/>
      </c>
      <c r="E499" s="36" t="str">
        <f t="shared" si="5"/>
        <v/>
      </c>
    </row>
    <row r="500" spans="1:5" ht="30" customHeight="1" x14ac:dyDescent="0.25">
      <c r="A500" s="42"/>
      <c r="B500" s="37"/>
      <c r="C500" s="39"/>
      <c r="D500" s="36" t="str">
        <f t="shared" si="4"/>
        <v/>
      </c>
      <c r="E500" s="36" t="str">
        <f t="shared" si="5"/>
        <v/>
      </c>
    </row>
    <row r="501" spans="1:5" ht="30" customHeight="1" x14ac:dyDescent="0.25">
      <c r="A501" s="42"/>
      <c r="B501" s="37"/>
      <c r="C501" s="39"/>
      <c r="D501" s="36" t="str">
        <f t="shared" si="4"/>
        <v/>
      </c>
      <c r="E501" s="36" t="str">
        <f t="shared" si="5"/>
        <v/>
      </c>
    </row>
    <row r="502" spans="1:5" ht="30" customHeight="1" x14ac:dyDescent="0.25">
      <c r="A502" s="42"/>
      <c r="B502" s="37"/>
      <c r="C502" s="39"/>
      <c r="D502" s="36" t="str">
        <f t="shared" si="4"/>
        <v/>
      </c>
      <c r="E502" s="36" t="str">
        <f t="shared" si="5"/>
        <v/>
      </c>
    </row>
    <row r="503" spans="1:5" ht="30" customHeight="1" x14ac:dyDescent="0.25">
      <c r="A503" s="42"/>
      <c r="B503" s="37"/>
      <c r="C503" s="39"/>
      <c r="D503" s="36" t="str">
        <f t="shared" si="4"/>
        <v/>
      </c>
      <c r="E503" s="36" t="str">
        <f t="shared" si="5"/>
        <v/>
      </c>
    </row>
    <row r="504" spans="1:5" ht="30" customHeight="1" x14ac:dyDescent="0.25">
      <c r="A504" s="42"/>
      <c r="B504" s="37"/>
      <c r="C504" s="39"/>
      <c r="D504" s="36" t="str">
        <f t="shared" si="4"/>
        <v/>
      </c>
      <c r="E504" s="36" t="str">
        <f t="shared" si="5"/>
        <v/>
      </c>
    </row>
    <row r="505" spans="1:5" ht="30" customHeight="1" x14ac:dyDescent="0.25">
      <c r="A505" s="42"/>
      <c r="B505" s="37"/>
      <c r="C505" s="39"/>
      <c r="D505" s="36" t="str">
        <f t="shared" si="4"/>
        <v/>
      </c>
      <c r="E505" s="36" t="str">
        <f t="shared" si="5"/>
        <v/>
      </c>
    </row>
  </sheetData>
  <mergeCells count="4">
    <mergeCell ref="A1:C1"/>
    <mergeCell ref="A2:C2"/>
    <mergeCell ref="A3:C3"/>
    <mergeCell ref="A4:C4"/>
  </mergeCells>
  <conditionalFormatting sqref="A6:C505">
    <cfRule type="expression" dxfId="12" priority="1" stopIfTrue="1">
      <formula>AND(COUNTA($A6:$C6)&gt;0,OR(NOT(ISNUMBER($D6)),NOT(ISNUMBER($B6))))</formula>
    </cfRule>
    <cfRule type="expression" dxfId="11" priority="2" stopIfTrue="1">
      <formula>AND($A6&lt;&gt;"",NOT(ISNUMBER($A6)))</formula>
    </cfRule>
  </conditionalFormatting>
  <dataValidations count="2">
    <dataValidation type="custom" allowBlank="1" showErrorMessage="1" sqref="A6:A505" xr:uid="{00000000-0002-0000-0400-000000000000}">
      <formula1>OR(A6="",AND(ISNUMBER(A6),A6&gt;=DATE(2025,2,1),A6=INT(A6)),IFERROR(REGEXMATCH(TO_TEXT(A6),"^20[0-9]{2}-(0[1-9]|1[0-2])$"),FALSE))</formula1>
    </dataValidation>
    <dataValidation type="custom" allowBlank="1" showErrorMessage="1" sqref="B6:B505" xr:uid="{00000000-0002-0000-0400-000001000000}">
      <formula1>OR(B6="",ISNUMBER(B6))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7A1E0"/>
  </sheetPr>
  <dimension ref="A1:O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59765625" defaultRowHeight="15" customHeight="1" x14ac:dyDescent="0.25"/>
  <cols>
    <col min="1" max="2" width="9.09765625" customWidth="1"/>
    <col min="3" max="3" width="12.59765625" customWidth="1"/>
    <col min="4" max="7" width="18.8984375" customWidth="1"/>
    <col min="8" max="8" width="3.09765625" customWidth="1"/>
    <col min="9" max="12" width="8.59765625" customWidth="1"/>
  </cols>
  <sheetData>
    <row r="1" spans="1:15" ht="28.5" customHeight="1" x14ac:dyDescent="0.25">
      <c r="A1" s="21" t="s">
        <v>65</v>
      </c>
      <c r="B1" s="21" t="s">
        <v>21</v>
      </c>
      <c r="C1" s="21" t="s">
        <v>29</v>
      </c>
      <c r="D1" s="21" t="s">
        <v>66</v>
      </c>
      <c r="E1" s="21" t="s">
        <v>67</v>
      </c>
      <c r="F1" s="21" t="s">
        <v>68</v>
      </c>
      <c r="G1" s="21" t="s">
        <v>69</v>
      </c>
      <c r="H1" s="6"/>
      <c r="I1" s="6"/>
      <c r="J1" s="6"/>
      <c r="K1" s="6"/>
      <c r="L1" s="6"/>
      <c r="M1" s="6"/>
      <c r="N1" s="6"/>
      <c r="O1" s="6"/>
    </row>
    <row r="2" spans="1:15" ht="19.5" customHeight="1" x14ac:dyDescent="0.25">
      <c r="A2" s="44">
        <v>2025</v>
      </c>
      <c r="B2" s="28" t="s">
        <v>34</v>
      </c>
      <c r="C2" s="28" t="str">
        <f t="shared" ref="C2:C24" si="0">A2&amp;" "&amp;B2</f>
        <v>2025 Feb</v>
      </c>
      <c r="D2" s="45">
        <f>IF(OR(Evolucion!B3="",(Evolucion!C3+IF(Evolucion!D3="",0,Evolucion!D3))=0),"",TRUNC((Evolucion!B3-(Evolucion!C3+IF(Evolucion!D3="",0,Evolucion!D3)))/(Evolucion!C3+IF(Evolucion!D3="",0,Evolucion!D3))*100,3))</f>
        <v>0</v>
      </c>
      <c r="E2" s="46">
        <v>0</v>
      </c>
      <c r="F2" s="45">
        <f t="shared" ref="F2:G2" si="1">IF(D2="","",D2)</f>
        <v>0</v>
      </c>
      <c r="G2" s="45">
        <f t="shared" si="1"/>
        <v>0</v>
      </c>
      <c r="H2" s="6"/>
      <c r="I2" s="6"/>
      <c r="J2" s="6"/>
      <c r="K2" s="6"/>
      <c r="L2" s="6"/>
      <c r="M2" s="6"/>
      <c r="N2" s="6"/>
      <c r="O2" s="6"/>
    </row>
    <row r="3" spans="1:15" ht="19.5" customHeight="1" x14ac:dyDescent="0.25">
      <c r="A3" s="47">
        <v>2025</v>
      </c>
      <c r="B3" s="38" t="s">
        <v>52</v>
      </c>
      <c r="C3" s="38" t="str">
        <f t="shared" si="0"/>
        <v>2025 Mar</v>
      </c>
      <c r="D3" s="48">
        <f>IF(Evolucion!F4="","",Evolucion!F4)</f>
        <v>3.8357366292820716</v>
      </c>
      <c r="E3" s="46">
        <v>-6.97</v>
      </c>
      <c r="F3" s="48">
        <f t="shared" ref="F3:G3" si="2">IF(D3="","",IF(F2="",D3,((1+F2/100)*(1+D3/100)-1)*100))</f>
        <v>3.8357366292820716</v>
      </c>
      <c r="G3" s="48">
        <f t="shared" si="2"/>
        <v>-6.9699999999999989</v>
      </c>
      <c r="H3" s="6"/>
      <c r="I3" s="6"/>
      <c r="J3" s="6"/>
      <c r="K3" s="6"/>
      <c r="L3" s="6"/>
      <c r="M3" s="6"/>
      <c r="N3" s="6"/>
      <c r="O3" s="6"/>
    </row>
    <row r="4" spans="1:15" ht="19.5" customHeight="1" x14ac:dyDescent="0.25">
      <c r="A4" s="44">
        <v>2025</v>
      </c>
      <c r="B4" s="28" t="s">
        <v>61</v>
      </c>
      <c r="C4" s="28" t="str">
        <f t="shared" si="0"/>
        <v>2025 Abr</v>
      </c>
      <c r="D4" s="45">
        <f>IF(Evolucion!F5="","",Evolucion!F5)</f>
        <v>2.1654364424454453</v>
      </c>
      <c r="E4" s="46">
        <v>-4.12</v>
      </c>
      <c r="F4" s="45">
        <f t="shared" ref="F4:G4" si="3">IF(D4="","",IF(F3="",D4,((1+F3/100)*(1+D4/100)-1)*100))</f>
        <v>6.0842335105342205</v>
      </c>
      <c r="G4" s="45">
        <f t="shared" si="3"/>
        <v>-10.802836000000005</v>
      </c>
      <c r="H4" s="6"/>
      <c r="I4" s="6"/>
      <c r="J4" s="6"/>
      <c r="K4" s="6"/>
      <c r="L4" s="6"/>
      <c r="M4" s="6"/>
      <c r="N4" s="6"/>
      <c r="O4" s="6"/>
    </row>
    <row r="5" spans="1:15" ht="19.5" customHeight="1" x14ac:dyDescent="0.25">
      <c r="A5" s="47">
        <v>2025</v>
      </c>
      <c r="B5" s="38" t="s">
        <v>62</v>
      </c>
      <c r="C5" s="38" t="str">
        <f t="shared" si="0"/>
        <v>2025 May</v>
      </c>
      <c r="D5" s="48">
        <f>IF(Evolucion!F6="","",Evolucion!F6)</f>
        <v>2.2706152578331862</v>
      </c>
      <c r="E5" s="46">
        <v>6.07</v>
      </c>
      <c r="F5" s="48">
        <f t="shared" ref="F5:G5" si="4">IF(D5="","",IF(F4="",D5,((1+F4/100)*(1+D5/100)-1)*100))</f>
        <v>8.4929983027797853</v>
      </c>
      <c r="G5" s="48">
        <f t="shared" si="4"/>
        <v>-5.3885681452000123</v>
      </c>
      <c r="H5" s="6"/>
      <c r="I5" s="6"/>
      <c r="J5" s="6"/>
      <c r="K5" s="6"/>
      <c r="L5" s="6"/>
      <c r="M5" s="6"/>
      <c r="N5" s="6"/>
      <c r="O5" s="6"/>
    </row>
    <row r="6" spans="1:15" ht="19.5" customHeight="1" x14ac:dyDescent="0.25">
      <c r="A6" s="44">
        <v>2025</v>
      </c>
      <c r="B6" s="28" t="s">
        <v>63</v>
      </c>
      <c r="C6" s="28" t="str">
        <f t="shared" si="0"/>
        <v>2025 Jun</v>
      </c>
      <c r="D6" s="45">
        <f>IF(Evolucion!F7="","",Evolucion!F7)</f>
        <v>1.1130311038828999</v>
      </c>
      <c r="E6" s="46">
        <v>0.88</v>
      </c>
      <c r="F6" s="45">
        <f t="shared" ref="F6:G6" si="5">IF(D6="","",IF(F5="",D6,((1+F5/100)*(1+D6/100)-1)*100))</f>
        <v>9.7005591194248666</v>
      </c>
      <c r="G6" s="45">
        <f t="shared" si="5"/>
        <v>-4.555987544877782</v>
      </c>
      <c r="H6" s="6"/>
      <c r="I6" s="6"/>
      <c r="J6" s="6"/>
      <c r="K6" s="6"/>
      <c r="L6" s="6"/>
      <c r="M6" s="6"/>
      <c r="N6" s="6"/>
      <c r="O6" s="6"/>
    </row>
    <row r="7" spans="1:15" ht="19.5" customHeight="1" x14ac:dyDescent="0.25">
      <c r="A7" s="47">
        <v>2025</v>
      </c>
      <c r="B7" s="38" t="s">
        <v>64</v>
      </c>
      <c r="C7" s="38" t="str">
        <f t="shared" si="0"/>
        <v>2025 Jul</v>
      </c>
      <c r="D7" s="48">
        <f>IF(Evolucion!F8="","",Evolucion!F8)</f>
        <v>1.4954044878695116</v>
      </c>
      <c r="E7" s="46">
        <v>3.86</v>
      </c>
      <c r="F7" s="48">
        <f t="shared" ref="F7:G7" si="6">IF(D7="","",IF(F6="",D7,((1+F6/100)*(1+D7/100)-1)*100))</f>
        <v>11.341026203714687</v>
      </c>
      <c r="G7" s="48">
        <f t="shared" si="6"/>
        <v>-0.87184866411006423</v>
      </c>
      <c r="H7" s="6"/>
      <c r="I7" s="6"/>
      <c r="J7" s="6"/>
      <c r="K7" s="6"/>
      <c r="L7" s="6"/>
      <c r="M7" s="6"/>
      <c r="N7" s="6"/>
      <c r="O7" s="6"/>
    </row>
    <row r="8" spans="1:15" ht="19.5" customHeight="1" x14ac:dyDescent="0.25">
      <c r="A8" s="44">
        <v>2025</v>
      </c>
      <c r="B8" s="28" t="s">
        <v>70</v>
      </c>
      <c r="C8" s="28" t="str">
        <f t="shared" si="0"/>
        <v>2025 Ago</v>
      </c>
      <c r="D8" s="45">
        <f>IF(Evolucion!F9="","",Evolucion!F9)</f>
        <v>0.80015486868425523</v>
      </c>
      <c r="E8" s="46">
        <v>0.32</v>
      </c>
      <c r="F8" s="45">
        <f t="shared" ref="F8:G8" si="7">IF(D8="","",IF(F7="",D8,((1+F7/100)*(1+D8/100)-1)*100))</f>
        <v>12.231926845726715</v>
      </c>
      <c r="G8" s="45">
        <f t="shared" si="7"/>
        <v>-0.55463857983520937</v>
      </c>
      <c r="H8" s="6"/>
      <c r="I8" s="6"/>
      <c r="J8" s="6"/>
      <c r="K8" s="6"/>
      <c r="L8" s="6"/>
      <c r="M8" s="6"/>
      <c r="N8" s="6"/>
      <c r="O8" s="6"/>
    </row>
    <row r="9" spans="1:15" ht="19.5" customHeight="1" x14ac:dyDescent="0.25">
      <c r="A9" s="47">
        <v>2025</v>
      </c>
      <c r="B9" s="38" t="s">
        <v>71</v>
      </c>
      <c r="C9" s="38" t="str">
        <f t="shared" si="0"/>
        <v>2025 Sep</v>
      </c>
      <c r="D9" s="48">
        <f>IF(Evolucion!F10="","",Evolucion!F10)</f>
        <v>5.1991010382375302</v>
      </c>
      <c r="E9" s="46">
        <v>2.81</v>
      </c>
      <c r="F9" s="48">
        <f t="shared" ref="F9:G9" si="8">IF(D9="","",IF(F8="",D9,((1+F8/100)*(1+D9/100)-1)*100))</f>
        <v>18.066978119596875</v>
      </c>
      <c r="G9" s="48">
        <f t="shared" si="8"/>
        <v>2.2397760760714203</v>
      </c>
      <c r="H9" s="6"/>
      <c r="I9" s="6"/>
      <c r="J9" s="6"/>
      <c r="K9" s="6"/>
      <c r="L9" s="6"/>
      <c r="M9" s="6"/>
      <c r="N9" s="6"/>
      <c r="O9" s="6"/>
    </row>
    <row r="10" spans="1:15" ht="19.5" customHeight="1" x14ac:dyDescent="0.25">
      <c r="A10" s="44">
        <v>2025</v>
      </c>
      <c r="B10" s="28" t="s">
        <v>72</v>
      </c>
      <c r="C10" s="28" t="str">
        <f t="shared" si="0"/>
        <v>2025 Oct</v>
      </c>
      <c r="D10" s="45">
        <f>IF(Evolucion!F11="","",Evolucion!F11)</f>
        <v>2.8539951465705871</v>
      </c>
      <c r="E10" s="46">
        <v>3.83</v>
      </c>
      <c r="F10" s="45">
        <f t="shared" ref="F10:G10" si="9">IF(D10="","",IF(F9="",D10,((1+F9/100)*(1+D10/100)-1)*100))</f>
        <v>21.436603944832733</v>
      </c>
      <c r="G10" s="45">
        <f t="shared" si="9"/>
        <v>6.1555594997849461</v>
      </c>
      <c r="H10" s="6"/>
      <c r="I10" s="6"/>
      <c r="J10" s="6"/>
      <c r="K10" s="6"/>
      <c r="L10" s="6"/>
      <c r="M10" s="6"/>
      <c r="N10" s="6"/>
      <c r="O10" s="6"/>
    </row>
    <row r="11" spans="1:15" ht="19.5" customHeight="1" x14ac:dyDescent="0.25">
      <c r="A11" s="47">
        <v>2025</v>
      </c>
      <c r="B11" s="38" t="s">
        <v>73</v>
      </c>
      <c r="C11" s="38" t="str">
        <f t="shared" si="0"/>
        <v>2025 Nov</v>
      </c>
      <c r="D11" s="48">
        <f>IF(Evolucion!F12="","",Evolucion!F12)</f>
        <v>-0.26796205542658491</v>
      </c>
      <c r="E11" s="46">
        <v>-0.27</v>
      </c>
      <c r="F11" s="48">
        <f t="shared" ref="F11:G11" si="10">IF(D11="","",IF(F10="",D11,((1+F10/100)*(1+D11/100)-1)*100))</f>
        <v>21.111199924861921</v>
      </c>
      <c r="G11" s="48">
        <f t="shared" si="10"/>
        <v>5.8689394891355162</v>
      </c>
      <c r="H11" s="6"/>
      <c r="I11" s="6"/>
      <c r="J11" s="6"/>
      <c r="K11" s="6"/>
      <c r="L11" s="6"/>
      <c r="M11" s="6"/>
      <c r="N11" s="6"/>
      <c r="O11" s="6"/>
    </row>
    <row r="12" spans="1:15" ht="19.5" customHeight="1" x14ac:dyDescent="0.25">
      <c r="A12" s="44">
        <v>2025</v>
      </c>
      <c r="B12" s="28" t="s">
        <v>74</v>
      </c>
      <c r="C12" s="28" t="str">
        <f t="shared" si="0"/>
        <v>2025 Dic</v>
      </c>
      <c r="D12" s="45">
        <f>IF(Evolucion!F13="","",Evolucion!F13)</f>
        <v>3.8535398796568865</v>
      </c>
      <c r="E12" s="46">
        <v>-0.4</v>
      </c>
      <c r="F12" s="45">
        <f t="shared" ref="F12:G12" si="11">IF(D12="","",IF(F11="",D12,((1+F11/100)*(1+D12/100)-1)*100))</f>
        <v>25.778268312697449</v>
      </c>
      <c r="G12" s="45">
        <f t="shared" si="11"/>
        <v>5.4454637311789789</v>
      </c>
      <c r="H12" s="6"/>
      <c r="I12" s="6"/>
      <c r="J12" s="6"/>
      <c r="K12" s="6"/>
      <c r="L12" s="6"/>
      <c r="M12" s="6"/>
      <c r="N12" s="6"/>
      <c r="O12" s="6"/>
    </row>
    <row r="13" spans="1:15" ht="21" customHeight="1" x14ac:dyDescent="0.25">
      <c r="A13" s="55">
        <v>2026</v>
      </c>
      <c r="B13" s="57" t="s">
        <v>77</v>
      </c>
      <c r="C13" s="57" t="str">
        <f t="shared" si="0"/>
        <v>2026 Ene</v>
      </c>
      <c r="D13" s="60">
        <f>IF(Evolucion!F19="","",Evolucion!F19)</f>
        <v>2.4312150648504893</v>
      </c>
      <c r="E13" s="61">
        <v>0.92</v>
      </c>
      <c r="F13" s="60">
        <f t="shared" ref="F13:G13" si="12">IF(D13="","",IF(F12="",D13,((1+F12/100)*(1+D13/100)-1)*100))</f>
        <v>28.836208520223817</v>
      </c>
      <c r="G13" s="60">
        <f t="shared" si="12"/>
        <v>6.4155619975058364</v>
      </c>
      <c r="H13" s="6"/>
      <c r="I13" s="6"/>
      <c r="J13" s="6"/>
      <c r="K13" s="6"/>
      <c r="L13" s="6"/>
      <c r="M13" s="6"/>
      <c r="N13" s="6"/>
      <c r="O13" s="6"/>
    </row>
    <row r="14" spans="1:15" ht="19.5" customHeight="1" x14ac:dyDescent="0.25">
      <c r="A14" s="44">
        <v>2026</v>
      </c>
      <c r="B14" s="28" t="s">
        <v>34</v>
      </c>
      <c r="C14" s="28" t="str">
        <f t="shared" si="0"/>
        <v>2026 Feb</v>
      </c>
      <c r="D14" s="45">
        <f>IF(Evolucion!F20="","",Evolucion!F20)</f>
        <v>-0.36578947368420822</v>
      </c>
      <c r="E14" s="46">
        <v>1.49</v>
      </c>
      <c r="F14" s="45">
        <f t="shared" ref="F14:G14" si="13">IF(D14="","",IF(F13="",D14,((1+F13/100)*(1+D14/100)-1)*100))</f>
        <v>28.36493923116301</v>
      </c>
      <c r="G14" s="45">
        <f t="shared" si="13"/>
        <v>8.0011538712686736</v>
      </c>
      <c r="H14" s="6"/>
      <c r="I14" s="6"/>
      <c r="J14" s="6"/>
      <c r="K14" s="6"/>
      <c r="L14" s="6"/>
      <c r="M14" s="6"/>
      <c r="N14" s="6"/>
      <c r="O14" s="6"/>
    </row>
    <row r="15" spans="1:15" ht="19.5" customHeight="1" x14ac:dyDescent="0.25">
      <c r="A15" s="47">
        <v>2026</v>
      </c>
      <c r="B15" s="38" t="s">
        <v>52</v>
      </c>
      <c r="C15" s="38" t="str">
        <f t="shared" si="0"/>
        <v>2026 Mar</v>
      </c>
      <c r="D15" s="48">
        <f>IF(Evolucion!F21="","",Evolucion!F21)</f>
        <v>-5.3283086022349551</v>
      </c>
      <c r="E15" s="46">
        <v>-4.04</v>
      </c>
      <c r="F15" s="48">
        <f t="shared" ref="F15:G15" si="14">IF(D15="","",IF(F14="",D15,((1+F14/100)*(1+D15/100)-1)*100))</f>
        <v>21.525259131855279</v>
      </c>
      <c r="G15" s="48">
        <f t="shared" si="14"/>
        <v>3.6379072548694102</v>
      </c>
      <c r="H15" s="6"/>
      <c r="I15" s="6"/>
      <c r="J15" s="6"/>
      <c r="K15" s="6"/>
      <c r="L15" s="6"/>
      <c r="M15" s="6"/>
      <c r="N15" s="6"/>
      <c r="O15" s="6"/>
    </row>
    <row r="16" spans="1:15" ht="19.5" customHeight="1" x14ac:dyDescent="0.25">
      <c r="A16" s="44">
        <v>2026</v>
      </c>
      <c r="B16" s="28" t="s">
        <v>61</v>
      </c>
      <c r="C16" s="28" t="str">
        <f t="shared" si="0"/>
        <v>2026 Abr</v>
      </c>
      <c r="D16" s="45">
        <f>IF(Evolucion!F22="","",Evolucion!F22)</f>
        <v>5.4242631939684705</v>
      </c>
      <c r="E16" s="46">
        <v>7.65</v>
      </c>
      <c r="F16" s="45">
        <f t="shared" ref="F16:G16" si="15">IF(D16="","",IF(F15="",D16,((1+F15/100)*(1+D16/100)-1)*100))</f>
        <v>28.11710903431932</v>
      </c>
      <c r="G16" s="45">
        <f t="shared" si="15"/>
        <v>11.566207159866915</v>
      </c>
      <c r="H16" s="6"/>
      <c r="I16" s="6"/>
      <c r="J16" s="6"/>
      <c r="K16" s="6"/>
      <c r="L16" s="6"/>
      <c r="M16" s="6"/>
      <c r="N16" s="6"/>
      <c r="O16" s="6"/>
    </row>
    <row r="17" spans="1:15" ht="19.5" customHeight="1" x14ac:dyDescent="0.25">
      <c r="A17" s="47">
        <v>2026</v>
      </c>
      <c r="B17" s="38" t="s">
        <v>62</v>
      </c>
      <c r="C17" s="38" t="str">
        <f t="shared" si="0"/>
        <v>2026 May</v>
      </c>
      <c r="D17" s="48">
        <f>IF(Evolucion!F23="","",Evolucion!F23)</f>
        <v>5.219992914036764</v>
      </c>
      <c r="E17" s="46">
        <v>5.0999999999999996</v>
      </c>
      <c r="F17" s="48">
        <f t="shared" ref="F17:G17" si="16">IF(D17="","",IF(F16="",D17,((1+F16/100)*(1+D17/100)-1)*100))</f>
        <v>34.804813047579543</v>
      </c>
      <c r="G17" s="48">
        <f t="shared" si="16"/>
        <v>17.256083725020122</v>
      </c>
      <c r="H17" s="6"/>
      <c r="I17" s="6"/>
      <c r="J17" s="6"/>
      <c r="K17" s="6"/>
      <c r="L17" s="6"/>
      <c r="M17" s="6"/>
      <c r="N17" s="6"/>
      <c r="O17" s="6"/>
    </row>
    <row r="18" spans="1:15" ht="19.5" customHeight="1" x14ac:dyDescent="0.25">
      <c r="A18" s="44">
        <v>2026</v>
      </c>
      <c r="B18" s="28" t="s">
        <v>63</v>
      </c>
      <c r="C18" s="28" t="str">
        <f t="shared" si="0"/>
        <v>2026 Jun</v>
      </c>
      <c r="D18" s="45">
        <f>IF(Evolucion!F24="","",Evolucion!F24)</f>
        <v>8.806693086746975E-2</v>
      </c>
      <c r="E18" s="46">
        <v>1.33</v>
      </c>
      <c r="F18" s="45">
        <f t="shared" ref="F18:G18" si="17">IF(D18="","",IF(F17="",D18,((1+F17/100)*(1+D18/100)-1)*100))</f>
        <v>34.923531509092179</v>
      </c>
      <c r="G18" s="45">
        <f t="shared" si="17"/>
        <v>18.815589638562891</v>
      </c>
      <c r="H18" s="6"/>
      <c r="I18" s="6"/>
      <c r="J18" s="6"/>
      <c r="K18" s="6"/>
      <c r="L18" s="6"/>
      <c r="M18" s="6"/>
      <c r="N18" s="6"/>
      <c r="O18" s="6"/>
    </row>
    <row r="19" spans="1:15" ht="19.5" customHeight="1" x14ac:dyDescent="0.25">
      <c r="A19" s="47">
        <v>2026</v>
      </c>
      <c r="B19" s="38" t="s">
        <v>64</v>
      </c>
      <c r="C19" s="38" t="str">
        <f t="shared" si="0"/>
        <v>2026 Jul</v>
      </c>
      <c r="D19" s="48">
        <f ca="1">IF(Evolucion!F25="","",Evolucion!F25)</f>
        <v>2.2952111935886421</v>
      </c>
      <c r="E19" s="46">
        <v>-0.14000000000000001</v>
      </c>
      <c r="F19" s="48">
        <f t="shared" ref="F19:G19" ca="1" si="18">IF(D19="","",IF(F18="",D19,((1+F18/100)*(1+D19/100)-1)*100))</f>
        <v>38.02031150707397</v>
      </c>
      <c r="G19" s="48">
        <f t="shared" si="18"/>
        <v>18.649247813068914</v>
      </c>
      <c r="H19" s="6"/>
      <c r="I19" s="6"/>
      <c r="J19" s="6"/>
      <c r="K19" s="6"/>
      <c r="L19" s="6"/>
      <c r="M19" s="6"/>
      <c r="N19" s="6"/>
      <c r="O19" s="6"/>
    </row>
    <row r="20" spans="1:15" ht="19.5" customHeight="1" x14ac:dyDescent="0.25">
      <c r="A20" s="44">
        <v>2026</v>
      </c>
      <c r="B20" s="28" t="s">
        <v>70</v>
      </c>
      <c r="C20" s="28" t="str">
        <f t="shared" si="0"/>
        <v>2026 Ago</v>
      </c>
      <c r="D20" s="45">
        <f ca="1">IF(Evolucion!F26="","",Evolucion!F26)</f>
        <v>1.6014404617109124</v>
      </c>
      <c r="E20" s="46">
        <v>1.59</v>
      </c>
      <c r="F20" s="45">
        <f t="shared" ref="F20:G20" ca="1" si="19">IF(D20="","",IF(F19="",D20,((1+F19/100)*(1+D20/100)-1)*100))</f>
        <v>40.230624620927699</v>
      </c>
      <c r="G20" s="45">
        <f t="shared" si="19"/>
        <v>20.535770853296718</v>
      </c>
      <c r="H20" s="6"/>
      <c r="I20" s="6"/>
      <c r="J20" s="6"/>
      <c r="K20" s="6"/>
      <c r="L20" s="6"/>
      <c r="M20" s="6"/>
      <c r="N20" s="6"/>
      <c r="O20" s="6"/>
    </row>
    <row r="21" spans="1:15" ht="19.5" customHeight="1" x14ac:dyDescent="0.25">
      <c r="A21" s="47">
        <v>2026</v>
      </c>
      <c r="B21" s="38" t="s">
        <v>71</v>
      </c>
      <c r="C21" s="38" t="str">
        <f t="shared" si="0"/>
        <v>2026 Sep</v>
      </c>
      <c r="D21" s="48">
        <f ca="1">IF(Evolucion!F27="","",Evolucion!F27)</f>
        <v>-1.5291824755227057</v>
      </c>
      <c r="E21" s="46">
        <v>-0.82</v>
      </c>
      <c r="F21" s="48">
        <f t="shared" ref="F21:G21" ca="1" si="20">IF(D21="","",IF(F20="",D21,((1+F20/100)*(1+D21/100)-1)*100))</f>
        <v>38.086242483908435</v>
      </c>
      <c r="G21" s="48">
        <f t="shared" si="20"/>
        <v>19.547377532299691</v>
      </c>
      <c r="H21" s="6"/>
      <c r="I21" s="6"/>
      <c r="J21" s="6"/>
      <c r="K21" s="6"/>
      <c r="L21" s="6"/>
      <c r="M21" s="6"/>
      <c r="N21" s="6"/>
      <c r="O21" s="6"/>
    </row>
    <row r="22" spans="1:15" ht="19.5" customHeight="1" x14ac:dyDescent="0.25">
      <c r="A22" s="44">
        <v>2026</v>
      </c>
      <c r="B22" s="28" t="s">
        <v>72</v>
      </c>
      <c r="C22" s="28" t="str">
        <f t="shared" si="0"/>
        <v>2026 Oct</v>
      </c>
      <c r="D22" s="45" t="str">
        <f ca="1">IF(Evolucion!F28="","",Evolucion!F28)</f>
        <v/>
      </c>
      <c r="E22" s="46" t="s">
        <v>83</v>
      </c>
      <c r="F22" s="45" t="str">
        <f t="shared" ref="F22:G22" ca="1" si="21">IF(D22="","",IF(F21="",D22,((1+F21/100)*(1+D22/100)-1)*100))</f>
        <v/>
      </c>
      <c r="G22" s="45" t="str">
        <f t="shared" si="21"/>
        <v/>
      </c>
      <c r="H22" s="6"/>
      <c r="I22" s="6"/>
      <c r="J22" s="6"/>
      <c r="K22" s="6"/>
      <c r="L22" s="6"/>
      <c r="M22" s="6"/>
      <c r="N22" s="6"/>
      <c r="O22" s="6"/>
    </row>
    <row r="23" spans="1:15" ht="19.5" customHeight="1" x14ac:dyDescent="0.25">
      <c r="A23" s="47">
        <v>2026</v>
      </c>
      <c r="B23" s="38" t="s">
        <v>73</v>
      </c>
      <c r="C23" s="38" t="str">
        <f t="shared" si="0"/>
        <v>2026 Nov</v>
      </c>
      <c r="D23" s="48" t="str">
        <f ca="1">IF(Evolucion!F29="","",Evolucion!F29)</f>
        <v/>
      </c>
      <c r="E23" s="46" t="s">
        <v>83</v>
      </c>
      <c r="F23" s="48" t="str">
        <f t="shared" ref="F23:G23" ca="1" si="22">IF(D23="","",IF(F22="",D23,((1+F22/100)*(1+D23/100)-1)*100))</f>
        <v/>
      </c>
      <c r="G23" s="48" t="str">
        <f t="shared" si="22"/>
        <v/>
      </c>
      <c r="H23" s="6"/>
      <c r="I23" s="6"/>
      <c r="J23" s="6"/>
      <c r="K23" s="6"/>
      <c r="L23" s="6"/>
      <c r="M23" s="6"/>
      <c r="N23" s="6"/>
      <c r="O23" s="6"/>
    </row>
    <row r="24" spans="1:15" ht="19.5" customHeight="1" x14ac:dyDescent="0.25">
      <c r="A24" s="44">
        <v>2026</v>
      </c>
      <c r="B24" s="28" t="s">
        <v>74</v>
      </c>
      <c r="C24" s="28" t="str">
        <f t="shared" si="0"/>
        <v>2026 Dic</v>
      </c>
      <c r="D24" s="45" t="str">
        <f ca="1">IF(Evolucion!F30="","",Evolucion!F30)</f>
        <v/>
      </c>
      <c r="E24" s="46" t="s">
        <v>83</v>
      </c>
      <c r="F24" s="45" t="str">
        <f t="shared" ref="F24:G24" ca="1" si="23">IF(D24="","",IF(F23="",D24,((1+F23/100)*(1+D24/100)-1)*100))</f>
        <v/>
      </c>
      <c r="G24" s="45" t="str">
        <f t="shared" si="23"/>
        <v/>
      </c>
      <c r="H24" s="6"/>
      <c r="I24" s="6"/>
      <c r="J24" s="6"/>
      <c r="K24" s="6"/>
      <c r="L24" s="6"/>
      <c r="M24" s="6"/>
      <c r="N24" s="6"/>
      <c r="O24" s="6"/>
    </row>
    <row r="25" spans="1:15" ht="19.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9.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ht="1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ht="1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ht="1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ht="1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ht="1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ht="1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ht="1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ht="1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ht="1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ht="1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ht="1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ht="1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ht="1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ht="1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ht="1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ht="1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ht="1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ht="1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ht="1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ht="1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ht="1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ht="1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ht="1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ht="1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ht="1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ht="1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ht="1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ht="1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ht="1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ht="1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ht="1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ht="1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ht="1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ht="1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ht="1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ht="1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ht="1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ht="1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ht="1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ht="15.75" customHeight="1" x14ac:dyDescent="0.25"/>
    <row r="102" spans="1:15" ht="15.75" customHeight="1" x14ac:dyDescent="0.25"/>
    <row r="103" spans="1:15" ht="15.75" customHeight="1" x14ac:dyDescent="0.25"/>
    <row r="104" spans="1:15" ht="15.75" customHeight="1" x14ac:dyDescent="0.25"/>
    <row r="105" spans="1:15" ht="15.75" customHeight="1" x14ac:dyDescent="0.25"/>
    <row r="106" spans="1:15" ht="15.75" customHeight="1" x14ac:dyDescent="0.25"/>
    <row r="107" spans="1:15" ht="15.75" customHeight="1" x14ac:dyDescent="0.25"/>
    <row r="108" spans="1:15" ht="15.75" customHeight="1" x14ac:dyDescent="0.25"/>
    <row r="109" spans="1:15" ht="15.75" customHeight="1" x14ac:dyDescent="0.25"/>
    <row r="110" spans="1:15" ht="15.75" customHeight="1" x14ac:dyDescent="0.25"/>
    <row r="111" spans="1:15" ht="15.75" customHeight="1" x14ac:dyDescent="0.25"/>
    <row r="112" spans="1:1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2:G24">
    <cfRule type="cellIs" dxfId="10" priority="1" stopIfTrue="1" operator="greaterThan">
      <formula>0</formula>
    </cfRule>
    <cfRule type="cellIs" dxfId="9" priority="2" stopIfTrue="1" operator="lessThan">
      <formula>0</formula>
    </cfRule>
  </conditionalFormatting>
  <pageMargins left="0.75" right="0.75" top="1" bottom="1" header="0" footer="0"/>
  <pageSetup orientation="landscape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7A1E0"/>
    <outlinePr summaryBelow="0" summaryRight="0"/>
  </sheetPr>
  <dimension ref="A1:E4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59765625" defaultRowHeight="15" customHeight="1" x14ac:dyDescent="0.25"/>
  <cols>
    <col min="1" max="1" width="41.3984375" customWidth="1"/>
    <col min="2" max="3" width="18.8984375" customWidth="1"/>
    <col min="4" max="5" width="12.59765625" hidden="1"/>
  </cols>
  <sheetData>
    <row r="1" spans="1:3" ht="33" customHeight="1" x14ac:dyDescent="0.25">
      <c r="A1" s="105" t="s">
        <v>79</v>
      </c>
      <c r="B1" s="106"/>
      <c r="C1" s="106"/>
    </row>
    <row r="2" spans="1:3" ht="30" customHeight="1" x14ac:dyDescent="0.25">
      <c r="A2" s="107" t="s">
        <v>80</v>
      </c>
      <c r="B2" s="106"/>
      <c r="C2" s="106"/>
    </row>
    <row r="3" spans="1:3" ht="30" customHeight="1" x14ac:dyDescent="0.25">
      <c r="A3" s="107" t="s">
        <v>81</v>
      </c>
      <c r="B3" s="106"/>
      <c r="C3" s="63">
        <v>0</v>
      </c>
    </row>
    <row r="4" spans="1:3" ht="30" customHeight="1" x14ac:dyDescent="0.25">
      <c r="A4" s="107" t="s">
        <v>82</v>
      </c>
      <c r="B4" s="106"/>
      <c r="C4" s="106"/>
    </row>
    <row r="5" spans="1:3" ht="30" customHeight="1" x14ac:dyDescent="0.25">
      <c r="A5" s="2" t="s">
        <v>7</v>
      </c>
      <c r="B5" s="2" t="s">
        <v>84</v>
      </c>
      <c r="C5" s="2" t="s">
        <v>85</v>
      </c>
    </row>
    <row r="6" spans="1:3" ht="39" customHeight="1" x14ac:dyDescent="0.25">
      <c r="A6" s="1" t="str">
        <f>Cartera!A2</f>
        <v>ETF Global Desarrollado</v>
      </c>
      <c r="B6" s="64">
        <f>Cartera!C2</f>
        <v>0.23422769274011265</v>
      </c>
      <c r="C6" s="65">
        <v>0.245796126638061</v>
      </c>
    </row>
    <row r="7" spans="1:3" ht="39" customHeight="1" x14ac:dyDescent="0.25">
      <c r="A7" s="1" t="str">
        <f>Cartera!A3</f>
        <v>ETF Mercados Emergentes</v>
      </c>
      <c r="B7" s="64">
        <f>Cartera!C3</f>
        <v>8.1979692459039438E-2</v>
      </c>
      <c r="C7" s="65">
        <v>7.9079206772584953E-2</v>
      </c>
    </row>
    <row r="8" spans="1:3" ht="39" customHeight="1" x14ac:dyDescent="0.25">
      <c r="A8" s="1" t="str">
        <f>Cartera!A4</f>
        <v>Fondo Asia Pacífico</v>
      </c>
      <c r="B8" s="64">
        <f>Cartera!C4</f>
        <v>2.9278461592514082E-2</v>
      </c>
      <c r="C8" s="65">
        <v>2.629015423866404E-2</v>
      </c>
    </row>
    <row r="9" spans="1:3" ht="39" customHeight="1" x14ac:dyDescent="0.25">
      <c r="A9" s="1" t="str">
        <f>Cartera!A5</f>
        <v>Fondo Value Global</v>
      </c>
      <c r="B9" s="64">
        <f>Cartera!C5</f>
        <v>8.7835384777542255E-2</v>
      </c>
      <c r="C9" s="65">
        <v>8.1734895048127101E-2</v>
      </c>
    </row>
    <row r="10" spans="1:3" ht="39" customHeight="1" x14ac:dyDescent="0.25">
      <c r="A10" s="1" t="str">
        <f>Cartera!A6</f>
        <v>Fondo Internacional A</v>
      </c>
      <c r="B10" s="64">
        <f>Cartera!C6</f>
        <v>5.8556923185028163E-2</v>
      </c>
      <c r="C10" s="65">
        <v>5.9909544242143106E-2</v>
      </c>
    </row>
    <row r="11" spans="1:3" ht="39" customHeight="1" x14ac:dyDescent="0.25">
      <c r="A11" s="1" t="str">
        <f>Cartera!A7</f>
        <v>Fondo Internacional B</v>
      </c>
      <c r="B11" s="64">
        <f>Cartera!C7</f>
        <v>2.3422769274011268E-2</v>
      </c>
      <c r="C11" s="65">
        <v>2.407514786037342E-2</v>
      </c>
    </row>
    <row r="12" spans="1:3" ht="39" customHeight="1" x14ac:dyDescent="0.25">
      <c r="A12" s="1" t="str">
        <f>Cartera!A8</f>
        <v>Fondo Crédito Flexible</v>
      </c>
      <c r="B12" s="64">
        <f>Cartera!C8</f>
        <v>5.8556923185028163E-2</v>
      </c>
      <c r="C12" s="65">
        <v>5.7659747187753685E-2</v>
      </c>
    </row>
    <row r="13" spans="1:3" ht="39" customHeight="1" x14ac:dyDescent="0.25">
      <c r="A13" s="1" t="str">
        <f>Cartera!A9</f>
        <v>Fondo Mixto Defensivo</v>
      </c>
      <c r="B13" s="64">
        <f>Cartera!C9</f>
        <v>9.9546769414547875E-2</v>
      </c>
      <c r="C13" s="65">
        <v>9.8144497274730375E-2</v>
      </c>
    </row>
    <row r="14" spans="1:3" ht="39" customHeight="1" x14ac:dyDescent="0.25">
      <c r="A14" s="1" t="str">
        <f>Cartera!A10</f>
        <v>Fondo Retorno Absoluto</v>
      </c>
      <c r="B14" s="64">
        <f>Cartera!C10</f>
        <v>3.5134153911016902E-2</v>
      </c>
      <c r="C14" s="65">
        <v>3.6924504232865592E-2</v>
      </c>
    </row>
    <row r="15" spans="1:3" ht="39" customHeight="1" x14ac:dyDescent="0.25">
      <c r="A15" s="1" t="str">
        <f>Cartera!A11</f>
        <v>Cuenta de efectivo</v>
      </c>
      <c r="B15" s="64">
        <f>Cartera!C11</f>
        <v>1.6243690491526814E-2</v>
      </c>
      <c r="C15" s="65">
        <v>0</v>
      </c>
    </row>
    <row r="16" spans="1:3" ht="39" customHeight="1" x14ac:dyDescent="0.25">
      <c r="A16" s="1" t="str">
        <f>Cartera!A12</f>
        <v>Acción tecnológica</v>
      </c>
      <c r="B16" s="64">
        <f>Cartera!C12</f>
        <v>0.17567076955508451</v>
      </c>
      <c r="C16" s="65">
        <v>0.17781514554099501</v>
      </c>
    </row>
    <row r="17" spans="1:3" ht="39" customHeight="1" x14ac:dyDescent="0.25">
      <c r="A17" s="1" t="str">
        <f>Cartera!A13</f>
        <v>Acción industrial</v>
      </c>
      <c r="B17" s="64">
        <f>Cartera!C13</f>
        <v>2.1080492346610139E-2</v>
      </c>
      <c r="C17" s="65">
        <v>2.1883335266148673E-2</v>
      </c>
    </row>
    <row r="18" spans="1:3" ht="39" customHeight="1" x14ac:dyDescent="0.25">
      <c r="A18" s="1" t="str">
        <f>Cartera!A14</f>
        <v>Acción de infraestructuras</v>
      </c>
      <c r="B18" s="64">
        <f>Cartera!C14</f>
        <v>8.1979692459039424E-3</v>
      </c>
      <c r="C18" s="65">
        <v>8.1642119911863615E-3</v>
      </c>
    </row>
    <row r="19" spans="1:3" ht="39" customHeight="1" x14ac:dyDescent="0.25">
      <c r="A19" s="1" t="str">
        <f>Cartera!A15</f>
        <v>Fondo de tipo flotante</v>
      </c>
      <c r="B19" s="64">
        <f>Cartera!C15</f>
        <v>5.8556923185028163E-2</v>
      </c>
      <c r="C19" s="65">
        <v>6.9766902470138004E-2</v>
      </c>
    </row>
    <row r="20" spans="1:3" ht="39" customHeight="1" x14ac:dyDescent="0.25">
      <c r="A20" s="1" t="str">
        <f>Cartera!A16</f>
        <v>Bitcoin</v>
      </c>
      <c r="B20" s="64">
        <f>Cartera!C16</f>
        <v>1.1711384637005634E-2</v>
      </c>
      <c r="C20" s="65">
        <v>1.2756581236228691E-2</v>
      </c>
    </row>
    <row r="21" spans="1:3" ht="30" customHeight="1" x14ac:dyDescent="0.25">
      <c r="A21" s="1" t="s">
        <v>14</v>
      </c>
      <c r="B21" s="64">
        <f t="shared" ref="B21:C21" si="0">SUM(B6:B20)</f>
        <v>1</v>
      </c>
      <c r="C21" s="64">
        <f t="shared" si="0"/>
        <v>1</v>
      </c>
    </row>
    <row r="22" spans="1:3" ht="30" customHeight="1" x14ac:dyDescent="0.25">
      <c r="A22" s="107" t="s">
        <v>6</v>
      </c>
      <c r="B22" s="106"/>
      <c r="C22" s="1" t="str">
        <f>IF(AND(COUNT(C6:C20)=15,ABS(C21-1)&lt;0.000001,MIN(C6:C20)&gt;=0,MAX(C6:C20)&lt;=1),"OK","REVISAR")</f>
        <v>OK</v>
      </c>
    </row>
    <row r="23" spans="1:3" ht="30" customHeight="1" x14ac:dyDescent="0.25">
      <c r="A23" s="107" t="s">
        <v>86</v>
      </c>
      <c r="B23" s="106"/>
      <c r="C23" s="106"/>
    </row>
    <row r="24" spans="1:3" ht="30" customHeight="1" x14ac:dyDescent="0.25">
      <c r="A24" s="1"/>
      <c r="B24" s="1"/>
      <c r="C24" s="1"/>
    </row>
    <row r="25" spans="1:3" ht="30" customHeight="1" x14ac:dyDescent="0.25">
      <c r="A25" s="2" t="s">
        <v>7</v>
      </c>
      <c r="B25" s="2" t="s">
        <v>87</v>
      </c>
      <c r="C25" s="2" t="s">
        <v>88</v>
      </c>
    </row>
    <row r="26" spans="1:3" ht="39" customHeight="1" x14ac:dyDescent="0.25">
      <c r="A26" s="1" t="str">
        <f t="shared" ref="A26:A40" si="1">A6</f>
        <v>ETF Global Desarrollado</v>
      </c>
      <c r="B26" s="66">
        <f>IF($C$22&lt;&gt;"OK","",MAX(0,$C6*(Cartera!$B$17+$C$3)-Cartera!B2))</f>
        <v>987.7938652441153</v>
      </c>
      <c r="C26" s="66">
        <f t="shared" ref="C26:C40" si="2">IF(OR($C$22&lt;&gt;"OK",NOT(ISNUMBER($C$3)),$C$3&lt;0),"",IF(SUM($B$26:$B$40)=0,0,$C$3*B26/SUM($B$26:$B$40)))</f>
        <v>0</v>
      </c>
    </row>
    <row r="27" spans="1:3" ht="39" customHeight="1" x14ac:dyDescent="0.25">
      <c r="A27" s="1" t="str">
        <f t="shared" si="1"/>
        <v>ETF Mercados Emergentes</v>
      </c>
      <c r="B27" s="66">
        <f>IF($C$22&lt;&gt;"OK","",MAX(0,$C7*(Cartera!$B$17+$C$3)-Cartera!B3))</f>
        <v>0</v>
      </c>
      <c r="C27" s="66">
        <f t="shared" si="2"/>
        <v>0</v>
      </c>
    </row>
    <row r="28" spans="1:3" ht="39" customHeight="1" x14ac:dyDescent="0.25">
      <c r="A28" s="1" t="str">
        <f t="shared" si="1"/>
        <v>Fondo Asia Pacífico</v>
      </c>
      <c r="B28" s="66">
        <f>IF($C$22&lt;&gt;"OK","",MAX(0,$C8*(Cartera!$B$17+$C$3)-Cartera!B4))</f>
        <v>0</v>
      </c>
      <c r="C28" s="66">
        <f t="shared" si="2"/>
        <v>0</v>
      </c>
    </row>
    <row r="29" spans="1:3" ht="39" customHeight="1" x14ac:dyDescent="0.25">
      <c r="A29" s="1" t="str">
        <f t="shared" si="1"/>
        <v>Fondo Value Global</v>
      </c>
      <c r="B29" s="66">
        <f>IF($C$22&lt;&gt;"OK","",MAX(0,$C9*(Cartera!$B$17+$C$3)-Cartera!B5))</f>
        <v>0</v>
      </c>
      <c r="C29" s="66">
        <f t="shared" si="2"/>
        <v>0</v>
      </c>
    </row>
    <row r="30" spans="1:3" ht="39" customHeight="1" x14ac:dyDescent="0.25">
      <c r="A30" s="1" t="str">
        <f t="shared" si="1"/>
        <v>Fondo Internacional A</v>
      </c>
      <c r="B30" s="66">
        <f>IF($C$22&lt;&gt;"OK","",MAX(0,$C10*(Cartera!$B$17+$C$3)-Cartera!B6))</f>
        <v>115.49625420387383</v>
      </c>
      <c r="C30" s="66">
        <f t="shared" si="2"/>
        <v>0</v>
      </c>
    </row>
    <row r="31" spans="1:3" ht="39" customHeight="1" x14ac:dyDescent="0.25">
      <c r="A31" s="1" t="str">
        <f t="shared" si="1"/>
        <v>Fondo Internacional B</v>
      </c>
      <c r="B31" s="66">
        <f>IF($C$22&lt;&gt;"OK","",MAX(0,$C11*(Cartera!$B$17+$C$3)-Cartera!B7))</f>
        <v>55.704650353705347</v>
      </c>
      <c r="C31" s="66">
        <f t="shared" si="2"/>
        <v>0</v>
      </c>
    </row>
    <row r="32" spans="1:3" ht="39" customHeight="1" x14ac:dyDescent="0.25">
      <c r="A32" s="1" t="str">
        <f t="shared" si="1"/>
        <v>Fondo Crédito Flexible</v>
      </c>
      <c r="B32" s="66">
        <f>IF($C$22&lt;&gt;"OK","",MAX(0,$C12*(Cartera!$B$17+$C$3)-Cartera!B8))</f>
        <v>0</v>
      </c>
      <c r="C32" s="66">
        <f t="shared" si="2"/>
        <v>0</v>
      </c>
    </row>
    <row r="33" spans="1:3" ht="39" customHeight="1" x14ac:dyDescent="0.25">
      <c r="A33" s="1" t="str">
        <f t="shared" si="1"/>
        <v>Fondo Mixto Defensivo</v>
      </c>
      <c r="B33" s="66">
        <f>IF($C$22&lt;&gt;"OK","",MAX(0,$C13*(Cartera!$B$17+$C$3)-Cartera!B9))</f>
        <v>0</v>
      </c>
      <c r="C33" s="66">
        <f t="shared" si="2"/>
        <v>0</v>
      </c>
    </row>
    <row r="34" spans="1:3" ht="39" customHeight="1" x14ac:dyDescent="0.25">
      <c r="A34" s="1" t="str">
        <f t="shared" si="1"/>
        <v>Fondo Retorno Absoluto</v>
      </c>
      <c r="B34" s="66">
        <f>IF($C$22&lt;&gt;"OK","",MAX(0,$C14*(Cartera!$B$17+$C$3)-Cartera!B10))</f>
        <v>152.87264293169437</v>
      </c>
      <c r="C34" s="66">
        <f t="shared" si="2"/>
        <v>0</v>
      </c>
    </row>
    <row r="35" spans="1:3" ht="39" customHeight="1" x14ac:dyDescent="0.25">
      <c r="A35" s="1" t="str">
        <f t="shared" si="1"/>
        <v>Cuenta de efectivo</v>
      </c>
      <c r="B35" s="66">
        <f>IF($C$22&lt;&gt;"OK","",MAX(0,$C15*(Cartera!$B$17+$C$3)-Cartera!B11))</f>
        <v>0</v>
      </c>
      <c r="C35" s="66">
        <f t="shared" si="2"/>
        <v>0</v>
      </c>
    </row>
    <row r="36" spans="1:3" ht="39" customHeight="1" x14ac:dyDescent="0.25">
      <c r="A36" s="1" t="str">
        <f t="shared" si="1"/>
        <v>Acción tecnológica</v>
      </c>
      <c r="B36" s="66">
        <f>IF($C$22&lt;&gt;"OK","",MAX(0,$C16*(Cartera!$B$17+$C$3)-Cartera!B12))</f>
        <v>183.10183230894108</v>
      </c>
      <c r="C36" s="66">
        <f t="shared" si="2"/>
        <v>0</v>
      </c>
    </row>
    <row r="37" spans="1:3" ht="39" customHeight="1" x14ac:dyDescent="0.25">
      <c r="A37" s="1" t="str">
        <f t="shared" si="1"/>
        <v>Acción industrial</v>
      </c>
      <c r="B37" s="66">
        <f>IF($C$22&lt;&gt;"OK","",MAX(0,$C17*(Cartera!$B$17+$C$3)-Cartera!B13))</f>
        <v>68.552348370636764</v>
      </c>
      <c r="C37" s="66">
        <f t="shared" si="2"/>
        <v>0</v>
      </c>
    </row>
    <row r="38" spans="1:3" ht="39" customHeight="1" x14ac:dyDescent="0.25">
      <c r="A38" s="1" t="str">
        <f t="shared" si="1"/>
        <v>Acción de infraestructuras</v>
      </c>
      <c r="B38" s="66">
        <f>IF($C$22&lt;&gt;"OK","",MAX(0,$C18*(Cartera!$B$17+$C$3)-Cartera!B14))</f>
        <v>0</v>
      </c>
      <c r="C38" s="66">
        <f t="shared" si="2"/>
        <v>0</v>
      </c>
    </row>
    <row r="39" spans="1:3" ht="39" customHeight="1" x14ac:dyDescent="0.25">
      <c r="A39" s="1" t="str">
        <f t="shared" si="1"/>
        <v>Fondo de tipo flotante</v>
      </c>
      <c r="B39" s="66">
        <f>IF($C$22&lt;&gt;"OK","",MAX(0,$C19*(Cartera!$B$17+$C$3)-Cartera!B15))</f>
        <v>957.18650121767405</v>
      </c>
      <c r="C39" s="66">
        <f t="shared" si="2"/>
        <v>0</v>
      </c>
    </row>
    <row r="40" spans="1:3" ht="39" customHeight="1" x14ac:dyDescent="0.25">
      <c r="A40" s="1" t="str">
        <f t="shared" si="1"/>
        <v>Bitcoin</v>
      </c>
      <c r="B40" s="66">
        <f>IF($C$22&lt;&gt;"OK","",MAX(0,$C20*(Cartera!$B$17+$C$3)-Cartera!B16))</f>
        <v>89.246202017859105</v>
      </c>
      <c r="C40" s="66">
        <f t="shared" si="2"/>
        <v>0</v>
      </c>
    </row>
    <row r="41" spans="1:3" ht="30" customHeight="1" x14ac:dyDescent="0.25">
      <c r="A41" s="1" t="s">
        <v>14</v>
      </c>
      <c r="B41" s="66">
        <f t="shared" ref="B41:C41" si="3">SUM(B26:B40)</f>
        <v>2609.9542966484996</v>
      </c>
      <c r="C41" s="66">
        <f t="shared" si="3"/>
        <v>0</v>
      </c>
    </row>
    <row r="42" spans="1:3" ht="30" customHeight="1" x14ac:dyDescent="0.25">
      <c r="A42" s="107" t="s">
        <v>89</v>
      </c>
      <c r="B42" s="106"/>
      <c r="C42" s="106"/>
    </row>
  </sheetData>
  <mergeCells count="7">
    <mergeCell ref="A23:C23"/>
    <mergeCell ref="A42:C42"/>
    <mergeCell ref="A1:C1"/>
    <mergeCell ref="A2:C2"/>
    <mergeCell ref="A3:B3"/>
    <mergeCell ref="A4:C4"/>
    <mergeCell ref="A22:B22"/>
  </mergeCells>
  <conditionalFormatting sqref="C22">
    <cfRule type="expression" dxfId="8" priority="1" stopIfTrue="1">
      <formula>C22="REVISAR"</formula>
    </cfRule>
    <cfRule type="expression" dxfId="7" priority="2" stopIfTrue="1">
      <formula>C22="OK"</formula>
    </cfRule>
  </conditionalFormatting>
  <dataValidations count="2">
    <dataValidation type="custom" allowBlank="1" showErrorMessage="1" sqref="C6:C20" xr:uid="{00000000-0002-0000-0600-000000000000}">
      <formula1>AND(ISNUMBER(C6),C6&gt;=0,C6&lt;=1)</formula1>
    </dataValidation>
    <dataValidation type="custom" allowBlank="1" showErrorMessage="1" sqref="C3" xr:uid="{00000000-0002-0000-0600-000001000000}">
      <formula1>AND(ISNUMBER(C3),C3&gt;=0)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7A1E0"/>
    <outlinePr summaryBelow="0" summaryRight="0"/>
  </sheetPr>
  <dimension ref="A1:Q145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59765625" defaultRowHeight="15" customHeight="1" x14ac:dyDescent="0.25"/>
  <cols>
    <col min="1" max="2" width="23.19921875" customWidth="1"/>
    <col min="3" max="3" width="32.59765625" customWidth="1"/>
    <col min="4" max="17" width="11.09765625" customWidth="1"/>
  </cols>
  <sheetData>
    <row r="1" spans="1:17" ht="31.5" customHeight="1" x14ac:dyDescent="0.25">
      <c r="A1" s="105" t="s">
        <v>90</v>
      </c>
      <c r="B1" s="106"/>
      <c r="C1" s="106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1"/>
    </row>
    <row r="2" spans="1:17" ht="31.5" customHeight="1" x14ac:dyDescent="0.25">
      <c r="A2" s="107" t="s">
        <v>93</v>
      </c>
      <c r="B2" s="106"/>
      <c r="C2" s="106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1"/>
    </row>
    <row r="3" spans="1:17" ht="31.5" customHeight="1" x14ac:dyDescent="0.25">
      <c r="A3" s="107" t="s">
        <v>95</v>
      </c>
      <c r="B3" s="106"/>
      <c r="C3" s="72">
        <v>2.75E-2</v>
      </c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1"/>
    </row>
    <row r="4" spans="1:17" ht="31.5" customHeight="1" x14ac:dyDescent="0.25">
      <c r="A4" s="107" t="s">
        <v>96</v>
      </c>
      <c r="B4" s="106"/>
      <c r="C4" s="22">
        <f ca="1">I55</f>
        <v>18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1"/>
    </row>
    <row r="5" spans="1:17" ht="31.5" customHeight="1" x14ac:dyDescent="0.25">
      <c r="A5" s="129" t="s">
        <v>97</v>
      </c>
      <c r="B5" s="106"/>
      <c r="C5" s="106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1"/>
    </row>
    <row r="6" spans="1:17" ht="31.5" customHeight="1" x14ac:dyDescent="0.25">
      <c r="A6" s="107" t="s">
        <v>43</v>
      </c>
      <c r="B6" s="106"/>
      <c r="C6" s="30">
        <f ca="1">A55</f>
        <v>0.25283894649859101</v>
      </c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1"/>
    </row>
    <row r="7" spans="1:17" ht="31.5" customHeight="1" x14ac:dyDescent="0.25">
      <c r="A7" s="107" t="s">
        <v>44</v>
      </c>
      <c r="B7" s="106"/>
      <c r="C7" s="30">
        <f ca="1">E55</f>
        <v>8.8469613218029305E-2</v>
      </c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1"/>
    </row>
    <row r="8" spans="1:17" ht="31.5" customHeight="1" x14ac:dyDescent="0.25">
      <c r="A8" s="107" t="s">
        <v>45</v>
      </c>
      <c r="B8" s="106"/>
      <c r="C8" s="30">
        <f ca="1">A52</f>
        <v>-5.674607683926769E-2</v>
      </c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1"/>
    </row>
    <row r="9" spans="1:17" ht="31.5" customHeight="1" x14ac:dyDescent="0.25">
      <c r="A9" s="107" t="s">
        <v>99</v>
      </c>
      <c r="B9" s="106"/>
      <c r="C9" s="30">
        <f ca="1">M55</f>
        <v>5.4242631939684705E-2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1"/>
    </row>
    <row r="10" spans="1:17" ht="31.5" customHeight="1" x14ac:dyDescent="0.25">
      <c r="A10" s="128" t="s">
        <v>101</v>
      </c>
      <c r="B10" s="106"/>
      <c r="C10" s="106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1"/>
    </row>
    <row r="11" spans="1:17" ht="31.5" customHeight="1" x14ac:dyDescent="0.25">
      <c r="A11" s="107" t="s">
        <v>36</v>
      </c>
      <c r="B11" s="106"/>
      <c r="C11" s="27">
        <f ca="1">E49</f>
        <v>4.4453846618607704</v>
      </c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1"/>
    </row>
    <row r="12" spans="1:17" ht="31.5" customHeight="1" x14ac:dyDescent="0.25">
      <c r="A12" s="107" t="s">
        <v>37</v>
      </c>
      <c r="B12" s="106"/>
      <c r="C12" s="27">
        <f ca="1">A49</f>
        <v>2.3028731463480199</v>
      </c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1"/>
    </row>
    <row r="13" spans="1:17" ht="31.5" customHeight="1" x14ac:dyDescent="0.25">
      <c r="A13" s="107" t="s">
        <v>41</v>
      </c>
      <c r="B13" s="106"/>
      <c r="C13" s="30">
        <f ca="1">A58</f>
        <v>0.717425906058624</v>
      </c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1"/>
    </row>
    <row r="14" spans="1:17" ht="31.5" customHeight="1" x14ac:dyDescent="0.25">
      <c r="A14" s="127" t="s">
        <v>105</v>
      </c>
      <c r="B14" s="106"/>
      <c r="C14" s="106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1"/>
    </row>
    <row r="15" spans="1:17" ht="31.5" customHeight="1" x14ac:dyDescent="0.25">
      <c r="A15" s="107" t="s">
        <v>107</v>
      </c>
      <c r="B15" s="106"/>
      <c r="C15" s="27">
        <f ca="1">M49</f>
        <v>0.28397956475654101</v>
      </c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1"/>
    </row>
    <row r="16" spans="1:17" ht="31.5" customHeight="1" x14ac:dyDescent="0.25">
      <c r="A16" s="107" t="s">
        <v>108</v>
      </c>
      <c r="B16" s="106"/>
      <c r="C16" s="30">
        <f ca="1">I49</f>
        <v>0.173850180349715</v>
      </c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1"/>
    </row>
    <row r="17" spans="1:17" ht="31.5" customHeight="1" x14ac:dyDescent="0.25">
      <c r="A17" s="107" t="s">
        <v>39</v>
      </c>
      <c r="B17" s="106"/>
      <c r="C17" s="30">
        <f ca="1">I52</f>
        <v>0.12147204138777699</v>
      </c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1"/>
    </row>
    <row r="18" spans="1:17" ht="31.5" customHeight="1" x14ac:dyDescent="0.25">
      <c r="A18" s="107" t="s">
        <v>40</v>
      </c>
      <c r="B18" s="106"/>
      <c r="C18" s="27">
        <f ca="1">E52</f>
        <v>0.81089411266100397</v>
      </c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1"/>
    </row>
    <row r="19" spans="1:17" ht="31.5" customHeight="1" x14ac:dyDescent="0.25">
      <c r="A19" s="107" t="s">
        <v>46</v>
      </c>
      <c r="B19" s="106"/>
      <c r="C19" s="27">
        <f ca="1">M52</f>
        <v>0.40649274566589699</v>
      </c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1"/>
    </row>
    <row r="20" spans="1:17" ht="31.5" customHeight="1" x14ac:dyDescent="0.25">
      <c r="A20" s="126" t="s">
        <v>111</v>
      </c>
      <c r="B20" s="106"/>
      <c r="C20" s="106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1"/>
    </row>
    <row r="21" spans="1:17" ht="31.5" customHeight="1" x14ac:dyDescent="0.25">
      <c r="A21" s="107" t="s">
        <v>113</v>
      </c>
      <c r="B21" s="106"/>
      <c r="C21" s="30">
        <f>C3/12</f>
        <v>2.2916666666666667E-3</v>
      </c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1"/>
    </row>
    <row r="22" spans="1:17" ht="31.5" customHeight="1" x14ac:dyDescent="0.25">
      <c r="A22" s="107" t="s">
        <v>115</v>
      </c>
      <c r="B22" s="106"/>
      <c r="C22" s="22">
        <f ca="1">COUNTIF(J77:J98,"&lt;0")</f>
        <v>4</v>
      </c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1"/>
    </row>
    <row r="23" spans="1:17" ht="31.5" customHeight="1" x14ac:dyDescent="0.25">
      <c r="A23" s="107" t="s">
        <v>49</v>
      </c>
      <c r="B23" s="106"/>
      <c r="C23" s="30">
        <f ca="1">IFERROR(C22/C4,"")</f>
        <v>0.22222222222222221</v>
      </c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1"/>
    </row>
    <row r="24" spans="1:17" ht="31.5" customHeight="1" x14ac:dyDescent="0.25">
      <c r="A24" s="107" t="s">
        <v>50</v>
      </c>
      <c r="B24" s="106"/>
      <c r="C24" s="106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1"/>
    </row>
    <row r="25" spans="1:17" ht="31.5" customHeight="1" x14ac:dyDescent="0.25">
      <c r="A25" s="107" t="s">
        <v>118</v>
      </c>
      <c r="B25" s="106"/>
      <c r="C25" s="106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1"/>
    </row>
    <row r="26" spans="1:17" ht="31.5" customHeight="1" x14ac:dyDescent="0.25">
      <c r="A26" s="107" t="s">
        <v>120</v>
      </c>
      <c r="B26" s="106"/>
      <c r="C26" s="106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1"/>
    </row>
    <row r="27" spans="1:17" ht="31.5" customHeight="1" x14ac:dyDescent="0.25">
      <c r="A27" s="124" t="s">
        <v>122</v>
      </c>
      <c r="B27" s="106"/>
      <c r="C27" s="106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1"/>
    </row>
    <row r="28" spans="1:17" ht="31.5" customHeight="1" x14ac:dyDescent="0.25">
      <c r="A28" s="1"/>
      <c r="B28" s="1"/>
      <c r="C28" s="1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1"/>
    </row>
    <row r="29" spans="1:17" ht="31.5" customHeight="1" x14ac:dyDescent="0.25">
      <c r="A29" s="1"/>
      <c r="B29" s="1"/>
      <c r="C29" s="1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1"/>
    </row>
    <row r="30" spans="1:17" ht="31.5" customHeight="1" x14ac:dyDescent="0.25">
      <c r="A30" s="1"/>
      <c r="B30" s="1"/>
      <c r="C30" s="1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1"/>
    </row>
    <row r="31" spans="1:17" ht="31.5" customHeight="1" x14ac:dyDescent="0.25">
      <c r="A31" s="1"/>
      <c r="B31" s="1"/>
      <c r="C31" s="1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1"/>
    </row>
    <row r="32" spans="1:17" ht="31.5" customHeight="1" x14ac:dyDescent="0.25">
      <c r="A32" s="1"/>
      <c r="B32" s="1"/>
      <c r="C32" s="1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1"/>
    </row>
    <row r="33" spans="1:17" ht="31.5" customHeight="1" x14ac:dyDescent="0.25">
      <c r="A33" s="1"/>
      <c r="B33" s="1"/>
      <c r="C33" s="1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1"/>
    </row>
    <row r="34" spans="1:17" ht="31.5" customHeight="1" x14ac:dyDescent="0.25">
      <c r="A34" s="1"/>
      <c r="B34" s="1"/>
      <c r="C34" s="1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1"/>
    </row>
    <row r="35" spans="1:17" ht="31.5" customHeight="1" x14ac:dyDescent="0.25">
      <c r="A35" s="1"/>
      <c r="B35" s="1"/>
      <c r="C35" s="1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1"/>
    </row>
    <row r="36" spans="1:17" ht="31.5" customHeight="1" x14ac:dyDescent="0.25">
      <c r="A36" s="1"/>
      <c r="B36" s="1"/>
      <c r="C36" s="1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1"/>
    </row>
    <row r="37" spans="1:17" ht="31.5" customHeight="1" x14ac:dyDescent="0.25">
      <c r="A37" s="1"/>
      <c r="B37" s="1"/>
      <c r="C37" s="1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1"/>
    </row>
    <row r="38" spans="1:17" ht="31.5" customHeight="1" x14ac:dyDescent="0.25">
      <c r="A38" s="1"/>
      <c r="B38" s="1"/>
      <c r="C38" s="1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1"/>
    </row>
    <row r="39" spans="1:17" ht="31.5" customHeight="1" x14ac:dyDescent="0.25">
      <c r="A39" s="1"/>
      <c r="B39" s="1"/>
      <c r="C39" s="1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1"/>
    </row>
    <row r="40" spans="1:17" ht="31.5" customHeight="1" x14ac:dyDescent="0.25">
      <c r="A40" s="1"/>
      <c r="B40" s="1"/>
      <c r="C40" s="1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1"/>
    </row>
    <row r="41" spans="1:17" ht="28.5" hidden="1" customHeight="1" x14ac:dyDescent="0.25">
      <c r="A41" s="125" t="s">
        <v>130</v>
      </c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7"/>
    </row>
    <row r="42" spans="1:17" ht="13.8" hidden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</row>
    <row r="43" spans="1:17" ht="13.8" hidden="1" x14ac:dyDescent="0.25">
      <c r="A43" s="17" t="s">
        <v>131</v>
      </c>
      <c r="B43" s="17"/>
      <c r="C43" s="120">
        <f>$C$3</f>
        <v>2.75E-2</v>
      </c>
      <c r="D43" s="106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</row>
    <row r="44" spans="1:17" ht="13.8" hidden="1" x14ac:dyDescent="0.25">
      <c r="A44" s="17"/>
      <c r="B44" s="17"/>
      <c r="C44" s="106"/>
      <c r="D44" s="106"/>
      <c r="E44" s="17" t="s">
        <v>133</v>
      </c>
      <c r="F44" s="17"/>
      <c r="G44" s="74">
        <f>$C$43</f>
        <v>2.75E-2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</row>
    <row r="45" spans="1:17" ht="13.8" hidden="1" x14ac:dyDescent="0.25">
      <c r="A45" s="17"/>
      <c r="B45" s="17"/>
      <c r="C45" s="17"/>
      <c r="D45" s="17"/>
      <c r="E45" s="17" t="s">
        <v>115</v>
      </c>
      <c r="F45" s="17"/>
      <c r="G45" s="17">
        <f ca="1">COUNTIF($J$77:$J$98,"&lt;0")</f>
        <v>4</v>
      </c>
      <c r="H45" s="17"/>
      <c r="I45" s="76">
        <f ca="1">COUNTIF($J$77:$J$98,"&lt;0")/COUNT($B$77:$B$98)</f>
        <v>0.22222222222222221</v>
      </c>
      <c r="J45" s="17"/>
      <c r="K45" s="17"/>
      <c r="L45" s="17"/>
      <c r="M45" s="17"/>
      <c r="N45" s="17"/>
      <c r="O45" s="17"/>
      <c r="P45" s="17"/>
      <c r="Q45" s="17"/>
    </row>
    <row r="46" spans="1:17" ht="22.5" hidden="1" customHeight="1" x14ac:dyDescent="0.25">
      <c r="A46" s="121" t="s">
        <v>144</v>
      </c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7"/>
    </row>
    <row r="47" spans="1:17" ht="13.8" hidden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 spans="1:17" ht="21" hidden="1" customHeight="1" x14ac:dyDescent="0.25">
      <c r="A48" s="119" t="s">
        <v>145</v>
      </c>
      <c r="B48" s="106"/>
      <c r="C48" s="106"/>
      <c r="D48" s="106"/>
      <c r="E48" s="119" t="s">
        <v>146</v>
      </c>
      <c r="F48" s="106"/>
      <c r="G48" s="106"/>
      <c r="H48" s="106"/>
      <c r="I48" s="119" t="s">
        <v>42</v>
      </c>
      <c r="J48" s="106"/>
      <c r="K48" s="106"/>
      <c r="L48" s="106"/>
      <c r="M48" s="119" t="s">
        <v>38</v>
      </c>
      <c r="N48" s="106"/>
      <c r="O48" s="106"/>
      <c r="P48" s="106"/>
      <c r="Q48" s="17"/>
    </row>
    <row r="49" spans="1:17" ht="21" hidden="1" customHeight="1" x14ac:dyDescent="0.25">
      <c r="A49" s="122">
        <f ca="1">IFERROR(__xludf.DUMMYFUNCTION("IFERROR(AVERAGE(FILTER($D$77:$D$98,$D$77:$D$98&lt;&gt;""""))/STDEV(FILTER($D$77:$D$98,$D$77:$D$98&lt;&gt;""""))*SQRT(12),"""")"),2.30287314634802)</f>
        <v>2.3028731463480199</v>
      </c>
      <c r="B49" s="106"/>
      <c r="C49" s="106"/>
      <c r="D49" s="106"/>
      <c r="E49" s="122">
        <f ca="1">IFERROR(__xludf.DUMMYFUNCTION("IFERROR(AVERAGE(FILTER($D$77:$D$98,$D$77:$D$98&lt;&gt;""""))/SQRT(SUMSQ(FILTER($J$77:$J$98,$D$77:$D$98&lt;&gt;""""))/COUNT(FILTER($D$77:$D$98,$D$77:$D$98&lt;&gt;"""")))*SQRT(12),"""")"),4.44538466186077)</f>
        <v>4.4453846618607704</v>
      </c>
      <c r="F49" s="106"/>
      <c r="G49" s="106"/>
      <c r="H49" s="106"/>
      <c r="I49" s="117">
        <f ca="1">IFERROR(__xludf.DUMMYFUNCTION("IFERROR((AVERAGE(FILTER($B$77:$B$98,$B$77:$B$98&lt;&gt;"""",$C$77:$C$98&lt;&gt;""""))-$C$43/12-$M$49*(AVERAGE(FILTER($C$77:$C$98,$B$77:$B$98&lt;&gt;"""",$C$77:$C$98&lt;&gt;""""))-$C$43/12))*12,"""")"),0.173850180349715)</f>
        <v>0.173850180349715</v>
      </c>
      <c r="J49" s="106"/>
      <c r="K49" s="106"/>
      <c r="L49" s="106"/>
      <c r="M49" s="122">
        <f ca="1">IFERROR(__xludf.DUMMYFUNCTION("IFERROR(SLOPE(FILTER($B$77:$B$98,$B$77:$B$98&lt;&gt;"""",$C$77:$C$98&lt;&gt;""""),FILTER($C$77:$C$98,$B$77:$B$98&lt;&gt;"""",$C$77:$C$98&lt;&gt;"""")),"""")"),0.283979564756541)</f>
        <v>0.28397956475654101</v>
      </c>
      <c r="N49" s="106"/>
      <c r="O49" s="106"/>
      <c r="P49" s="106"/>
      <c r="Q49" s="17"/>
    </row>
    <row r="50" spans="1:17" ht="21" hidden="1" customHeight="1" x14ac:dyDescent="0.25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7"/>
    </row>
    <row r="51" spans="1:17" ht="21" hidden="1" customHeight="1" x14ac:dyDescent="0.25">
      <c r="A51" s="119" t="s">
        <v>147</v>
      </c>
      <c r="B51" s="106"/>
      <c r="C51" s="106"/>
      <c r="D51" s="106"/>
      <c r="E51" s="119" t="s">
        <v>40</v>
      </c>
      <c r="F51" s="106"/>
      <c r="G51" s="106"/>
      <c r="H51" s="106"/>
      <c r="I51" s="119" t="s">
        <v>39</v>
      </c>
      <c r="J51" s="106"/>
      <c r="K51" s="106"/>
      <c r="L51" s="106"/>
      <c r="M51" s="119" t="s">
        <v>46</v>
      </c>
      <c r="N51" s="106"/>
      <c r="O51" s="106"/>
      <c r="P51" s="106"/>
      <c r="Q51" s="17"/>
    </row>
    <row r="52" spans="1:17" ht="21" hidden="1" customHeight="1" x14ac:dyDescent="0.25">
      <c r="A52" s="117">
        <f ca="1">IFERROR(MIN($I$77:$I$98),"")</f>
        <v>-5.674607683926769E-2</v>
      </c>
      <c r="B52" s="106"/>
      <c r="C52" s="106"/>
      <c r="D52" s="106"/>
      <c r="E52" s="122">
        <f ca="1">IFERROR(__xludf.DUMMYFUNCTION("IFERROR(AVERAGE(FILTER($E$77:$E$98,$E$77:$E$98&lt;&gt;""""))/STDEV(FILTER($E$77:$E$98,$E$77:$E$98&lt;&gt;""""))*SQRT(12),"""")"),0.810894112661004)</f>
        <v>0.81089411266100397</v>
      </c>
      <c r="F52" s="106"/>
      <c r="G52" s="106"/>
      <c r="H52" s="106"/>
      <c r="I52" s="117">
        <f ca="1">IFERROR(__xludf.DUMMYFUNCTION("IFERROR(STDEV(FILTER($E$77:$E$98,$E$77:$E$98&lt;&gt;""""))*SQRT(12),"""")"),0.121472041387777)</f>
        <v>0.12147204138777699</v>
      </c>
      <c r="J52" s="106"/>
      <c r="K52" s="106"/>
      <c r="L52" s="106"/>
      <c r="M52" s="122">
        <f ca="1">IFERROR(__xludf.DUMMYFUNCTION("IFERROR(CORREL(FILTER($B$77:$B$98,$B$77:$B$98&lt;&gt;"""",$C$77:$C$98&lt;&gt;""""),FILTER($C$77:$C$98,$B$77:$B$98&lt;&gt;"""",$C$77:$C$98&lt;&gt;"""")),"""")"),0.406492745665897)</f>
        <v>0.40649274566589699</v>
      </c>
      <c r="N52" s="106"/>
      <c r="O52" s="106"/>
      <c r="P52" s="106"/>
      <c r="Q52" s="17"/>
    </row>
    <row r="53" spans="1:17" ht="21" hidden="1" customHeight="1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7"/>
    </row>
    <row r="54" spans="1:17" ht="21" hidden="1" customHeight="1" x14ac:dyDescent="0.25">
      <c r="A54" s="119" t="s">
        <v>43</v>
      </c>
      <c r="B54" s="106"/>
      <c r="C54" s="106"/>
      <c r="D54" s="106"/>
      <c r="E54" s="119" t="s">
        <v>44</v>
      </c>
      <c r="F54" s="106"/>
      <c r="G54" s="106"/>
      <c r="H54" s="106"/>
      <c r="I54" s="119" t="s">
        <v>96</v>
      </c>
      <c r="J54" s="106"/>
      <c r="K54" s="106"/>
      <c r="L54" s="106"/>
      <c r="M54" s="119" t="s">
        <v>99</v>
      </c>
      <c r="N54" s="106"/>
      <c r="O54" s="106"/>
      <c r="P54" s="106"/>
      <c r="Q54" s="17"/>
    </row>
    <row r="55" spans="1:17" ht="21" hidden="1" customHeight="1" x14ac:dyDescent="0.25">
      <c r="A55" s="117">
        <f ca="1">IFERROR(__xludf.DUMMYFUNCTION("IFERROR(INDEX(FILTER($F$77:$F$98,$F$77:$F$98&lt;&gt;""""),COUNT(FILTER($F$77:$F$98,$F$77:$F$98&lt;&gt;"""")))^(12/COUNT($B$77:$B$98))-1,"""")"),0.252838946498591)</f>
        <v>0.25283894649859101</v>
      </c>
      <c r="B55" s="106"/>
      <c r="C55" s="106"/>
      <c r="D55" s="106"/>
      <c r="E55" s="117">
        <f ca="1">IFERROR(__xludf.DUMMYFUNCTION("IFERROR(STDEV(FILTER($B$77:$B$98,$B$77:$B$98&lt;&gt;""""))*SQRT(12),"""")"),0.0884696132180293)</f>
        <v>8.8469613218029305E-2</v>
      </c>
      <c r="F55" s="106"/>
      <c r="G55" s="106"/>
      <c r="H55" s="106"/>
      <c r="I55" s="123">
        <f ca="1">COUNT($B$77:$B$98)</f>
        <v>18</v>
      </c>
      <c r="J55" s="106"/>
      <c r="K55" s="106"/>
      <c r="L55" s="106"/>
      <c r="M55" s="117">
        <f ca="1">IFERROR(MAX($B$77:$B$98),"")</f>
        <v>5.4242631939684705E-2</v>
      </c>
      <c r="N55" s="106"/>
      <c r="O55" s="106"/>
      <c r="P55" s="106"/>
      <c r="Q55" s="17"/>
    </row>
    <row r="56" spans="1:17" ht="13.8" hidden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7"/>
    </row>
    <row r="57" spans="1:17" ht="13.8" hidden="1" x14ac:dyDescent="0.25">
      <c r="A57" s="119" t="s">
        <v>148</v>
      </c>
      <c r="B57" s="106"/>
      <c r="C57" s="106"/>
      <c r="D57" s="106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 spans="1:17" ht="13.8" hidden="1" x14ac:dyDescent="0.25">
      <c r="A58" s="117">
        <f ca="1">IFERROR(__xludf.DUMMYFUNCTION("IFERROR((AVERAGE(FILTER($B$77:$B$98,$B$77:$B$98&lt;&gt;"""",$C$77:$C$98&lt;&gt;""""))*12-$C$43)/$M$49,"""")"),0.717425906058624)</f>
        <v>0.717425906058624</v>
      </c>
      <c r="B58" s="106"/>
      <c r="C58" s="106"/>
      <c r="D58" s="106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</row>
    <row r="59" spans="1:17" ht="13.8" hidden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</row>
    <row r="60" spans="1:17" ht="13.8" hidden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</row>
    <row r="61" spans="1:17" ht="13.8" hidden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</row>
    <row r="62" spans="1:17" ht="13.8" hidden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</row>
    <row r="63" spans="1:17" ht="13.8" hidden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</row>
    <row r="64" spans="1:17" ht="13.8" hidden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</row>
    <row r="65" spans="1:17" ht="13.8" hidden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</row>
    <row r="66" spans="1:17" ht="13.8" hidden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</row>
    <row r="67" spans="1:17" ht="13.8" hidden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</row>
    <row r="68" spans="1:17" ht="13.8" hidden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</row>
    <row r="69" spans="1:17" ht="13.8" hidden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</row>
    <row r="70" spans="1:17" ht="13.8" hidden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</row>
    <row r="71" spans="1:17" ht="13.8" hidden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</row>
    <row r="72" spans="1:17" ht="13.8" hidden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</row>
    <row r="73" spans="1:17" ht="21" hidden="1" customHeight="1" x14ac:dyDescent="0.25">
      <c r="A73" s="118" t="s">
        <v>149</v>
      </c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</row>
    <row r="74" spans="1:17" ht="13.8" hidden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</row>
    <row r="75" spans="1:17" ht="13.8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</row>
    <row r="76" spans="1:17" ht="13.8" x14ac:dyDescent="0.25">
      <c r="A76" s="80" t="str">
        <f>Comparativa!C2</f>
        <v>2025 Feb</v>
      </c>
      <c r="B76" s="81">
        <f>IF(Comparativa!D2="","",Comparativa!D2/100)</f>
        <v>0</v>
      </c>
      <c r="C76" s="81">
        <f>IF(Comparativa!E2="","",Comparativa!E2/100)</f>
        <v>0</v>
      </c>
      <c r="D76" s="81">
        <f t="shared" ref="D76:D98" si="0">IF(B76="","",B76-$C$43/12)</f>
        <v>-2.2916666666666667E-3</v>
      </c>
      <c r="E76" s="81">
        <f t="shared" ref="E76:E98" si="1">IF(OR(B76="",C76=""),"",B76-C76)</f>
        <v>0</v>
      </c>
      <c r="F76" s="82">
        <f t="shared" ref="F76:G76" si="2">IF(B76="","",1+B76)</f>
        <v>1</v>
      </c>
      <c r="G76" s="82">
        <f t="shared" si="2"/>
        <v>1</v>
      </c>
      <c r="H76" s="82">
        <f>IF(F76="","",F76)</f>
        <v>1</v>
      </c>
      <c r="I76" s="81">
        <f t="shared" ref="I76:I98" si="3">IF(F76="","",F76/H76-1)</f>
        <v>0</v>
      </c>
      <c r="J76" s="81">
        <f t="shared" ref="J76:J98" si="4">IF(D76="","",MIN(D76,0))</f>
        <v>-2.2916666666666667E-3</v>
      </c>
      <c r="K76" s="80"/>
      <c r="L76" s="80" t="str">
        <f t="shared" ref="L76:L98" si="5">IF(OR(F76="",G76=""),"",A76)</f>
        <v>2025 Feb</v>
      </c>
      <c r="M76" s="82">
        <f t="shared" ref="M76:M98" si="6">IF(L76="","",F76)</f>
        <v>1</v>
      </c>
      <c r="N76" s="82">
        <f t="shared" ref="N76:N98" si="7">IF(L76="","",G76)</f>
        <v>1</v>
      </c>
      <c r="O76" s="80"/>
      <c r="P76" s="80" t="str">
        <f t="shared" ref="P76:P98" si="8">IF(E76="","",A76)</f>
        <v>2025 Feb</v>
      </c>
      <c r="Q76" s="81">
        <f t="shared" ref="Q76:Q98" si="9">IF(P76="","",E76)</f>
        <v>0</v>
      </c>
    </row>
    <row r="77" spans="1:17" ht="13.8" x14ac:dyDescent="0.25">
      <c r="A77" s="80" t="str">
        <f>Comparativa!C3</f>
        <v>2025 Mar</v>
      </c>
      <c r="B77" s="81">
        <f ca="1">IF(OR(DATE(2025,4,1)&gt;TODAY(),NOT(ISNUMBER(Comparativa!D3))),"",Comparativa!D3/100)</f>
        <v>3.8357366292820716E-2</v>
      </c>
      <c r="C77" s="81">
        <f ca="1">IF(OR(DATE(2025,4,1)&gt;TODAY(),NOT(ISNUMBER(Comparativa!E3))),"",Comparativa!E3/100)</f>
        <v>-6.9699999999999998E-2</v>
      </c>
      <c r="D77" s="81">
        <f t="shared" ca="1" si="0"/>
        <v>3.6065699626154052E-2</v>
      </c>
      <c r="E77" s="81">
        <f t="shared" ca="1" si="1"/>
        <v>0.10805736629282071</v>
      </c>
      <c r="F77" s="82">
        <f t="shared" ref="F77:G77" ca="1" si="10">IF(B77="","",F76*(1+B77))</f>
        <v>1.0383573662928207</v>
      </c>
      <c r="G77" s="82">
        <f t="shared" ca="1" si="10"/>
        <v>0.93030000000000002</v>
      </c>
      <c r="H77" s="82">
        <f t="shared" ref="H77:H98" ca="1" si="11">IF(F77="","",MAX(H76,F77))</f>
        <v>1.0383573662928207</v>
      </c>
      <c r="I77" s="81">
        <f t="shared" ca="1" si="3"/>
        <v>0</v>
      </c>
      <c r="J77" s="81">
        <f t="shared" ca="1" si="4"/>
        <v>0</v>
      </c>
      <c r="K77" s="80"/>
      <c r="L77" s="80" t="str">
        <f t="shared" ca="1" si="5"/>
        <v>2025 Mar</v>
      </c>
      <c r="M77" s="82">
        <f t="shared" ca="1" si="6"/>
        <v>1.0383573662928207</v>
      </c>
      <c r="N77" s="82">
        <f t="shared" ca="1" si="7"/>
        <v>0.93030000000000002</v>
      </c>
      <c r="O77" s="80"/>
      <c r="P77" s="80" t="str">
        <f t="shared" ca="1" si="8"/>
        <v>2025 Mar</v>
      </c>
      <c r="Q77" s="81">
        <f t="shared" ca="1" si="9"/>
        <v>0.10805736629282071</v>
      </c>
    </row>
    <row r="78" spans="1:17" ht="13.8" x14ac:dyDescent="0.25">
      <c r="A78" s="80" t="str">
        <f>Comparativa!C4</f>
        <v>2025 Abr</v>
      </c>
      <c r="B78" s="81">
        <f ca="1">IF(OR(DATE(2025,5,1)&gt;TODAY(),NOT(ISNUMBER(Comparativa!D4))),"",Comparativa!D4/100)</f>
        <v>2.1654364424454453E-2</v>
      </c>
      <c r="C78" s="81">
        <f ca="1">IF(OR(DATE(2025,5,1)&gt;TODAY(),NOT(ISNUMBER(Comparativa!E4))),"",Comparativa!E4/100)</f>
        <v>-4.1200000000000001E-2</v>
      </c>
      <c r="D78" s="81">
        <f t="shared" ca="1" si="0"/>
        <v>1.9362697757787786E-2</v>
      </c>
      <c r="E78" s="81">
        <f t="shared" ca="1" si="1"/>
        <v>6.2854364424454454E-2</v>
      </c>
      <c r="F78" s="82">
        <f t="shared" ref="F78:G78" ca="1" si="12">IF(B78="","",F77*(1+B78))</f>
        <v>1.0608423351053422</v>
      </c>
      <c r="G78" s="82">
        <f t="shared" ca="1" si="12"/>
        <v>0.89197163999999995</v>
      </c>
      <c r="H78" s="82">
        <f t="shared" ca="1" si="11"/>
        <v>1.0608423351053422</v>
      </c>
      <c r="I78" s="81">
        <f t="shared" ca="1" si="3"/>
        <v>0</v>
      </c>
      <c r="J78" s="81">
        <f t="shared" ca="1" si="4"/>
        <v>0</v>
      </c>
      <c r="K78" s="80"/>
      <c r="L78" s="80" t="str">
        <f t="shared" ca="1" si="5"/>
        <v>2025 Abr</v>
      </c>
      <c r="M78" s="82">
        <f t="shared" ca="1" si="6"/>
        <v>1.0608423351053422</v>
      </c>
      <c r="N78" s="82">
        <f t="shared" ca="1" si="7"/>
        <v>0.89197163999999995</v>
      </c>
      <c r="O78" s="80"/>
      <c r="P78" s="80" t="str">
        <f t="shared" ca="1" si="8"/>
        <v>2025 Abr</v>
      </c>
      <c r="Q78" s="81">
        <f t="shared" ca="1" si="9"/>
        <v>6.2854364424454454E-2</v>
      </c>
    </row>
    <row r="79" spans="1:17" ht="13.8" x14ac:dyDescent="0.25">
      <c r="A79" s="80" t="str">
        <f>Comparativa!C5</f>
        <v>2025 May</v>
      </c>
      <c r="B79" s="81">
        <f ca="1">IF(OR(DATE(2025,6,1)&gt;TODAY(),NOT(ISNUMBER(Comparativa!D5))),"",Comparativa!D5/100)</f>
        <v>2.2706152578331862E-2</v>
      </c>
      <c r="C79" s="81">
        <f ca="1">IF(OR(DATE(2025,6,1)&gt;TODAY(),NOT(ISNUMBER(Comparativa!E5))),"",Comparativa!E5/100)</f>
        <v>6.0700000000000004E-2</v>
      </c>
      <c r="D79" s="81">
        <f t="shared" ca="1" si="0"/>
        <v>2.0414485911665194E-2</v>
      </c>
      <c r="E79" s="81">
        <f t="shared" ca="1" si="1"/>
        <v>-3.7993847421668142E-2</v>
      </c>
      <c r="F79" s="82">
        <f t="shared" ref="F79:G79" ca="1" si="13">IF(B79="","",F78*(1+B79))</f>
        <v>1.0849299830277979</v>
      </c>
      <c r="G79" s="82">
        <f t="shared" ca="1" si="13"/>
        <v>0.94611431854799988</v>
      </c>
      <c r="H79" s="82">
        <f t="shared" ca="1" si="11"/>
        <v>1.0849299830277979</v>
      </c>
      <c r="I79" s="81">
        <f t="shared" ca="1" si="3"/>
        <v>0</v>
      </c>
      <c r="J79" s="81">
        <f t="shared" ca="1" si="4"/>
        <v>0</v>
      </c>
      <c r="K79" s="80"/>
      <c r="L79" s="80" t="str">
        <f t="shared" ca="1" si="5"/>
        <v>2025 May</v>
      </c>
      <c r="M79" s="82">
        <f t="shared" ca="1" si="6"/>
        <v>1.0849299830277979</v>
      </c>
      <c r="N79" s="82">
        <f t="shared" ca="1" si="7"/>
        <v>0.94611431854799988</v>
      </c>
      <c r="O79" s="80"/>
      <c r="P79" s="80" t="str">
        <f t="shared" ca="1" si="8"/>
        <v>2025 May</v>
      </c>
      <c r="Q79" s="81">
        <f t="shared" ca="1" si="9"/>
        <v>-3.7993847421668142E-2</v>
      </c>
    </row>
    <row r="80" spans="1:17" ht="13.8" x14ac:dyDescent="0.25">
      <c r="A80" s="80" t="str">
        <f>Comparativa!C6</f>
        <v>2025 Jun</v>
      </c>
      <c r="B80" s="81">
        <f ca="1">IF(OR(DATE(2025,7,1)&gt;TODAY(),NOT(ISNUMBER(Comparativa!D6))),"",Comparativa!D6/100)</f>
        <v>1.1130311038828999E-2</v>
      </c>
      <c r="C80" s="81">
        <f ca="1">IF(OR(DATE(2025,7,1)&gt;TODAY(),NOT(ISNUMBER(Comparativa!E6))),"",Comparativa!E6/100)</f>
        <v>8.8000000000000005E-3</v>
      </c>
      <c r="D80" s="81">
        <f t="shared" ca="1" si="0"/>
        <v>8.8386443721623319E-3</v>
      </c>
      <c r="E80" s="81">
        <f t="shared" ca="1" si="1"/>
        <v>2.3303110388289989E-3</v>
      </c>
      <c r="F80" s="82">
        <f t="shared" ref="F80:G80" ca="1" si="14">IF(B80="","",F79*(1+B80))</f>
        <v>1.0970055911942487</v>
      </c>
      <c r="G80" s="82">
        <f t="shared" ca="1" si="14"/>
        <v>0.95444012455122218</v>
      </c>
      <c r="H80" s="82">
        <f t="shared" ca="1" si="11"/>
        <v>1.0970055911942487</v>
      </c>
      <c r="I80" s="81">
        <f t="shared" ca="1" si="3"/>
        <v>0</v>
      </c>
      <c r="J80" s="81">
        <f t="shared" ca="1" si="4"/>
        <v>0</v>
      </c>
      <c r="K80" s="80"/>
      <c r="L80" s="80" t="str">
        <f t="shared" ca="1" si="5"/>
        <v>2025 Jun</v>
      </c>
      <c r="M80" s="82">
        <f t="shared" ca="1" si="6"/>
        <v>1.0970055911942487</v>
      </c>
      <c r="N80" s="82">
        <f t="shared" ca="1" si="7"/>
        <v>0.95444012455122218</v>
      </c>
      <c r="O80" s="80"/>
      <c r="P80" s="80" t="str">
        <f t="shared" ca="1" si="8"/>
        <v>2025 Jun</v>
      </c>
      <c r="Q80" s="81">
        <f t="shared" ca="1" si="9"/>
        <v>2.3303110388289989E-3</v>
      </c>
    </row>
    <row r="81" spans="1:17" ht="13.8" x14ac:dyDescent="0.25">
      <c r="A81" s="80" t="str">
        <f>Comparativa!C7</f>
        <v>2025 Jul</v>
      </c>
      <c r="B81" s="81">
        <f ca="1">IF(OR(DATE(2025,8,1)&gt;TODAY(),NOT(ISNUMBER(Comparativa!D7))),"",Comparativa!D7/100)</f>
        <v>1.4954044878695116E-2</v>
      </c>
      <c r="C81" s="81">
        <f ca="1">IF(OR(DATE(2025,8,1)&gt;TODAY(),NOT(ISNUMBER(Comparativa!E7))),"",Comparativa!E7/100)</f>
        <v>3.8599999999999995E-2</v>
      </c>
      <c r="D81" s="81">
        <f t="shared" ca="1" si="0"/>
        <v>1.2662378212028449E-2</v>
      </c>
      <c r="E81" s="81">
        <f t="shared" ca="1" si="1"/>
        <v>-2.3645955121304879E-2</v>
      </c>
      <c r="F81" s="82">
        <f t="shared" ref="F81:G81" ca="1" si="15">IF(B81="","",F80*(1+B81))</f>
        <v>1.1134102620371469</v>
      </c>
      <c r="G81" s="82">
        <f t="shared" ca="1" si="15"/>
        <v>0.99128151335889936</v>
      </c>
      <c r="H81" s="82">
        <f t="shared" ca="1" si="11"/>
        <v>1.1134102620371469</v>
      </c>
      <c r="I81" s="81">
        <f t="shared" ca="1" si="3"/>
        <v>0</v>
      </c>
      <c r="J81" s="81">
        <f t="shared" ca="1" si="4"/>
        <v>0</v>
      </c>
      <c r="K81" s="80"/>
      <c r="L81" s="80" t="str">
        <f t="shared" ca="1" si="5"/>
        <v>2025 Jul</v>
      </c>
      <c r="M81" s="82">
        <f t="shared" ca="1" si="6"/>
        <v>1.1134102620371469</v>
      </c>
      <c r="N81" s="82">
        <f t="shared" ca="1" si="7"/>
        <v>0.99128151335889936</v>
      </c>
      <c r="O81" s="80"/>
      <c r="P81" s="80" t="str">
        <f t="shared" ca="1" si="8"/>
        <v>2025 Jul</v>
      </c>
      <c r="Q81" s="81">
        <f t="shared" ca="1" si="9"/>
        <v>-2.3645955121304879E-2</v>
      </c>
    </row>
    <row r="82" spans="1:17" ht="13.8" x14ac:dyDescent="0.25">
      <c r="A82" s="80" t="str">
        <f>Comparativa!C8</f>
        <v>2025 Ago</v>
      </c>
      <c r="B82" s="81">
        <f ca="1">IF(OR(DATE(2025,9,1)&gt;TODAY(),NOT(ISNUMBER(Comparativa!D8))),"",Comparativa!D8/100)</f>
        <v>8.0015486868425523E-3</v>
      </c>
      <c r="C82" s="81">
        <f ca="1">IF(OR(DATE(2025,9,1)&gt;TODAY(),NOT(ISNUMBER(Comparativa!E8))),"",Comparativa!E8/100)</f>
        <v>3.2000000000000002E-3</v>
      </c>
      <c r="D82" s="81">
        <f t="shared" ca="1" si="0"/>
        <v>5.7098820201758856E-3</v>
      </c>
      <c r="E82" s="81">
        <f t="shared" ca="1" si="1"/>
        <v>4.8015486868425526E-3</v>
      </c>
      <c r="F82" s="82">
        <f t="shared" ref="F82:G82" ca="1" si="16">IF(B82="","",F81*(1+B82))</f>
        <v>1.1223192684572671</v>
      </c>
      <c r="G82" s="82">
        <f t="shared" ca="1" si="16"/>
        <v>0.99445361420164791</v>
      </c>
      <c r="H82" s="82">
        <f t="shared" ca="1" si="11"/>
        <v>1.1223192684572671</v>
      </c>
      <c r="I82" s="81">
        <f t="shared" ca="1" si="3"/>
        <v>0</v>
      </c>
      <c r="J82" s="81">
        <f t="shared" ca="1" si="4"/>
        <v>0</v>
      </c>
      <c r="K82" s="80"/>
      <c r="L82" s="80" t="str">
        <f t="shared" ca="1" si="5"/>
        <v>2025 Ago</v>
      </c>
      <c r="M82" s="82">
        <f t="shared" ca="1" si="6"/>
        <v>1.1223192684572671</v>
      </c>
      <c r="N82" s="82">
        <f t="shared" ca="1" si="7"/>
        <v>0.99445361420164791</v>
      </c>
      <c r="O82" s="80"/>
      <c r="P82" s="80" t="str">
        <f t="shared" ca="1" si="8"/>
        <v>2025 Ago</v>
      </c>
      <c r="Q82" s="81">
        <f t="shared" ca="1" si="9"/>
        <v>4.8015486868425526E-3</v>
      </c>
    </row>
    <row r="83" spans="1:17" ht="13.8" x14ac:dyDescent="0.25">
      <c r="A83" s="80" t="str">
        <f>Comparativa!C9</f>
        <v>2025 Sep</v>
      </c>
      <c r="B83" s="81">
        <f ca="1">IF(OR(DATE(2025,10,1)&gt;TODAY(),NOT(ISNUMBER(Comparativa!D9))),"",Comparativa!D9/100)</f>
        <v>5.1991010382375302E-2</v>
      </c>
      <c r="C83" s="81">
        <f ca="1">IF(OR(DATE(2025,10,1)&gt;TODAY(),NOT(ISNUMBER(Comparativa!E9))),"",Comparativa!E9/100)</f>
        <v>2.81E-2</v>
      </c>
      <c r="D83" s="81">
        <f t="shared" ca="1" si="0"/>
        <v>4.9699343715708638E-2</v>
      </c>
      <c r="E83" s="81">
        <f t="shared" ca="1" si="1"/>
        <v>2.3891010382375302E-2</v>
      </c>
      <c r="F83" s="82">
        <f t="shared" ref="F83:G83" ca="1" si="17">IF(B83="","",F82*(1+B83))</f>
        <v>1.1806697811959688</v>
      </c>
      <c r="G83" s="82">
        <f t="shared" ca="1" si="17"/>
        <v>1.0223977607607142</v>
      </c>
      <c r="H83" s="82">
        <f t="shared" ca="1" si="11"/>
        <v>1.1806697811959688</v>
      </c>
      <c r="I83" s="81">
        <f t="shared" ca="1" si="3"/>
        <v>0</v>
      </c>
      <c r="J83" s="81">
        <f t="shared" ca="1" si="4"/>
        <v>0</v>
      </c>
      <c r="K83" s="80"/>
      <c r="L83" s="80" t="str">
        <f t="shared" ca="1" si="5"/>
        <v>2025 Sep</v>
      </c>
      <c r="M83" s="82">
        <f t="shared" ca="1" si="6"/>
        <v>1.1806697811959688</v>
      </c>
      <c r="N83" s="82">
        <f t="shared" ca="1" si="7"/>
        <v>1.0223977607607142</v>
      </c>
      <c r="O83" s="80"/>
      <c r="P83" s="80" t="str">
        <f t="shared" ca="1" si="8"/>
        <v>2025 Sep</v>
      </c>
      <c r="Q83" s="81">
        <f t="shared" ca="1" si="9"/>
        <v>2.3891010382375302E-2</v>
      </c>
    </row>
    <row r="84" spans="1:17" ht="13.8" x14ac:dyDescent="0.25">
      <c r="A84" s="80" t="str">
        <f>Comparativa!C10</f>
        <v>2025 Oct</v>
      </c>
      <c r="B84" s="81">
        <f ca="1">IF(OR(DATE(2025,11,1)&gt;TODAY(),NOT(ISNUMBER(Comparativa!D10))),"",Comparativa!D10/100)</f>
        <v>2.8539951465705871E-2</v>
      </c>
      <c r="C84" s="81">
        <f ca="1">IF(OR(DATE(2025,11,1)&gt;TODAY(),NOT(ISNUMBER(Comparativa!E10))),"",Comparativa!E10/100)</f>
        <v>3.8300000000000001E-2</v>
      </c>
      <c r="D84" s="81">
        <f t="shared" ca="1" si="0"/>
        <v>2.6248284799039203E-2</v>
      </c>
      <c r="E84" s="81">
        <f t="shared" ca="1" si="1"/>
        <v>-9.7600485342941301E-3</v>
      </c>
      <c r="F84" s="82">
        <f t="shared" ref="F84:G84" ca="1" si="18">IF(B84="","",F83*(1+B84))</f>
        <v>1.2143660394483273</v>
      </c>
      <c r="G84" s="82">
        <f t="shared" ca="1" si="18"/>
        <v>1.0615555949978495</v>
      </c>
      <c r="H84" s="82">
        <f t="shared" ca="1" si="11"/>
        <v>1.2143660394483273</v>
      </c>
      <c r="I84" s="81">
        <f t="shared" ca="1" si="3"/>
        <v>0</v>
      </c>
      <c r="J84" s="81">
        <f t="shared" ca="1" si="4"/>
        <v>0</v>
      </c>
      <c r="K84" s="80"/>
      <c r="L84" s="80" t="str">
        <f t="shared" ca="1" si="5"/>
        <v>2025 Oct</v>
      </c>
      <c r="M84" s="82">
        <f t="shared" ca="1" si="6"/>
        <v>1.2143660394483273</v>
      </c>
      <c r="N84" s="82">
        <f t="shared" ca="1" si="7"/>
        <v>1.0615555949978495</v>
      </c>
      <c r="O84" s="80"/>
      <c r="P84" s="80" t="str">
        <f t="shared" ca="1" si="8"/>
        <v>2025 Oct</v>
      </c>
      <c r="Q84" s="81">
        <f t="shared" ca="1" si="9"/>
        <v>-9.7600485342941301E-3</v>
      </c>
    </row>
    <row r="85" spans="1:17" ht="13.8" x14ac:dyDescent="0.25">
      <c r="A85" s="80" t="str">
        <f>Comparativa!C11</f>
        <v>2025 Nov</v>
      </c>
      <c r="B85" s="81">
        <f ca="1">IF(OR(DATE(2025,12,1)&gt;TODAY(),NOT(ISNUMBER(Comparativa!D11))),"",Comparativa!D11/100)</f>
        <v>-2.6796205542658491E-3</v>
      </c>
      <c r="C85" s="81">
        <f ca="1">IF(OR(DATE(2025,12,1)&gt;TODAY(),NOT(ISNUMBER(Comparativa!E11))),"",Comparativa!E11/100)</f>
        <v>-2.7000000000000001E-3</v>
      </c>
      <c r="D85" s="81">
        <f t="shared" ca="1" si="0"/>
        <v>-4.9712872209325158E-3</v>
      </c>
      <c r="E85" s="81">
        <f t="shared" ca="1" si="1"/>
        <v>2.0379445734151035E-5</v>
      </c>
      <c r="F85" s="82">
        <f t="shared" ref="F85:G85" ca="1" si="19">IF(B85="","",F84*(1+B85))</f>
        <v>1.2111119992486192</v>
      </c>
      <c r="G85" s="82">
        <f t="shared" ca="1" si="19"/>
        <v>1.0586893948913552</v>
      </c>
      <c r="H85" s="82">
        <f t="shared" ca="1" si="11"/>
        <v>1.2143660394483273</v>
      </c>
      <c r="I85" s="81">
        <f t="shared" ca="1" si="3"/>
        <v>-2.6796205542658491E-3</v>
      </c>
      <c r="J85" s="81">
        <f t="shared" ca="1" si="4"/>
        <v>-4.9712872209325158E-3</v>
      </c>
      <c r="K85" s="80"/>
      <c r="L85" s="80" t="str">
        <f t="shared" ca="1" si="5"/>
        <v>2025 Nov</v>
      </c>
      <c r="M85" s="82">
        <f t="shared" ca="1" si="6"/>
        <v>1.2111119992486192</v>
      </c>
      <c r="N85" s="82">
        <f t="shared" ca="1" si="7"/>
        <v>1.0586893948913552</v>
      </c>
      <c r="O85" s="80"/>
      <c r="P85" s="80" t="str">
        <f t="shared" ca="1" si="8"/>
        <v>2025 Nov</v>
      </c>
      <c r="Q85" s="81">
        <f t="shared" ca="1" si="9"/>
        <v>2.0379445734151035E-5</v>
      </c>
    </row>
    <row r="86" spans="1:17" ht="13.8" x14ac:dyDescent="0.25">
      <c r="A86" s="80" t="str">
        <f>Comparativa!C12</f>
        <v>2025 Dic</v>
      </c>
      <c r="B86" s="81">
        <f ca="1">IF(OR(DATE(2025,13,1)&gt;TODAY(),NOT(ISNUMBER(Comparativa!D12))),"",Comparativa!D12/100)</f>
        <v>3.8535398796568865E-2</v>
      </c>
      <c r="C86" s="81">
        <f ca="1">IF(OR(DATE(2025,13,1)&gt;TODAY(),NOT(ISNUMBER(Comparativa!E12))),"",Comparativa!E12/100)</f>
        <v>-4.0000000000000001E-3</v>
      </c>
      <c r="D86" s="81">
        <f t="shared" ca="1" si="0"/>
        <v>3.6243732129902201E-2</v>
      </c>
      <c r="E86" s="81">
        <f t="shared" ca="1" si="1"/>
        <v>4.2535398796568868E-2</v>
      </c>
      <c r="F86" s="82">
        <f t="shared" ref="F86:G86" ca="1" si="20">IF(B86="","",F85*(1+B86))</f>
        <v>1.2577826831269745</v>
      </c>
      <c r="G86" s="82">
        <f t="shared" ca="1" si="20"/>
        <v>1.0544546373117898</v>
      </c>
      <c r="H86" s="82">
        <f t="shared" ca="1" si="11"/>
        <v>1.2577826831269745</v>
      </c>
      <c r="I86" s="81">
        <f t="shared" ca="1" si="3"/>
        <v>0</v>
      </c>
      <c r="J86" s="81">
        <f t="shared" ca="1" si="4"/>
        <v>0</v>
      </c>
      <c r="K86" s="80"/>
      <c r="L86" s="80" t="str">
        <f t="shared" ca="1" si="5"/>
        <v>2025 Dic</v>
      </c>
      <c r="M86" s="82">
        <f t="shared" ca="1" si="6"/>
        <v>1.2577826831269745</v>
      </c>
      <c r="N86" s="82">
        <f t="shared" ca="1" si="7"/>
        <v>1.0544546373117898</v>
      </c>
      <c r="O86" s="80"/>
      <c r="P86" s="80" t="str">
        <f t="shared" ca="1" si="8"/>
        <v>2025 Dic</v>
      </c>
      <c r="Q86" s="81">
        <f t="shared" ca="1" si="9"/>
        <v>4.2535398796568868E-2</v>
      </c>
    </row>
    <row r="87" spans="1:17" ht="13.8" x14ac:dyDescent="0.25">
      <c r="A87" s="80" t="str">
        <f>Comparativa!C13</f>
        <v>2026 Ene</v>
      </c>
      <c r="B87" s="81">
        <f ca="1">IF(OR(DATE(2025,14,1)&gt;TODAY(),NOT(ISNUMBER(Comparativa!D13))),"",Comparativa!D13/100)</f>
        <v>2.4312150648504893E-2</v>
      </c>
      <c r="C87" s="81">
        <f ca="1">IF(OR(DATE(2025,14,1)&gt;TODAY(),NOT(ISNUMBER(Comparativa!E13))),"",Comparativa!E13/100)</f>
        <v>9.1999999999999998E-3</v>
      </c>
      <c r="D87" s="81">
        <f t="shared" ca="1" si="0"/>
        <v>2.2020483981838226E-2</v>
      </c>
      <c r="E87" s="81">
        <f t="shared" ca="1" si="1"/>
        <v>1.5112150648504893E-2</v>
      </c>
      <c r="F87" s="82">
        <f t="shared" ref="F87:G87" ca="1" si="21">IF(B87="","",F86*(1+B87))</f>
        <v>1.2883620852022382</v>
      </c>
      <c r="G87" s="82">
        <f t="shared" ca="1" si="21"/>
        <v>1.0641556199750584</v>
      </c>
      <c r="H87" s="82">
        <f t="shared" ca="1" si="11"/>
        <v>1.2883620852022382</v>
      </c>
      <c r="I87" s="81">
        <f t="shared" ca="1" si="3"/>
        <v>0</v>
      </c>
      <c r="J87" s="81">
        <f t="shared" ca="1" si="4"/>
        <v>0</v>
      </c>
      <c r="K87" s="80"/>
      <c r="L87" s="80" t="str">
        <f t="shared" ca="1" si="5"/>
        <v>2026 Ene</v>
      </c>
      <c r="M87" s="82">
        <f t="shared" ca="1" si="6"/>
        <v>1.2883620852022382</v>
      </c>
      <c r="N87" s="82">
        <f t="shared" ca="1" si="7"/>
        <v>1.0641556199750584</v>
      </c>
      <c r="O87" s="80"/>
      <c r="P87" s="80" t="str">
        <f t="shared" ca="1" si="8"/>
        <v>2026 Ene</v>
      </c>
      <c r="Q87" s="81">
        <f t="shared" ca="1" si="9"/>
        <v>1.5112150648504893E-2</v>
      </c>
    </row>
    <row r="88" spans="1:17" ht="13.8" x14ac:dyDescent="0.25">
      <c r="A88" s="80" t="str">
        <f>Comparativa!C14</f>
        <v>2026 Feb</v>
      </c>
      <c r="B88" s="81">
        <f ca="1">IF(OR(DATE(2025,15,1)&gt;TODAY(),NOT(ISNUMBER(Comparativa!D14))),"",Comparativa!D14/100)</f>
        <v>-3.6578947368420822E-3</v>
      </c>
      <c r="C88" s="81">
        <f ca="1">IF(OR(DATE(2025,15,1)&gt;TODAY(),NOT(ISNUMBER(Comparativa!E14))),"",Comparativa!E14/100)</f>
        <v>1.49E-2</v>
      </c>
      <c r="D88" s="81">
        <f t="shared" ca="1" si="0"/>
        <v>-5.9495614035087489E-3</v>
      </c>
      <c r="E88" s="81">
        <f t="shared" ca="1" si="1"/>
        <v>-1.8557894736842082E-2</v>
      </c>
      <c r="F88" s="82">
        <f t="shared" ref="F88:G88" ca="1" si="22">IF(B88="","",F87*(1+B88))</f>
        <v>1.2836493923116301</v>
      </c>
      <c r="G88" s="82">
        <f t="shared" ca="1" si="22"/>
        <v>1.0800115387126867</v>
      </c>
      <c r="H88" s="82">
        <f t="shared" ca="1" si="11"/>
        <v>1.2883620852022382</v>
      </c>
      <c r="I88" s="81">
        <f t="shared" ca="1" si="3"/>
        <v>-3.6578947368419712E-3</v>
      </c>
      <c r="J88" s="81">
        <f t="shared" ca="1" si="4"/>
        <v>-5.9495614035087489E-3</v>
      </c>
      <c r="K88" s="80"/>
      <c r="L88" s="80" t="str">
        <f t="shared" ca="1" si="5"/>
        <v>2026 Feb</v>
      </c>
      <c r="M88" s="82">
        <f t="shared" ca="1" si="6"/>
        <v>1.2836493923116301</v>
      </c>
      <c r="N88" s="82">
        <f t="shared" ca="1" si="7"/>
        <v>1.0800115387126867</v>
      </c>
      <c r="O88" s="80"/>
      <c r="P88" s="80" t="str">
        <f t="shared" ca="1" si="8"/>
        <v>2026 Feb</v>
      </c>
      <c r="Q88" s="81">
        <f t="shared" ca="1" si="9"/>
        <v>-1.8557894736842082E-2</v>
      </c>
    </row>
    <row r="89" spans="1:17" ht="13.8" x14ac:dyDescent="0.25">
      <c r="A89" s="80" t="str">
        <f>Comparativa!C15</f>
        <v>2026 Mar</v>
      </c>
      <c r="B89" s="81">
        <f ca="1">IF(OR(DATE(2025,16,1)&gt;TODAY(),NOT(ISNUMBER(Comparativa!D15))),"",Comparativa!D15/100)</f>
        <v>-5.3283086022349553E-2</v>
      </c>
      <c r="C89" s="81">
        <f ca="1">IF(OR(DATE(2025,16,1)&gt;TODAY(),NOT(ISNUMBER(Comparativa!E15))),"",Comparativa!E15/100)</f>
        <v>-4.0399999999999998E-2</v>
      </c>
      <c r="D89" s="81">
        <f t="shared" ca="1" si="0"/>
        <v>-5.5574752689016217E-2</v>
      </c>
      <c r="E89" s="81">
        <f t="shared" ca="1" si="1"/>
        <v>-1.2883086022349555E-2</v>
      </c>
      <c r="F89" s="82">
        <f t="shared" ref="F89:G89" ca="1" si="23">IF(B89="","",F88*(1+B89))</f>
        <v>1.2152525913185528</v>
      </c>
      <c r="G89" s="82">
        <f t="shared" ca="1" si="23"/>
        <v>1.0363790725486941</v>
      </c>
      <c r="H89" s="82">
        <f t="shared" ca="1" si="11"/>
        <v>1.2883620852022382</v>
      </c>
      <c r="I89" s="81">
        <f t="shared" ca="1" si="3"/>
        <v>-5.674607683926769E-2</v>
      </c>
      <c r="J89" s="81">
        <f t="shared" ca="1" si="4"/>
        <v>-5.5574752689016217E-2</v>
      </c>
      <c r="K89" s="80"/>
      <c r="L89" s="80" t="str">
        <f t="shared" ca="1" si="5"/>
        <v>2026 Mar</v>
      </c>
      <c r="M89" s="82">
        <f t="shared" ca="1" si="6"/>
        <v>1.2152525913185528</v>
      </c>
      <c r="N89" s="82">
        <f t="shared" ca="1" si="7"/>
        <v>1.0363790725486941</v>
      </c>
      <c r="O89" s="80"/>
      <c r="P89" s="80" t="str">
        <f t="shared" ca="1" si="8"/>
        <v>2026 Mar</v>
      </c>
      <c r="Q89" s="81">
        <f t="shared" ca="1" si="9"/>
        <v>-1.2883086022349555E-2</v>
      </c>
    </row>
    <row r="90" spans="1:17" ht="13.8" x14ac:dyDescent="0.25">
      <c r="A90" s="80" t="str">
        <f>Comparativa!C16</f>
        <v>2026 Abr</v>
      </c>
      <c r="B90" s="81">
        <f ca="1">IF(OR(DATE(2025,17,1)&gt;TODAY(),NOT(ISNUMBER(Comparativa!D16))),"",Comparativa!D16/100)</f>
        <v>5.4242631939684705E-2</v>
      </c>
      <c r="C90" s="81">
        <f ca="1">IF(OR(DATE(2025,17,1)&gt;TODAY(),NOT(ISNUMBER(Comparativa!E16))),"",Comparativa!E16/100)</f>
        <v>7.6499999999999999E-2</v>
      </c>
      <c r="D90" s="81">
        <f t="shared" ca="1" si="0"/>
        <v>5.195096527301804E-2</v>
      </c>
      <c r="E90" s="81">
        <f t="shared" ca="1" si="1"/>
        <v>-2.2257368060315294E-2</v>
      </c>
      <c r="F90" s="82">
        <f t="shared" ref="F90:G90" ca="1" si="24">IF(B90="","",F89*(1+B90))</f>
        <v>1.2811710903431932</v>
      </c>
      <c r="G90" s="82">
        <f t="shared" ca="1" si="24"/>
        <v>1.1156620715986691</v>
      </c>
      <c r="H90" s="82">
        <f t="shared" ca="1" si="11"/>
        <v>1.2883620852022382</v>
      </c>
      <c r="I90" s="81">
        <f t="shared" ca="1" si="3"/>
        <v>-5.5815014595963497E-3</v>
      </c>
      <c r="J90" s="81">
        <f t="shared" ca="1" si="4"/>
        <v>0</v>
      </c>
      <c r="K90" s="80"/>
      <c r="L90" s="80" t="str">
        <f t="shared" ca="1" si="5"/>
        <v>2026 Abr</v>
      </c>
      <c r="M90" s="82">
        <f t="shared" ca="1" si="6"/>
        <v>1.2811710903431932</v>
      </c>
      <c r="N90" s="82">
        <f t="shared" ca="1" si="7"/>
        <v>1.1156620715986691</v>
      </c>
      <c r="O90" s="80"/>
      <c r="P90" s="80" t="str">
        <f t="shared" ca="1" si="8"/>
        <v>2026 Abr</v>
      </c>
      <c r="Q90" s="81">
        <f t="shared" ca="1" si="9"/>
        <v>-2.2257368060315294E-2</v>
      </c>
    </row>
    <row r="91" spans="1:17" ht="13.8" x14ac:dyDescent="0.25">
      <c r="A91" s="80" t="str">
        <f>Comparativa!C17</f>
        <v>2026 May</v>
      </c>
      <c r="B91" s="81">
        <f ca="1">IF(OR(DATE(2025,18,1)&gt;TODAY(),NOT(ISNUMBER(Comparativa!D17))),"",Comparativa!D17/100)</f>
        <v>5.219992914036764E-2</v>
      </c>
      <c r="C91" s="81">
        <f ca="1">IF(OR(DATE(2025,18,1)&gt;TODAY(),NOT(ISNUMBER(Comparativa!E17))),"",Comparativa!E17/100)</f>
        <v>5.0999999999999997E-2</v>
      </c>
      <c r="D91" s="81">
        <f t="shared" ca="1" si="0"/>
        <v>4.9908262473700976E-2</v>
      </c>
      <c r="E91" s="81">
        <f t="shared" ca="1" si="1"/>
        <v>1.1999291403676435E-3</v>
      </c>
      <c r="F91" s="82">
        <f t="shared" ref="F91:G91" ca="1" si="25">IF(B91="","",F90*(1+B91))</f>
        <v>1.3480481304757954</v>
      </c>
      <c r="G91" s="82">
        <f t="shared" ca="1" si="25"/>
        <v>1.1725608372502012</v>
      </c>
      <c r="H91" s="82">
        <f t="shared" ca="1" si="11"/>
        <v>1.3480481304757954</v>
      </c>
      <c r="I91" s="81">
        <f t="shared" ca="1" si="3"/>
        <v>0</v>
      </c>
      <c r="J91" s="81">
        <f t="shared" ca="1" si="4"/>
        <v>0</v>
      </c>
      <c r="K91" s="80"/>
      <c r="L91" s="80" t="str">
        <f t="shared" ca="1" si="5"/>
        <v>2026 May</v>
      </c>
      <c r="M91" s="82">
        <f t="shared" ca="1" si="6"/>
        <v>1.3480481304757954</v>
      </c>
      <c r="N91" s="82">
        <f t="shared" ca="1" si="7"/>
        <v>1.1725608372502012</v>
      </c>
      <c r="O91" s="80"/>
      <c r="P91" s="80" t="str">
        <f t="shared" ca="1" si="8"/>
        <v>2026 May</v>
      </c>
      <c r="Q91" s="81">
        <f t="shared" ca="1" si="9"/>
        <v>1.1999291403676435E-3</v>
      </c>
    </row>
    <row r="92" spans="1:17" ht="13.8" x14ac:dyDescent="0.25">
      <c r="A92" s="80" t="str">
        <f>Comparativa!C18</f>
        <v>2026 Jun</v>
      </c>
      <c r="B92" s="81">
        <f ca="1">IF(OR(DATE(2025,19,1)&gt;TODAY(),NOT(ISNUMBER(Comparativa!D18))),"",Comparativa!D18/100)</f>
        <v>8.806693086746975E-4</v>
      </c>
      <c r="C92" s="81">
        <f ca="1">IF(OR(DATE(2025,19,1)&gt;TODAY(),NOT(ISNUMBER(Comparativa!E18))),"",Comparativa!E18/100)</f>
        <v>1.3300000000000001E-2</v>
      </c>
      <c r="D92" s="81">
        <f t="shared" ca="1" si="0"/>
        <v>-1.4109973579919692E-3</v>
      </c>
      <c r="E92" s="81">
        <f t="shared" ca="1" si="1"/>
        <v>-1.2419330691325304E-2</v>
      </c>
      <c r="F92" s="82">
        <f t="shared" ref="F92:G92" ca="1" si="26">IF(B92="","",F91*(1+B92))</f>
        <v>1.3492353150909218</v>
      </c>
      <c r="G92" s="82">
        <f t="shared" ca="1" si="26"/>
        <v>1.1881558963856289</v>
      </c>
      <c r="H92" s="82">
        <f t="shared" ca="1" si="11"/>
        <v>1.3492353150909218</v>
      </c>
      <c r="I92" s="81">
        <f t="shared" ca="1" si="3"/>
        <v>0</v>
      </c>
      <c r="J92" s="81">
        <f t="shared" ca="1" si="4"/>
        <v>-1.4109973579919692E-3</v>
      </c>
      <c r="K92" s="80"/>
      <c r="L92" s="80" t="str">
        <f t="shared" ca="1" si="5"/>
        <v>2026 Jun</v>
      </c>
      <c r="M92" s="82">
        <f t="shared" ca="1" si="6"/>
        <v>1.3492353150909218</v>
      </c>
      <c r="N92" s="82">
        <f t="shared" ca="1" si="7"/>
        <v>1.1881558963856289</v>
      </c>
      <c r="O92" s="80"/>
      <c r="P92" s="80" t="str">
        <f t="shared" ca="1" si="8"/>
        <v>2026 Jun</v>
      </c>
      <c r="Q92" s="81">
        <f t="shared" ca="1" si="9"/>
        <v>-1.2419330691325304E-2</v>
      </c>
    </row>
    <row r="93" spans="1:17" ht="13.8" x14ac:dyDescent="0.25">
      <c r="A93" s="80" t="str">
        <f>Comparativa!C19</f>
        <v>2026 Jul</v>
      </c>
      <c r="B93" s="81">
        <f ca="1">IF(OR(DATE(2025,20,1)&gt;TODAY(),NOT(ISNUMBER(Comparativa!D19))),"",Comparativa!D19/100)</f>
        <v>2.2952111935886421E-2</v>
      </c>
      <c r="C93" s="81">
        <f ca="1">IF(OR(DATE(2025,20,1)&gt;TODAY(),NOT(ISNUMBER(Comparativa!E19))),"",Comparativa!E19/100)</f>
        <v>-1.4000000000000002E-3</v>
      </c>
      <c r="D93" s="81">
        <f t="shared" ca="1" si="0"/>
        <v>2.0660445269219754E-2</v>
      </c>
      <c r="E93" s="81">
        <f t="shared" ca="1" si="1"/>
        <v>2.435211193588642E-2</v>
      </c>
      <c r="F93" s="82">
        <f t="shared" ref="F93:G93" ca="1" si="27">IF(B93="","",F92*(1+B93))</f>
        <v>1.3802031150707397</v>
      </c>
      <c r="G93" s="82">
        <f t="shared" ca="1" si="27"/>
        <v>1.1864924781306891</v>
      </c>
      <c r="H93" s="82">
        <f t="shared" ca="1" si="11"/>
        <v>1.3802031150707397</v>
      </c>
      <c r="I93" s="81">
        <f t="shared" ca="1" si="3"/>
        <v>0</v>
      </c>
      <c r="J93" s="81">
        <f t="shared" ca="1" si="4"/>
        <v>0</v>
      </c>
      <c r="K93" s="80"/>
      <c r="L93" s="80" t="str">
        <f t="shared" ca="1" si="5"/>
        <v>2026 Jul</v>
      </c>
      <c r="M93" s="82">
        <f t="shared" ca="1" si="6"/>
        <v>1.3802031150707397</v>
      </c>
      <c r="N93" s="82">
        <f t="shared" ca="1" si="7"/>
        <v>1.1864924781306891</v>
      </c>
      <c r="O93" s="80"/>
      <c r="P93" s="80" t="str">
        <f t="shared" ca="1" si="8"/>
        <v>2026 Jul</v>
      </c>
      <c r="Q93" s="81">
        <f t="shared" ca="1" si="9"/>
        <v>2.435211193588642E-2</v>
      </c>
    </row>
    <row r="94" spans="1:17" ht="13.8" x14ac:dyDescent="0.25">
      <c r="A94" s="80" t="str">
        <f>Comparativa!C20</f>
        <v>2026 Ago</v>
      </c>
      <c r="B94" s="81">
        <f ca="1">IF(OR(DATE(2025,21,1)&gt;TODAY(),NOT(ISNUMBER(Comparativa!D20))),"",Comparativa!D20/100)</f>
        <v>1.6014404617109124E-2</v>
      </c>
      <c r="C94" s="81">
        <f ca="1">IF(OR(DATE(2025,21,1)&gt;TODAY(),NOT(ISNUMBER(Comparativa!E20))),"",Comparativa!E20/100)</f>
        <v>1.5900000000000001E-2</v>
      </c>
      <c r="D94" s="81">
        <f t="shared" ca="1" si="0"/>
        <v>1.3722737950442456E-2</v>
      </c>
      <c r="E94" s="81">
        <f t="shared" ca="1" si="1"/>
        <v>1.1440461710912272E-4</v>
      </c>
      <c r="F94" s="82">
        <f t="shared" ref="F94:G94" ca="1" si="28">IF(B94="","",F93*(1+B94))</f>
        <v>1.402306246209277</v>
      </c>
      <c r="G94" s="82">
        <f t="shared" ca="1" si="28"/>
        <v>1.2053577085329672</v>
      </c>
      <c r="H94" s="82">
        <f t="shared" ca="1" si="11"/>
        <v>1.402306246209277</v>
      </c>
      <c r="I94" s="81">
        <f t="shared" ca="1" si="3"/>
        <v>0</v>
      </c>
      <c r="J94" s="81">
        <f t="shared" ca="1" si="4"/>
        <v>0</v>
      </c>
      <c r="K94" s="80"/>
      <c r="L94" s="80" t="str">
        <f t="shared" ca="1" si="5"/>
        <v>2026 Ago</v>
      </c>
      <c r="M94" s="82">
        <f t="shared" ca="1" si="6"/>
        <v>1.402306246209277</v>
      </c>
      <c r="N94" s="82">
        <f t="shared" ca="1" si="7"/>
        <v>1.2053577085329672</v>
      </c>
      <c r="O94" s="80"/>
      <c r="P94" s="80" t="str">
        <f t="shared" ca="1" si="8"/>
        <v>2026 Ago</v>
      </c>
      <c r="Q94" s="81">
        <f t="shared" ca="1" si="9"/>
        <v>1.1440461710912272E-4</v>
      </c>
    </row>
    <row r="95" spans="1:17" ht="13.8" x14ac:dyDescent="0.25">
      <c r="A95" s="80" t="str">
        <f>Comparativa!C21</f>
        <v>2026 Sep</v>
      </c>
      <c r="B95" s="81" t="str">
        <f ca="1">IF(OR(DATE(2025,22,1)&gt;TODAY(),NOT(ISNUMBER(Comparativa!D21))),"",Comparativa!D21/100)</f>
        <v/>
      </c>
      <c r="C95" s="81" t="str">
        <f ca="1">IF(OR(DATE(2025,22,1)&gt;TODAY(),NOT(ISNUMBER(Comparativa!E21))),"",Comparativa!E21/100)</f>
        <v/>
      </c>
      <c r="D95" s="81" t="str">
        <f t="shared" ca="1" si="0"/>
        <v/>
      </c>
      <c r="E95" s="81" t="str">
        <f t="shared" ca="1" si="1"/>
        <v/>
      </c>
      <c r="F95" s="82" t="str">
        <f t="shared" ref="F95:G95" ca="1" si="29">IF(B95="","",F94*(1+B95))</f>
        <v/>
      </c>
      <c r="G95" s="82" t="str">
        <f t="shared" ca="1" si="29"/>
        <v/>
      </c>
      <c r="H95" s="82" t="str">
        <f t="shared" ca="1" si="11"/>
        <v/>
      </c>
      <c r="I95" s="81" t="str">
        <f t="shared" ca="1" si="3"/>
        <v/>
      </c>
      <c r="J95" s="81" t="str">
        <f t="shared" ca="1" si="4"/>
        <v/>
      </c>
      <c r="K95" s="80"/>
      <c r="L95" s="80" t="str">
        <f t="shared" ca="1" si="5"/>
        <v/>
      </c>
      <c r="M95" s="82" t="str">
        <f t="shared" ca="1" si="6"/>
        <v/>
      </c>
      <c r="N95" s="82" t="str">
        <f t="shared" ca="1" si="7"/>
        <v/>
      </c>
      <c r="O95" s="80"/>
      <c r="P95" s="80" t="str">
        <f t="shared" ca="1" si="8"/>
        <v/>
      </c>
      <c r="Q95" s="81" t="str">
        <f t="shared" ca="1" si="9"/>
        <v/>
      </c>
    </row>
    <row r="96" spans="1:17" ht="13.8" x14ac:dyDescent="0.25">
      <c r="A96" s="80" t="str">
        <f>Comparativa!C22</f>
        <v>2026 Oct</v>
      </c>
      <c r="B96" s="81" t="str">
        <f ca="1">IF(OR(DATE(2025,23,1)&gt;TODAY(),NOT(ISNUMBER(Comparativa!D22))),"",Comparativa!D22/100)</f>
        <v/>
      </c>
      <c r="C96" s="81" t="str">
        <f ca="1">IF(OR(DATE(2025,23,1)&gt;TODAY(),NOT(ISNUMBER(Comparativa!E22))),"",Comparativa!E22/100)</f>
        <v/>
      </c>
      <c r="D96" s="81" t="str">
        <f t="shared" ca="1" si="0"/>
        <v/>
      </c>
      <c r="E96" s="81" t="str">
        <f t="shared" ca="1" si="1"/>
        <v/>
      </c>
      <c r="F96" s="82" t="str">
        <f t="shared" ref="F96:G96" ca="1" si="30">IF(B96="","",F95*(1+B96))</f>
        <v/>
      </c>
      <c r="G96" s="82" t="str">
        <f t="shared" ca="1" si="30"/>
        <v/>
      </c>
      <c r="H96" s="82" t="str">
        <f t="shared" ca="1" si="11"/>
        <v/>
      </c>
      <c r="I96" s="81" t="str">
        <f t="shared" ca="1" si="3"/>
        <v/>
      </c>
      <c r="J96" s="81" t="str">
        <f t="shared" ca="1" si="4"/>
        <v/>
      </c>
      <c r="K96" s="80"/>
      <c r="L96" s="80" t="str">
        <f t="shared" ca="1" si="5"/>
        <v/>
      </c>
      <c r="M96" s="82" t="str">
        <f t="shared" ca="1" si="6"/>
        <v/>
      </c>
      <c r="N96" s="82" t="str">
        <f t="shared" ca="1" si="7"/>
        <v/>
      </c>
      <c r="O96" s="80"/>
      <c r="P96" s="80" t="str">
        <f t="shared" ca="1" si="8"/>
        <v/>
      </c>
      <c r="Q96" s="81" t="str">
        <f t="shared" ca="1" si="9"/>
        <v/>
      </c>
    </row>
    <row r="97" spans="1:17" ht="13.8" x14ac:dyDescent="0.25">
      <c r="A97" s="80" t="str">
        <f>Comparativa!C23</f>
        <v>2026 Nov</v>
      </c>
      <c r="B97" s="81" t="str">
        <f ca="1">IF(OR(DATE(2025,24,1)&gt;TODAY(),NOT(ISNUMBER(Comparativa!D23))),"",Comparativa!D23/100)</f>
        <v/>
      </c>
      <c r="C97" s="81" t="str">
        <f ca="1">IF(OR(DATE(2025,24,1)&gt;TODAY(),NOT(ISNUMBER(Comparativa!E23))),"",Comparativa!E23/100)</f>
        <v/>
      </c>
      <c r="D97" s="81" t="str">
        <f t="shared" ca="1" si="0"/>
        <v/>
      </c>
      <c r="E97" s="81" t="str">
        <f t="shared" ca="1" si="1"/>
        <v/>
      </c>
      <c r="F97" s="82" t="str">
        <f t="shared" ref="F97:G97" ca="1" si="31">IF(B97="","",F96*(1+B97))</f>
        <v/>
      </c>
      <c r="G97" s="82" t="str">
        <f t="shared" ca="1" si="31"/>
        <v/>
      </c>
      <c r="H97" s="82" t="str">
        <f t="shared" ca="1" si="11"/>
        <v/>
      </c>
      <c r="I97" s="81" t="str">
        <f t="shared" ca="1" si="3"/>
        <v/>
      </c>
      <c r="J97" s="81" t="str">
        <f t="shared" ca="1" si="4"/>
        <v/>
      </c>
      <c r="K97" s="80"/>
      <c r="L97" s="80" t="str">
        <f t="shared" ca="1" si="5"/>
        <v/>
      </c>
      <c r="M97" s="82" t="str">
        <f t="shared" ca="1" si="6"/>
        <v/>
      </c>
      <c r="N97" s="82" t="str">
        <f t="shared" ca="1" si="7"/>
        <v/>
      </c>
      <c r="O97" s="80"/>
      <c r="P97" s="80" t="str">
        <f t="shared" ca="1" si="8"/>
        <v/>
      </c>
      <c r="Q97" s="81" t="str">
        <f t="shared" ca="1" si="9"/>
        <v/>
      </c>
    </row>
    <row r="98" spans="1:17" ht="13.8" x14ac:dyDescent="0.25">
      <c r="A98" s="80" t="str">
        <f>Comparativa!C24</f>
        <v>2026 Dic</v>
      </c>
      <c r="B98" s="81" t="str">
        <f ca="1">IF(OR(DATE(2025,25,1)&gt;TODAY(),NOT(ISNUMBER(Comparativa!D24))),"",Comparativa!D24/100)</f>
        <v/>
      </c>
      <c r="C98" s="81" t="str">
        <f ca="1">IF(OR(DATE(2025,25,1)&gt;TODAY(),NOT(ISNUMBER(Comparativa!E24))),"",Comparativa!E24/100)</f>
        <v/>
      </c>
      <c r="D98" s="81" t="str">
        <f t="shared" ca="1" si="0"/>
        <v/>
      </c>
      <c r="E98" s="81" t="str">
        <f t="shared" ca="1" si="1"/>
        <v/>
      </c>
      <c r="F98" s="82" t="str">
        <f t="shared" ref="F98:G98" ca="1" si="32">IF(B98="","",F97*(1+B98))</f>
        <v/>
      </c>
      <c r="G98" s="82" t="str">
        <f t="shared" ca="1" si="32"/>
        <v/>
      </c>
      <c r="H98" s="82" t="str">
        <f t="shared" ca="1" si="11"/>
        <v/>
      </c>
      <c r="I98" s="81" t="str">
        <f t="shared" ca="1" si="3"/>
        <v/>
      </c>
      <c r="J98" s="81" t="str">
        <f t="shared" ca="1" si="4"/>
        <v/>
      </c>
      <c r="K98" s="80"/>
      <c r="L98" s="80" t="str">
        <f t="shared" ca="1" si="5"/>
        <v/>
      </c>
      <c r="M98" s="82" t="str">
        <f t="shared" ca="1" si="6"/>
        <v/>
      </c>
      <c r="N98" s="82" t="str">
        <f t="shared" ca="1" si="7"/>
        <v/>
      </c>
      <c r="O98" s="80"/>
      <c r="P98" s="80" t="str">
        <f t="shared" ca="1" si="8"/>
        <v/>
      </c>
      <c r="Q98" s="81" t="str">
        <f t="shared" ca="1" si="9"/>
        <v/>
      </c>
    </row>
    <row r="99" spans="1:17" ht="13.8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</row>
    <row r="100" spans="1:17" ht="13.8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</row>
    <row r="101" spans="1:17" ht="13.8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</row>
    <row r="102" spans="1:17" ht="13.8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</row>
    <row r="103" spans="1:17" ht="13.8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</row>
    <row r="104" spans="1:17" ht="13.8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</row>
    <row r="105" spans="1:17" ht="13.8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</row>
    <row r="106" spans="1:17" ht="13.8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</row>
    <row r="107" spans="1:17" ht="13.8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</row>
    <row r="108" spans="1:17" ht="13.8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</row>
    <row r="109" spans="1:17" ht="13.8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</row>
    <row r="110" spans="1:17" ht="13.8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</row>
    <row r="111" spans="1:17" ht="13.8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</row>
    <row r="112" spans="1:17" ht="13.8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</row>
    <row r="113" spans="1:17" ht="13.8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</row>
    <row r="114" spans="1:17" ht="13.8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</row>
    <row r="115" spans="1:17" ht="13.8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</row>
    <row r="116" spans="1:17" ht="13.8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</row>
    <row r="117" spans="1:17" ht="13.8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</row>
    <row r="118" spans="1:17" ht="13.8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</row>
    <row r="119" spans="1:17" ht="13.8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</row>
    <row r="120" spans="1:17" ht="13.8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</row>
    <row r="121" spans="1:17" ht="13.8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</row>
    <row r="122" spans="1:17" ht="13.8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</row>
    <row r="123" spans="1:17" ht="13.8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</row>
    <row r="124" spans="1:17" ht="13.8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</row>
    <row r="125" spans="1:17" ht="13.8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</row>
    <row r="126" spans="1:17" ht="13.8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</row>
    <row r="127" spans="1:17" ht="13.8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</row>
    <row r="128" spans="1:17" ht="13.8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</row>
    <row r="129" spans="1:17" ht="13.8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</row>
    <row r="130" spans="1:17" ht="13.8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</row>
    <row r="131" spans="1:17" ht="13.8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</row>
    <row r="132" spans="1:17" ht="13.8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</row>
    <row r="133" spans="1:17" ht="13.8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</row>
    <row r="134" spans="1:17" ht="13.8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</row>
    <row r="135" spans="1:17" ht="13.8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</row>
    <row r="136" spans="1:17" ht="13.8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</row>
    <row r="137" spans="1:17" ht="13.8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</row>
    <row r="138" spans="1:17" ht="13.8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</row>
    <row r="139" spans="1:17" ht="13.8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</row>
    <row r="140" spans="1:17" ht="13.8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</row>
    <row r="141" spans="1:17" ht="13.8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</row>
    <row r="142" spans="1:17" ht="13.8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</row>
    <row r="143" spans="1:17" ht="13.8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</row>
    <row r="144" spans="1:17" ht="13.8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</row>
    <row r="145" spans="1:17" ht="13.8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</row>
  </sheetData>
  <mergeCells count="57">
    <mergeCell ref="A54:D54"/>
    <mergeCell ref="M54:P54"/>
    <mergeCell ref="E54:H54"/>
    <mergeCell ref="I54:L54"/>
    <mergeCell ref="A49:D50"/>
    <mergeCell ref="A51:D51"/>
    <mergeCell ref="A52:D53"/>
    <mergeCell ref="E52:H53"/>
    <mergeCell ref="I52:L53"/>
    <mergeCell ref="E51:H51"/>
    <mergeCell ref="I51:L51"/>
    <mergeCell ref="A1:C1"/>
    <mergeCell ref="A2:C2"/>
    <mergeCell ref="A3:B3"/>
    <mergeCell ref="A4:B4"/>
    <mergeCell ref="A5:C5"/>
    <mergeCell ref="A6:B6"/>
    <mergeCell ref="A7:B7"/>
    <mergeCell ref="A8:B8"/>
    <mergeCell ref="A9:B9"/>
    <mergeCell ref="A10:C10"/>
    <mergeCell ref="A11:B11"/>
    <mergeCell ref="A12:B12"/>
    <mergeCell ref="A13:B13"/>
    <mergeCell ref="A14:C14"/>
    <mergeCell ref="A15:B15"/>
    <mergeCell ref="A16:B16"/>
    <mergeCell ref="A17:B17"/>
    <mergeCell ref="A18:B18"/>
    <mergeCell ref="A19:B19"/>
    <mergeCell ref="A20:C20"/>
    <mergeCell ref="A21:B21"/>
    <mergeCell ref="A22:B22"/>
    <mergeCell ref="A23:B23"/>
    <mergeCell ref="A24:C24"/>
    <mergeCell ref="A25:C25"/>
    <mergeCell ref="A26:C26"/>
    <mergeCell ref="A27:C27"/>
    <mergeCell ref="A41:P41"/>
    <mergeCell ref="E49:H50"/>
    <mergeCell ref="I49:L50"/>
    <mergeCell ref="A58:D58"/>
    <mergeCell ref="A73:Q73"/>
    <mergeCell ref="M51:P51"/>
    <mergeCell ref="C43:D44"/>
    <mergeCell ref="A46:P46"/>
    <mergeCell ref="A48:D48"/>
    <mergeCell ref="E48:H48"/>
    <mergeCell ref="I48:L48"/>
    <mergeCell ref="M48:P48"/>
    <mergeCell ref="M49:P50"/>
    <mergeCell ref="A55:D56"/>
    <mergeCell ref="E55:H56"/>
    <mergeCell ref="I55:L56"/>
    <mergeCell ref="M55:P56"/>
    <mergeCell ref="A57:D57"/>
    <mergeCell ref="M52:P53"/>
  </mergeCells>
  <conditionalFormatting sqref="I76:I98">
    <cfRule type="cellIs" dxfId="6" priority="1" stopIfTrue="1" operator="lessThan">
      <formula>0</formula>
    </cfRule>
  </conditionalFormatting>
  <dataValidations count="1">
    <dataValidation type="decimal" allowBlank="1" showInputMessage="1" showErrorMessage="1" prompt="Introduce la tasa anual libre de riesgo como porcentaje (por ejemplo, 2,50 %)." sqref="C43" xr:uid="{00000000-0002-0000-0700-000000000000}">
      <formula1>0</formula1>
      <formula2>0.2</formula2>
    </dataValidation>
  </dataValidation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7A1E0"/>
    <outlinePr summaryBelow="0" summaryRight="0"/>
  </sheetPr>
  <dimension ref="A1:P115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59765625" defaultRowHeight="15" customHeight="1" x14ac:dyDescent="0.25"/>
  <cols>
    <col min="1" max="2" width="23.19921875" customWidth="1"/>
    <col min="3" max="3" width="32.59765625" customWidth="1"/>
    <col min="4" max="16" width="12.59765625" hidden="1"/>
  </cols>
  <sheetData>
    <row r="1" spans="1:3" ht="33" customHeight="1" x14ac:dyDescent="0.25">
      <c r="A1" s="105" t="s">
        <v>91</v>
      </c>
      <c r="B1" s="106"/>
      <c r="C1" s="106"/>
    </row>
    <row r="2" spans="1:3" ht="30" customHeight="1" x14ac:dyDescent="0.25">
      <c r="A2" s="107" t="s">
        <v>92</v>
      </c>
      <c r="B2" s="106"/>
      <c r="C2" s="106"/>
    </row>
    <row r="3" spans="1:3" ht="30" customHeight="1" x14ac:dyDescent="0.25">
      <c r="A3" s="107" t="s">
        <v>94</v>
      </c>
      <c r="B3" s="106"/>
      <c r="C3" s="19" t="str">
        <f>IF(AND(COUNT(Cartera!B2:B16)=15,MIN(Cartera!B2:B16)&gt;=0,ABS(SUM(Cartera!C2:C16)-1)&lt;0.000001),"OK","REVISAR")</f>
        <v>OK</v>
      </c>
    </row>
    <row r="4" spans="1:3" ht="30" customHeight="1" x14ac:dyDescent="0.25">
      <c r="A4" s="107" t="s">
        <v>98</v>
      </c>
      <c r="B4" s="106"/>
      <c r="C4" s="19" t="str">
        <f>IF(ABS(Cartera!B17-SUM(Cartera!B2:B16))&lt;0.01,"OK","REVISAR")</f>
        <v>OK</v>
      </c>
    </row>
    <row r="5" spans="1:3" ht="30" customHeight="1" x14ac:dyDescent="0.25">
      <c r="A5" s="107" t="s">
        <v>100</v>
      </c>
      <c r="B5" s="106"/>
      <c r="C5" s="19" t="str">
        <f>Objetivos!C22</f>
        <v>OK</v>
      </c>
    </row>
    <row r="6" spans="1:3" ht="30" customHeight="1" x14ac:dyDescent="0.25">
      <c r="A6" s="107" t="s">
        <v>102</v>
      </c>
      <c r="B6" s="106"/>
      <c r="C6" s="19" t="str">
        <f ca="1">IF(COUNTIF(K41:K75,"REVISAR")=0,"OK","REVISAR")</f>
        <v>OK</v>
      </c>
    </row>
    <row r="7" spans="1:3" ht="30" customHeight="1" x14ac:dyDescent="0.25">
      <c r="A7" s="107" t="s">
        <v>103</v>
      </c>
      <c r="B7" s="106"/>
      <c r="C7" s="19">
        <f ca="1">SUMPRODUCT(N(ISNUMBER(I42:I75)),N(E42:E75&lt;EOMONTH(TODAY(),-1)+1),N(ISNUMBER(J42:J75)=FALSE))</f>
        <v>0</v>
      </c>
    </row>
    <row r="8" spans="1:3" ht="30" customHeight="1" x14ac:dyDescent="0.25">
      <c r="A8" s="107" t="s">
        <v>106</v>
      </c>
      <c r="B8" s="106"/>
      <c r="C8" s="19">
        <f ca="1">SUMPRODUCT(N(E42:E75&lt;EOMONTH(TODAY(),-1)+1),N(ISNUMBER(F42:F75)=FALSE))</f>
        <v>0</v>
      </c>
    </row>
    <row r="9" spans="1:3" ht="30" customHeight="1" x14ac:dyDescent="0.25">
      <c r="A9" s="107" t="s">
        <v>109</v>
      </c>
      <c r="B9" s="106"/>
      <c r="C9" s="19">
        <f>SUMPRODUCT(N((LEN(Movimientos!A6:A505)+LEN(Movimientos!B6:B505)+LEN(Movimientos!C6:C505))&gt;0),N((ISNUMBER(Movimientos!D6:D505)*ISNUMBER(Movimientos!B6:B505))=0))</f>
        <v>0</v>
      </c>
    </row>
    <row r="10" spans="1:3" ht="30" customHeight="1" x14ac:dyDescent="0.25">
      <c r="A10" s="107" t="s">
        <v>112</v>
      </c>
      <c r="B10" s="106"/>
      <c r="C10" s="19">
        <f>SUMPRODUCT(N(Movimientos!A6:A505&lt;&gt;""),N(COUNTIFS(Movimientos!A6:A505,Movimientos!A6:A505,Movimientos!B6:B505,Movimientos!B6:B505,Movimientos!C6:C505,Movimientos!C6:C505)&gt;1))</f>
        <v>0</v>
      </c>
    </row>
    <row r="11" spans="1:3" ht="30" customHeight="1" x14ac:dyDescent="0.25">
      <c r="A11" s="107" t="s">
        <v>116</v>
      </c>
      <c r="B11" s="106"/>
      <c r="C11" s="19">
        <f>COUNTIFS(Movimientos!E6:E505,FALSE,Movimientos!C6:C505,"&lt;&gt;Fecha inferida*")</f>
        <v>0</v>
      </c>
    </row>
    <row r="12" spans="1:3" ht="30" customHeight="1" x14ac:dyDescent="0.25">
      <c r="A12" s="107" t="s">
        <v>117</v>
      </c>
      <c r="B12" s="106"/>
      <c r="C12" s="10">
        <f ca="1">IFERROR(Cartera!B17-LOOKUP(2,1/((Diario!B6:B370&lt;&gt;"")*(Diario!A6:A370&lt;=TODAY())),Diario!B6:B370),"")</f>
        <v>0</v>
      </c>
    </row>
    <row r="13" spans="1:3" ht="30" customHeight="1" x14ac:dyDescent="0.25">
      <c r="A13" s="107" t="s">
        <v>119</v>
      </c>
      <c r="B13" s="106"/>
      <c r="C13" s="106"/>
    </row>
    <row r="14" spans="1:3" ht="30" customHeight="1" x14ac:dyDescent="0.25">
      <c r="A14" s="107" t="s">
        <v>121</v>
      </c>
      <c r="B14" s="106"/>
      <c r="C14" s="19" t="str">
        <f ca="1">IF(OR(COUNTIF(C3:C6,"REVISAR")&gt;0,SUM(C7:C10)&gt;0,C20="REVISAR",C21&gt;0,C23&gt;0),"REVISAR",IF(ABS(C12)&gt;0.01,"AVISO","OK"))</f>
        <v>OK</v>
      </c>
    </row>
    <row r="15" spans="1:3" ht="30" customHeight="1" x14ac:dyDescent="0.25">
      <c r="A15" s="107" t="s">
        <v>123</v>
      </c>
      <c r="B15" s="106"/>
      <c r="C15" s="106"/>
    </row>
    <row r="16" spans="1:3" ht="30" customHeight="1" x14ac:dyDescent="0.25">
      <c r="A16" s="107" t="s">
        <v>124</v>
      </c>
      <c r="B16" s="106"/>
      <c r="C16" s="106"/>
    </row>
    <row r="17" spans="1:3" ht="30" customHeight="1" x14ac:dyDescent="0.25">
      <c r="A17" s="107" t="s">
        <v>125</v>
      </c>
      <c r="B17" s="106"/>
      <c r="C17" s="106"/>
    </row>
    <row r="18" spans="1:3" ht="30" customHeight="1" x14ac:dyDescent="0.25">
      <c r="A18" s="107" t="s">
        <v>126</v>
      </c>
      <c r="B18" s="106"/>
      <c r="C18" s="106"/>
    </row>
    <row r="19" spans="1:3" ht="30" customHeight="1" x14ac:dyDescent="0.25">
      <c r="A19" s="107" t="s">
        <v>127</v>
      </c>
      <c r="B19" s="106"/>
      <c r="C19" s="106"/>
    </row>
    <row r="20" spans="1:3" ht="36" customHeight="1" x14ac:dyDescent="0.25">
      <c r="A20" s="107" t="s">
        <v>128</v>
      </c>
      <c r="B20" s="106"/>
      <c r="C20" s="1" t="str">
        <f ca="1">IF(AND(ABS(Comparativa!D3/100-I42)&lt;0.00002,ABS(Comparativa!D4/100-I43)&lt;0.00002,ABS(Comparativa!D5/100-I44)&lt;0.00002,ABS(Comparativa!D6/100-I45)&lt;0.00002,ABS(Comparativa!D7/100-I46)&lt;0.00002,ABS(Comparativa!D8/100-I47)&lt;0.00002,ABS(Comparativa!D9/100-I48)&lt;0.00002,ABS(Comparativa!D10/100-I49)&lt;0.00002,ABS(Comparativa!D11/100-I50)&lt;0.00002,ABS(Comparativa!D12/100-I51)&lt;0.00002,ABS(Comparativa!D13/100-I52)&lt;0.00002,ABS(Comparativa!D14/100-I53)&lt;0.00002,ABS(Comparativa!D15/100-I54)&lt;0.00002,ABS(Comparativa!D16/100-I55)&lt;0.00002,ABS(Comparativa!D17/100-I56)&lt;0.00002,ABS(Comparativa!D18/100-I57)&lt;0.00002,ABS(Comparativa!D19/100-I58)&lt;0.00002,ABS(Comparativa!D20/100-I59)&lt;0.00002,ABS(Comparativa!D21/100-I60)&lt;0.00002),"OK","REVISAR")</f>
        <v>OK</v>
      </c>
    </row>
    <row r="21" spans="1:3" ht="36" customHeight="1" x14ac:dyDescent="0.25">
      <c r="A21" s="107" t="s">
        <v>129</v>
      </c>
      <c r="B21" s="106"/>
      <c r="C21" s="1">
        <f>SUMPRODUCT(N(Movimientos!E6:E505=FALSE),N(Movimientos!A6:A505&lt;&gt;""),N(COUNTIFS(Movimientos!D6:D505,"&gt;="&amp;Movimientos!D6:D505,Movimientos!D6:D505,"&lt;"&amp;IFERROR(EOMONTH(Movimientos!D6:D505,0)+1,0),Movimientos!E6:E505,TRUE)&gt;0))</f>
        <v>0</v>
      </c>
    </row>
    <row r="22" spans="1:3" ht="36" customHeight="1" x14ac:dyDescent="0.25">
      <c r="A22" s="107" t="s">
        <v>132</v>
      </c>
      <c r="B22" s="106"/>
      <c r="C22" s="75">
        <f ca="1">IFERROR(LOOKUP(2,1/((Diario!B6:B370&lt;&gt;"")*(Diario!A6:A370&lt;=TODAY())),Diario!A6:A370),"")</f>
        <v>46275</v>
      </c>
    </row>
    <row r="23" spans="1:3" ht="36" customHeight="1" x14ac:dyDescent="0.25">
      <c r="A23" s="107" t="s">
        <v>134</v>
      </c>
      <c r="B23" s="106"/>
      <c r="C23" s="1">
        <f ca="1">COUNTIFS(Diario!A6:A370,"&gt;"&amp;TODAY(),Diario!B6:B370,"&gt;=0")</f>
        <v>0</v>
      </c>
    </row>
    <row r="40" spans="5:14" ht="13.8" x14ac:dyDescent="0.25">
      <c r="E40" s="36" t="s">
        <v>21</v>
      </c>
      <c r="F40" s="36" t="s">
        <v>135</v>
      </c>
      <c r="G40" s="36" t="s">
        <v>136</v>
      </c>
      <c r="H40" s="36" t="s">
        <v>137</v>
      </c>
      <c r="I40" s="36" t="s">
        <v>138</v>
      </c>
      <c r="J40" s="36" t="s">
        <v>139</v>
      </c>
      <c r="K40" s="36" t="s">
        <v>140</v>
      </c>
      <c r="L40" s="36" t="s">
        <v>141</v>
      </c>
      <c r="M40" s="36" t="s">
        <v>142</v>
      </c>
      <c r="N40" s="36" t="s">
        <v>143</v>
      </c>
    </row>
    <row r="41" spans="5:14" ht="13.8" x14ac:dyDescent="0.25">
      <c r="E41" s="77">
        <f>DATE(2025,2,1)</f>
        <v>45689</v>
      </c>
      <c r="F41" s="78">
        <f>IF(Evolucion!B3="","",Evolucion!B3)</f>
        <v>52428</v>
      </c>
      <c r="G41" s="78">
        <f>IF(F41="","",Evolucion!$C$3+SUMIFS(Movimientos!$B$6:$B$505,Movimientos!$D$6:$D$505,"&lt;="&amp;EOMONTH(E41,0),Movimientos!$D$6:$D$505,"&gt;="&amp;DATE(2025,2,1)))</f>
        <v>52428</v>
      </c>
      <c r="H41" s="78">
        <f t="shared" ref="H41:H75" si="0">IF(F41="","",F41-G41)</f>
        <v>0</v>
      </c>
      <c r="I41" s="36" t="str">
        <f>""</f>
        <v/>
      </c>
      <c r="J41" s="36">
        <f>IF(Comparativa!E2="","",Comparativa!E2/100)</f>
        <v>0</v>
      </c>
      <c r="K41" s="36" t="str">
        <f>"BASE"</f>
        <v>BASE</v>
      </c>
      <c r="L41" s="79">
        <f>IF(F41="","",Evolucion!C3)</f>
        <v>51728</v>
      </c>
      <c r="M41" s="79">
        <f>IF(F41="","",Evolucion!D3)</f>
        <v>700</v>
      </c>
      <c r="N41" s="79">
        <f>IF(F41="","",Evolucion!E3)</f>
        <v>0</v>
      </c>
    </row>
    <row r="42" spans="5:14" ht="13.8" x14ac:dyDescent="0.25">
      <c r="E42" s="77">
        <f>DATE(2025,3,1)</f>
        <v>45717</v>
      </c>
      <c r="F42" s="78">
        <f>IF(Evolucion!B4="","",Evolucion!B4)</f>
        <v>55139</v>
      </c>
      <c r="G42" s="78">
        <f>IF(F42="","",Evolucion!$C$3+SUMIFS(Movimientos!$B$6:$B$505,Movimientos!$D$6:$D$505,"&lt;="&amp;EOMONTH(E42,0),Movimientos!$D$6:$D$505,"&gt;="&amp;DATE(2025,2,1)))</f>
        <v>53128</v>
      </c>
      <c r="H42" s="78">
        <f t="shared" si="0"/>
        <v>2011</v>
      </c>
      <c r="I42" s="36">
        <f>IF(Evolucion!F4="","",Evolucion!F4/100)</f>
        <v>3.8357366292820716E-2</v>
      </c>
      <c r="J42" s="36">
        <f>IF(Comparativa!E3="","",Comparativa!E3/100)</f>
        <v>-6.9699999999999998E-2</v>
      </c>
      <c r="K42" s="36" t="str">
        <f t="shared" ref="K42:K75" si="1">IF(F42="","SIN DATO",IF(AND(ISNUMBER(I42),ABS(F42-L42-M42-N42)&lt;0.01,ABS(I42-IFERROR((F42-L42-M42)/L42,999))&lt;0.00002),"OK","REVISAR"))</f>
        <v>OK</v>
      </c>
      <c r="L42" s="79">
        <f>IF(F42="","",Evolucion!C4)</f>
        <v>52428</v>
      </c>
      <c r="M42" s="79">
        <f>IF(F42="","",Evolucion!D4)</f>
        <v>700</v>
      </c>
      <c r="N42" s="79">
        <f>IF(F42="","",Evolucion!E4)</f>
        <v>2011</v>
      </c>
    </row>
    <row r="43" spans="5:14" ht="13.8" x14ac:dyDescent="0.25">
      <c r="E43" s="77">
        <f>DATE(2025,4,1)</f>
        <v>45748</v>
      </c>
      <c r="F43" s="78">
        <f>IF(Evolucion!B5="","",Evolucion!B5)</f>
        <v>57033</v>
      </c>
      <c r="G43" s="78">
        <f>IF(F43="","",Evolucion!$C$3+SUMIFS(Movimientos!$B$6:$B$505,Movimientos!$D$6:$D$505,"&lt;="&amp;EOMONTH(E43,0),Movimientos!$D$6:$D$505,"&gt;="&amp;DATE(2025,2,1)))</f>
        <v>53828</v>
      </c>
      <c r="H43" s="78">
        <f t="shared" si="0"/>
        <v>3205</v>
      </c>
      <c r="I43" s="36">
        <f>IF(Evolucion!F5="","",Evolucion!F5/100)</f>
        <v>2.1654364424454453E-2</v>
      </c>
      <c r="J43" s="36">
        <f>IF(Comparativa!E4="","",Comparativa!E4/100)</f>
        <v>-4.1200000000000001E-2</v>
      </c>
      <c r="K43" s="36" t="str">
        <f t="shared" si="1"/>
        <v>OK</v>
      </c>
      <c r="L43" s="79">
        <f>IF(F43="","",Evolucion!C5)</f>
        <v>55139</v>
      </c>
      <c r="M43" s="79">
        <f>IF(F43="","",Evolucion!D5)</f>
        <v>700</v>
      </c>
      <c r="N43" s="79">
        <f>IF(F43="","",Evolucion!E5)</f>
        <v>1194</v>
      </c>
    </row>
    <row r="44" spans="5:14" ht="13.8" x14ac:dyDescent="0.25">
      <c r="E44" s="77">
        <f>DATE(2025,5,1)</f>
        <v>45778</v>
      </c>
      <c r="F44" s="78">
        <f>IF(Evolucion!B6="","",Evolucion!B6)</f>
        <v>59028</v>
      </c>
      <c r="G44" s="78">
        <f>IF(F44="","",Evolucion!$C$3+SUMIFS(Movimientos!$B$6:$B$505,Movimientos!$D$6:$D$505,"&lt;="&amp;EOMONTH(E44,0),Movimientos!$D$6:$D$505,"&gt;="&amp;DATE(2025,2,1)))</f>
        <v>54528</v>
      </c>
      <c r="H44" s="78">
        <f t="shared" si="0"/>
        <v>4500</v>
      </c>
      <c r="I44" s="36">
        <f>IF(Evolucion!F6="","",Evolucion!F6/100)</f>
        <v>2.2706152578331862E-2</v>
      </c>
      <c r="J44" s="36">
        <f>IF(Comparativa!E5="","",Comparativa!E5/100)</f>
        <v>6.0700000000000004E-2</v>
      </c>
      <c r="K44" s="36" t="str">
        <f t="shared" si="1"/>
        <v>OK</v>
      </c>
      <c r="L44" s="79">
        <f>IF(F44="","",Evolucion!C6)</f>
        <v>57033</v>
      </c>
      <c r="M44" s="79">
        <f>IF(F44="","",Evolucion!D6)</f>
        <v>700</v>
      </c>
      <c r="N44" s="79">
        <f>IF(F44="","",Evolucion!E6)</f>
        <v>1295</v>
      </c>
    </row>
    <row r="45" spans="5:14" ht="13.8" x14ac:dyDescent="0.25">
      <c r="E45" s="77">
        <f>DATE(2025,6,1)</f>
        <v>45809</v>
      </c>
      <c r="F45" s="78">
        <f>IF(Evolucion!B7="","",Evolucion!B7)</f>
        <v>60385</v>
      </c>
      <c r="G45" s="78">
        <f>IF(F45="","",Evolucion!$C$3+SUMIFS(Movimientos!$B$6:$B$505,Movimientos!$D$6:$D$505,"&lt;="&amp;EOMONTH(E45,0),Movimientos!$D$6:$D$505,"&gt;="&amp;DATE(2025,2,1)))</f>
        <v>55228</v>
      </c>
      <c r="H45" s="78">
        <f t="shared" si="0"/>
        <v>5157</v>
      </c>
      <c r="I45" s="36">
        <f>IF(Evolucion!F7="","",Evolucion!F7/100)</f>
        <v>1.1130311038828999E-2</v>
      </c>
      <c r="J45" s="36">
        <f>IF(Comparativa!E6="","",Comparativa!E6/100)</f>
        <v>8.8000000000000005E-3</v>
      </c>
      <c r="K45" s="36" t="str">
        <f t="shared" si="1"/>
        <v>OK</v>
      </c>
      <c r="L45" s="79">
        <f>IF(F45="","",Evolucion!C7)</f>
        <v>59028</v>
      </c>
      <c r="M45" s="79">
        <f>IF(F45="","",Evolucion!D7)</f>
        <v>700</v>
      </c>
      <c r="N45" s="79">
        <f>IF(F45="","",Evolucion!E7)</f>
        <v>657</v>
      </c>
    </row>
    <row r="46" spans="5:14" ht="13.8" x14ac:dyDescent="0.25">
      <c r="E46" s="77">
        <f>DATE(2025,7,1)</f>
        <v>45839</v>
      </c>
      <c r="F46" s="78">
        <f>IF(Evolucion!B8="","",Evolucion!B8)</f>
        <v>61988</v>
      </c>
      <c r="G46" s="78">
        <f>IF(F46="","",Evolucion!$C$3+SUMIFS(Movimientos!$B$6:$B$505,Movimientos!$D$6:$D$505,"&lt;="&amp;EOMONTH(E46,0),Movimientos!$D$6:$D$505,"&gt;="&amp;DATE(2025,2,1)))</f>
        <v>55928</v>
      </c>
      <c r="H46" s="78">
        <f t="shared" si="0"/>
        <v>6060</v>
      </c>
      <c r="I46" s="36">
        <f>IF(Evolucion!F8="","",Evolucion!F8/100)</f>
        <v>1.4954044878695116E-2</v>
      </c>
      <c r="J46" s="36">
        <f>IF(Comparativa!E7="","",Comparativa!E7/100)</f>
        <v>3.8599999999999995E-2</v>
      </c>
      <c r="K46" s="36" t="str">
        <f t="shared" si="1"/>
        <v>OK</v>
      </c>
      <c r="L46" s="79">
        <f>IF(F46="","",Evolucion!C8)</f>
        <v>60385</v>
      </c>
      <c r="M46" s="79">
        <f>IF(F46="","",Evolucion!D8)</f>
        <v>700</v>
      </c>
      <c r="N46" s="79">
        <f>IF(F46="","",Evolucion!E8)</f>
        <v>903</v>
      </c>
    </row>
    <row r="47" spans="5:14" ht="13.8" x14ac:dyDescent="0.25">
      <c r="E47" s="77">
        <f>DATE(2025,8,1)</f>
        <v>45870</v>
      </c>
      <c r="F47" s="78">
        <f>IF(Evolucion!B9="","",Evolucion!B9)</f>
        <v>63184</v>
      </c>
      <c r="G47" s="78">
        <f>IF(F47="","",Evolucion!$C$3+SUMIFS(Movimientos!$B$6:$B$505,Movimientos!$D$6:$D$505,"&lt;="&amp;EOMONTH(E47,0),Movimientos!$D$6:$D$505,"&gt;="&amp;DATE(2025,2,1)))</f>
        <v>56628</v>
      </c>
      <c r="H47" s="78">
        <f t="shared" si="0"/>
        <v>6556</v>
      </c>
      <c r="I47" s="36">
        <f>IF(Evolucion!F9="","",Evolucion!F9/100)</f>
        <v>8.0015486868425523E-3</v>
      </c>
      <c r="J47" s="36">
        <f>IF(Comparativa!E8="","",Comparativa!E8/100)</f>
        <v>3.2000000000000002E-3</v>
      </c>
      <c r="K47" s="36" t="str">
        <f t="shared" si="1"/>
        <v>OK</v>
      </c>
      <c r="L47" s="79">
        <f>IF(F47="","",Evolucion!C9)</f>
        <v>61988</v>
      </c>
      <c r="M47" s="79">
        <f>IF(F47="","",Evolucion!D9)</f>
        <v>700</v>
      </c>
      <c r="N47" s="79">
        <f>IF(F47="","",Evolucion!E9)</f>
        <v>496</v>
      </c>
    </row>
    <row r="48" spans="5:14" ht="13.8" x14ac:dyDescent="0.25">
      <c r="E48" s="77">
        <f>DATE(2025,9,1)</f>
        <v>45901</v>
      </c>
      <c r="F48" s="78">
        <f>IF(Evolucion!B10="","",Evolucion!B10)</f>
        <v>67169</v>
      </c>
      <c r="G48" s="78">
        <f>IF(F48="","",Evolucion!$C$3+SUMIFS(Movimientos!$B$6:$B$505,Movimientos!$D$6:$D$505,"&lt;="&amp;EOMONTH(E48,0),Movimientos!$D$6:$D$505,"&gt;="&amp;DATE(2025,2,1)))</f>
        <v>57328</v>
      </c>
      <c r="H48" s="78">
        <f t="shared" si="0"/>
        <v>9841</v>
      </c>
      <c r="I48" s="36">
        <f>IF(Evolucion!F10="","",Evolucion!F10/100)</f>
        <v>5.1991010382375302E-2</v>
      </c>
      <c r="J48" s="36">
        <f>IF(Comparativa!E9="","",Comparativa!E9/100)</f>
        <v>2.81E-2</v>
      </c>
      <c r="K48" s="36" t="str">
        <f t="shared" si="1"/>
        <v>OK</v>
      </c>
      <c r="L48" s="79">
        <f>IF(F48="","",Evolucion!C10)</f>
        <v>63184</v>
      </c>
      <c r="M48" s="79">
        <f>IF(F48="","",Evolucion!D10)</f>
        <v>700</v>
      </c>
      <c r="N48" s="79">
        <f>IF(F48="","",Evolucion!E10)</f>
        <v>3285</v>
      </c>
    </row>
    <row r="49" spans="5:14" ht="13.8" x14ac:dyDescent="0.25">
      <c r="E49" s="77">
        <f>DATE(2025,10,1)</f>
        <v>45931</v>
      </c>
      <c r="F49" s="78">
        <f>IF(Evolucion!B11="","",Evolucion!B11)</f>
        <v>69786</v>
      </c>
      <c r="G49" s="78">
        <f>IF(F49="","",Evolucion!$C$3+SUMIFS(Movimientos!$B$6:$B$505,Movimientos!$D$6:$D$505,"&lt;="&amp;EOMONTH(E49,0),Movimientos!$D$6:$D$505,"&gt;="&amp;DATE(2025,2,1)))</f>
        <v>58028</v>
      </c>
      <c r="H49" s="78">
        <f t="shared" si="0"/>
        <v>11758</v>
      </c>
      <c r="I49" s="36">
        <f>IF(Evolucion!F11="","",Evolucion!F11/100)</f>
        <v>2.8539951465705871E-2</v>
      </c>
      <c r="J49" s="36">
        <f>IF(Comparativa!E10="","",Comparativa!E10/100)</f>
        <v>3.8300000000000001E-2</v>
      </c>
      <c r="K49" s="36" t="str">
        <f t="shared" si="1"/>
        <v>OK</v>
      </c>
      <c r="L49" s="79">
        <f>IF(F49="","",Evolucion!C11)</f>
        <v>67169</v>
      </c>
      <c r="M49" s="79">
        <f>IF(F49="","",Evolucion!D11)</f>
        <v>700</v>
      </c>
      <c r="N49" s="79">
        <f>IF(F49="","",Evolucion!E11)</f>
        <v>1917</v>
      </c>
    </row>
    <row r="50" spans="5:14" ht="13.8" x14ac:dyDescent="0.25">
      <c r="E50" s="77">
        <f>DATE(2025,11,1)</f>
        <v>45962</v>
      </c>
      <c r="F50" s="78">
        <f>IF(Evolucion!B12="","",Evolucion!B12)</f>
        <v>70299</v>
      </c>
      <c r="G50" s="78">
        <f>IF(F50="","",Evolucion!$C$3+SUMIFS(Movimientos!$B$6:$B$505,Movimientos!$D$6:$D$505,"&lt;="&amp;EOMONTH(E50,0),Movimientos!$D$6:$D$505,"&gt;="&amp;DATE(2025,2,1)))</f>
        <v>58728</v>
      </c>
      <c r="H50" s="78">
        <f t="shared" si="0"/>
        <v>11571</v>
      </c>
      <c r="I50" s="36">
        <f>IF(Evolucion!F12="","",Evolucion!F12/100)</f>
        <v>-2.6796205542658491E-3</v>
      </c>
      <c r="J50" s="36">
        <f>IF(Comparativa!E11="","",Comparativa!E11/100)</f>
        <v>-2.7000000000000001E-3</v>
      </c>
      <c r="K50" s="36" t="str">
        <f t="shared" si="1"/>
        <v>OK</v>
      </c>
      <c r="L50" s="79">
        <f>IF(F50="","",Evolucion!C12)</f>
        <v>69786</v>
      </c>
      <c r="M50" s="79">
        <f>IF(F50="","",Evolucion!D12)</f>
        <v>700</v>
      </c>
      <c r="N50" s="79">
        <f>IF(F50="","",Evolucion!E12)</f>
        <v>-187</v>
      </c>
    </row>
    <row r="51" spans="5:14" ht="13.8" x14ac:dyDescent="0.25">
      <c r="E51" s="77">
        <f>DATE(2025,12,1)</f>
        <v>45992</v>
      </c>
      <c r="F51" s="78">
        <f>IF(Evolucion!B13="","",Evolucion!B13)</f>
        <v>73708</v>
      </c>
      <c r="G51" s="78">
        <f>IF(F51="","",Evolucion!$C$3+SUMIFS(Movimientos!$B$6:$B$505,Movimientos!$D$6:$D$505,"&lt;="&amp;EOMONTH(E51,0),Movimientos!$D$6:$D$505,"&gt;="&amp;DATE(2025,2,1)))</f>
        <v>59428</v>
      </c>
      <c r="H51" s="78">
        <f t="shared" si="0"/>
        <v>14280</v>
      </c>
      <c r="I51" s="36">
        <f>IF(Evolucion!F13="","",Evolucion!F13/100)</f>
        <v>3.8535398796568865E-2</v>
      </c>
      <c r="J51" s="36">
        <f>IF(Comparativa!E12="","",Comparativa!E12/100)</f>
        <v>-4.0000000000000001E-3</v>
      </c>
      <c r="K51" s="36" t="str">
        <f t="shared" si="1"/>
        <v>OK</v>
      </c>
      <c r="L51" s="79">
        <f>IF(F51="","",Evolucion!C13)</f>
        <v>70299</v>
      </c>
      <c r="M51" s="79">
        <f>IF(F51="","",Evolucion!D13)</f>
        <v>700</v>
      </c>
      <c r="N51" s="79">
        <f>IF(F51="","",Evolucion!E13)</f>
        <v>2709</v>
      </c>
    </row>
    <row r="52" spans="5:14" ht="13.8" x14ac:dyDescent="0.25">
      <c r="E52" s="77">
        <f>DATE(2026,1,1)</f>
        <v>46023</v>
      </c>
      <c r="F52" s="78">
        <f>IF(Evolucion!B19="","",Evolucion!B19)</f>
        <v>76000</v>
      </c>
      <c r="G52" s="78">
        <f>IF(F52="","",Evolucion!$C$3+SUMIFS(Movimientos!$B$6:$B$505,Movimientos!$D$6:$D$505,"&lt;="&amp;EOMONTH(E52,0),Movimientos!$D$6:$D$505,"&gt;="&amp;DATE(2025,2,1)))</f>
        <v>59928</v>
      </c>
      <c r="H52" s="78">
        <f t="shared" si="0"/>
        <v>16072</v>
      </c>
      <c r="I52" s="36">
        <f>IF(Evolucion!F19="","",Evolucion!F19/100)</f>
        <v>2.4312150648504893E-2</v>
      </c>
      <c r="J52" s="36">
        <f>IF(Comparativa!E13="","",Comparativa!E13/100)</f>
        <v>9.1999999999999998E-3</v>
      </c>
      <c r="K52" s="36" t="str">
        <f t="shared" si="1"/>
        <v>OK</v>
      </c>
      <c r="L52" s="79">
        <f>IF(F52="","",Evolucion!C19)</f>
        <v>73708</v>
      </c>
      <c r="M52" s="79">
        <f>IF(F52="","",Evolucion!D19)</f>
        <v>500</v>
      </c>
      <c r="N52" s="79">
        <f>IF(F52="","",Evolucion!E19)</f>
        <v>1792</v>
      </c>
    </row>
    <row r="53" spans="5:14" ht="13.8" x14ac:dyDescent="0.25">
      <c r="E53" s="77">
        <f>DATE(2026,2,1)</f>
        <v>46054</v>
      </c>
      <c r="F53" s="78">
        <f>IF(Evolucion!B20="","",Evolucion!B20)</f>
        <v>76422</v>
      </c>
      <c r="G53" s="78">
        <f>IF(F53="","",Evolucion!$C$3+SUMIFS(Movimientos!$B$6:$B$505,Movimientos!$D$6:$D$505,"&lt;="&amp;EOMONTH(E53,0),Movimientos!$D$6:$D$505,"&gt;="&amp;DATE(2025,2,1)))</f>
        <v>60628</v>
      </c>
      <c r="H53" s="78">
        <f t="shared" si="0"/>
        <v>15794</v>
      </c>
      <c r="I53" s="36">
        <f>IF(Evolucion!F20="","",Evolucion!F20/100)</f>
        <v>-3.6578947368420822E-3</v>
      </c>
      <c r="J53" s="36">
        <f>IF(Comparativa!E14="","",Comparativa!E14/100)</f>
        <v>1.49E-2</v>
      </c>
      <c r="K53" s="36" t="str">
        <f t="shared" si="1"/>
        <v>OK</v>
      </c>
      <c r="L53" s="79">
        <f>IF(F53="","",Evolucion!C20)</f>
        <v>76000</v>
      </c>
      <c r="M53" s="79">
        <f>IF(F53="","",Evolucion!D20)</f>
        <v>700</v>
      </c>
      <c r="N53" s="79">
        <f>IF(F53="","",Evolucion!E20)</f>
        <v>-278</v>
      </c>
    </row>
    <row r="54" spans="5:14" ht="13.8" x14ac:dyDescent="0.25">
      <c r="E54" s="77">
        <f>DATE(2026,3,1)</f>
        <v>46082</v>
      </c>
      <c r="F54" s="78">
        <f>IF(Evolucion!B21="","",Evolucion!B21)</f>
        <v>72950</v>
      </c>
      <c r="G54" s="78">
        <f>IF(F54="","",Evolucion!$C$3+SUMIFS(Movimientos!$B$6:$B$505,Movimientos!$D$6:$D$505,"&lt;="&amp;EOMONTH(E54,0),Movimientos!$D$6:$D$505,"&gt;="&amp;DATE(2025,2,1)))</f>
        <v>61228</v>
      </c>
      <c r="H54" s="78">
        <f t="shared" si="0"/>
        <v>11722</v>
      </c>
      <c r="I54" s="36">
        <f>IF(Evolucion!F21="","",Evolucion!F21/100)</f>
        <v>-5.3283086022349553E-2</v>
      </c>
      <c r="J54" s="36">
        <f>IF(Comparativa!E15="","",Comparativa!E15/100)</f>
        <v>-4.0399999999999998E-2</v>
      </c>
      <c r="K54" s="36" t="str">
        <f t="shared" si="1"/>
        <v>OK</v>
      </c>
      <c r="L54" s="79">
        <f>IF(F54="","",Evolucion!C21)</f>
        <v>76422</v>
      </c>
      <c r="M54" s="79">
        <f>IF(F54="","",Evolucion!D21)</f>
        <v>600</v>
      </c>
      <c r="N54" s="79">
        <f>IF(F54="","",Evolucion!E21)</f>
        <v>-4072</v>
      </c>
    </row>
    <row r="55" spans="5:14" ht="13.8" x14ac:dyDescent="0.25">
      <c r="E55" s="77">
        <f>DATE(2026,4,1)</f>
        <v>46113</v>
      </c>
      <c r="F55" s="78">
        <f>IF(Evolucion!B22="","",Evolucion!B22)</f>
        <v>76207</v>
      </c>
      <c r="G55" s="78">
        <f>IF(F55="","",Evolucion!$C$3+SUMIFS(Movimientos!$B$6:$B$505,Movimientos!$D$6:$D$505,"&lt;="&amp;EOMONTH(E55,0),Movimientos!$D$6:$D$505,"&gt;="&amp;DATE(2025,2,1)))</f>
        <v>60528</v>
      </c>
      <c r="H55" s="78">
        <f t="shared" si="0"/>
        <v>15679</v>
      </c>
      <c r="I55" s="36">
        <f>IF(Evolucion!F22="","",Evolucion!F22/100)</f>
        <v>5.4242631939684705E-2</v>
      </c>
      <c r="J55" s="36">
        <f>IF(Comparativa!E16="","",Comparativa!E16/100)</f>
        <v>7.6499999999999999E-2</v>
      </c>
      <c r="K55" s="36" t="str">
        <f t="shared" si="1"/>
        <v>OK</v>
      </c>
      <c r="L55" s="79">
        <f>IF(F55="","",Evolucion!C22)</f>
        <v>72950</v>
      </c>
      <c r="M55" s="79">
        <f>IF(F55="","",Evolucion!D22)</f>
        <v>-700</v>
      </c>
      <c r="N55" s="79">
        <f>IF(F55="","",Evolucion!E22)</f>
        <v>3957</v>
      </c>
    </row>
    <row r="56" spans="5:14" ht="13.8" x14ac:dyDescent="0.25">
      <c r="E56" s="77">
        <f>DATE(2026,5,1)</f>
        <v>46143</v>
      </c>
      <c r="F56" s="78">
        <f>IF(Evolucion!B23="","",Evolucion!B23)</f>
        <v>79485</v>
      </c>
      <c r="G56" s="78">
        <f>IF(F56="","",Evolucion!$C$3+SUMIFS(Movimientos!$B$6:$B$505,Movimientos!$D$6:$D$505,"&lt;="&amp;EOMONTH(E56,0),Movimientos!$D$6:$D$505,"&gt;="&amp;DATE(2025,2,1)))</f>
        <v>59828</v>
      </c>
      <c r="H56" s="78">
        <f t="shared" si="0"/>
        <v>19657</v>
      </c>
      <c r="I56" s="36">
        <f>IF(Evolucion!F23="","",Evolucion!F23/100)</f>
        <v>5.219992914036764E-2</v>
      </c>
      <c r="J56" s="36">
        <f>IF(Comparativa!E17="","",Comparativa!E17/100)</f>
        <v>5.0999999999999997E-2</v>
      </c>
      <c r="K56" s="36" t="str">
        <f t="shared" si="1"/>
        <v>OK</v>
      </c>
      <c r="L56" s="79">
        <f>IF(F56="","",Evolucion!C23)</f>
        <v>76207</v>
      </c>
      <c r="M56" s="79">
        <f>IF(F56="","",Evolucion!D23)</f>
        <v>-700</v>
      </c>
      <c r="N56" s="79">
        <f>IF(F56="","",Evolucion!E23)</f>
        <v>3978</v>
      </c>
    </row>
    <row r="57" spans="5:14" ht="13.8" x14ac:dyDescent="0.25">
      <c r="E57" s="77">
        <f>DATE(2026,6,1)</f>
        <v>46174</v>
      </c>
      <c r="F57" s="78">
        <f>IF(Evolucion!B24="","",Evolucion!B24)</f>
        <v>76115</v>
      </c>
      <c r="G57" s="78">
        <f>IF(F57="","",Evolucion!$C$3+SUMIFS(Movimientos!$B$6:$B$505,Movimientos!$D$6:$D$505,"&lt;="&amp;EOMONTH(E57,0),Movimientos!$D$6:$D$505,"&gt;="&amp;DATE(2025,2,1)))</f>
        <v>56388</v>
      </c>
      <c r="H57" s="78">
        <f t="shared" si="0"/>
        <v>19727</v>
      </c>
      <c r="I57" s="36">
        <f>IF(Evolucion!F24="","",Evolucion!F24/100)</f>
        <v>8.806693086746975E-4</v>
      </c>
      <c r="J57" s="36">
        <f>IF(Comparativa!E18="","",Comparativa!E18/100)</f>
        <v>1.3300000000000001E-2</v>
      </c>
      <c r="K57" s="36" t="str">
        <f t="shared" si="1"/>
        <v>OK</v>
      </c>
      <c r="L57" s="79">
        <f>IF(F57="","",Evolucion!C24)</f>
        <v>79485</v>
      </c>
      <c r="M57" s="79">
        <f>IF(F57="","",Evolucion!D24)</f>
        <v>-3440</v>
      </c>
      <c r="N57" s="79">
        <f>IF(F57="","",Evolucion!E24)</f>
        <v>70</v>
      </c>
    </row>
    <row r="58" spans="5:14" ht="13.8" x14ac:dyDescent="0.25">
      <c r="E58" s="77">
        <f>DATE(2026,7,1)</f>
        <v>46204</v>
      </c>
      <c r="F58" s="78">
        <f ca="1">IF(Evolucion!B25="","",Evolucion!B25)</f>
        <v>83862</v>
      </c>
      <c r="G58" s="78">
        <f ca="1">IF(F58="","",Evolucion!$C$3+SUMIFS(Movimientos!$B$6:$B$505,Movimientos!$D$6:$D$505,"&lt;="&amp;EOMONTH(E58,0),Movimientos!$D$6:$D$505,"&gt;="&amp;DATE(2025,2,1)))</f>
        <v>62388</v>
      </c>
      <c r="H58" s="78">
        <f t="shared" ca="1" si="0"/>
        <v>21474</v>
      </c>
      <c r="I58" s="36">
        <f ca="1">IF(Evolucion!F25="","",Evolucion!F25/100)</f>
        <v>2.2952111935886421E-2</v>
      </c>
      <c r="J58" s="36">
        <f>IF(Comparativa!E19="","",Comparativa!E19/100)</f>
        <v>-1.4000000000000002E-3</v>
      </c>
      <c r="K58" s="36" t="str">
        <f t="shared" ca="1" si="1"/>
        <v>OK</v>
      </c>
      <c r="L58" s="79">
        <f ca="1">IF(F58="","",Evolucion!C25)</f>
        <v>76115</v>
      </c>
      <c r="M58" s="79">
        <f ca="1">IF(F58="","",Evolucion!D25)</f>
        <v>6000</v>
      </c>
      <c r="N58" s="79">
        <f ca="1">IF(F58="","",Evolucion!E25)</f>
        <v>1747</v>
      </c>
    </row>
    <row r="59" spans="5:14" ht="13.8" x14ac:dyDescent="0.25">
      <c r="E59" s="77">
        <f>DATE(2026,8,1)</f>
        <v>46235</v>
      </c>
      <c r="F59" s="78">
        <f ca="1">IF(Evolucion!B26="","",Evolucion!B26)</f>
        <v>86713</v>
      </c>
      <c r="G59" s="78">
        <f ca="1">IF(F59="","",Evolucion!$C$3+SUMIFS(Movimientos!$B$6:$B$505,Movimientos!$D$6:$D$505,"&lt;="&amp;EOMONTH(E59,0),Movimientos!$D$6:$D$505,"&gt;="&amp;DATE(2025,2,1)))</f>
        <v>63896</v>
      </c>
      <c r="H59" s="78">
        <f t="shared" ca="1" si="0"/>
        <v>22817</v>
      </c>
      <c r="I59" s="36">
        <f ca="1">IF(Evolucion!F26="","",Evolucion!F26/100)</f>
        <v>1.6014404617109124E-2</v>
      </c>
      <c r="J59" s="36">
        <f>IF(Comparativa!E20="","",Comparativa!E20/100)</f>
        <v>1.5900000000000001E-2</v>
      </c>
      <c r="K59" s="36" t="str">
        <f t="shared" ca="1" si="1"/>
        <v>OK</v>
      </c>
      <c r="L59" s="79">
        <f ca="1">IF(F59="","",Evolucion!C26)</f>
        <v>83862</v>
      </c>
      <c r="M59" s="79">
        <f ca="1">IF(F59="","",Evolucion!D26)</f>
        <v>1508</v>
      </c>
      <c r="N59" s="79">
        <f ca="1">IF(F59="","",Evolucion!E26)</f>
        <v>1343</v>
      </c>
    </row>
    <row r="60" spans="5:14" ht="13.8" x14ac:dyDescent="0.25">
      <c r="E60" s="77">
        <f>DATE(2026,9,1)</f>
        <v>46266</v>
      </c>
      <c r="F60" s="78">
        <f ca="1">IF(Evolucion!B27="","",Evolucion!B27)</f>
        <v>85387</v>
      </c>
      <c r="G60" s="78">
        <f ca="1">IF(F60="","",Evolucion!$C$3+SUMIFS(Movimientos!$B$6:$B$505,Movimientos!$D$6:$D$505,"&lt;="&amp;EOMONTH(E60,0),Movimientos!$D$6:$D$505,"&gt;="&amp;DATE(2025,2,1)))</f>
        <v>63896</v>
      </c>
      <c r="H60" s="78">
        <f t="shared" ca="1" si="0"/>
        <v>21491</v>
      </c>
      <c r="I60" s="36">
        <f ca="1">IF(Evolucion!F27="","",Evolucion!F27/100)</f>
        <v>-1.5291824755227057E-2</v>
      </c>
      <c r="J60" s="36">
        <f>IF(Comparativa!E21="","",Comparativa!E21/100)</f>
        <v>-8.199999999999999E-3</v>
      </c>
      <c r="K60" s="36" t="str">
        <f t="shared" ca="1" si="1"/>
        <v>OK</v>
      </c>
      <c r="L60" s="79">
        <f ca="1">IF(F60="","",Evolucion!C27)</f>
        <v>86713</v>
      </c>
      <c r="M60" s="79">
        <f ca="1">IF(F60="","",Evolucion!D27)</f>
        <v>0</v>
      </c>
      <c r="N60" s="79">
        <f ca="1">IF(F60="","",Evolucion!E27)</f>
        <v>-1326</v>
      </c>
    </row>
    <row r="61" spans="5:14" ht="13.8" x14ac:dyDescent="0.25">
      <c r="E61" s="77">
        <f>DATE(2026,10,1)</f>
        <v>46296</v>
      </c>
      <c r="F61" s="78" t="str">
        <f ca="1">IF(Evolucion!B28="","",Evolucion!B28)</f>
        <v/>
      </c>
      <c r="G61" s="78" t="str">
        <f ca="1">IF(F61="","",Evolucion!$C$3+SUMIFS(Movimientos!$B$6:$B$505,Movimientos!$D$6:$D$505,"&lt;="&amp;EOMONTH(E61,0),Movimientos!$D$6:$D$505,"&gt;="&amp;DATE(2025,2,1)))</f>
        <v/>
      </c>
      <c r="H61" s="78" t="str">
        <f t="shared" ca="1" si="0"/>
        <v/>
      </c>
      <c r="I61" s="36" t="str">
        <f ca="1">IF(Evolucion!F28="","",Evolucion!F28/100)</f>
        <v/>
      </c>
      <c r="J61" s="36" t="str">
        <f>IF(Comparativa!E22="","",Comparativa!E22/100)</f>
        <v/>
      </c>
      <c r="K61" s="36" t="str">
        <f t="shared" ca="1" si="1"/>
        <v>SIN DATO</v>
      </c>
      <c r="L61" s="36" t="str">
        <f ca="1">IF(F61="","",Evolucion!C28)</f>
        <v/>
      </c>
      <c r="M61" s="36" t="str">
        <f ca="1">IF(F61="","",Evolucion!D28)</f>
        <v/>
      </c>
      <c r="N61" s="36" t="str">
        <f ca="1">IF(F61="","",Evolucion!E28)</f>
        <v/>
      </c>
    </row>
    <row r="62" spans="5:14" ht="13.8" x14ac:dyDescent="0.25">
      <c r="E62" s="77">
        <f>DATE(2026,11,1)</f>
        <v>46327</v>
      </c>
      <c r="F62" s="78" t="str">
        <f ca="1">IF(Evolucion!B29="","",Evolucion!B29)</f>
        <v/>
      </c>
      <c r="G62" s="78" t="str">
        <f ca="1">IF(F62="","",Evolucion!$C$3+SUMIFS(Movimientos!$B$6:$B$505,Movimientos!$D$6:$D$505,"&lt;="&amp;EOMONTH(E62,0),Movimientos!$D$6:$D$505,"&gt;="&amp;DATE(2025,2,1)))</f>
        <v/>
      </c>
      <c r="H62" s="78" t="str">
        <f t="shared" ca="1" si="0"/>
        <v/>
      </c>
      <c r="I62" s="36" t="str">
        <f ca="1">IF(Evolucion!F29="","",Evolucion!F29/100)</f>
        <v/>
      </c>
      <c r="J62" s="36" t="str">
        <f>IF(Comparativa!E23="","",Comparativa!E23/100)</f>
        <v/>
      </c>
      <c r="K62" s="36" t="str">
        <f t="shared" ca="1" si="1"/>
        <v>SIN DATO</v>
      </c>
      <c r="L62" s="36" t="str">
        <f ca="1">IF(F62="","",Evolucion!C29)</f>
        <v/>
      </c>
      <c r="M62" s="36" t="str">
        <f ca="1">IF(F62="","",Evolucion!D29)</f>
        <v/>
      </c>
      <c r="N62" s="36" t="str">
        <f ca="1">IF(F62="","",Evolucion!E29)</f>
        <v/>
      </c>
    </row>
    <row r="63" spans="5:14" ht="13.8" x14ac:dyDescent="0.25">
      <c r="E63" s="77">
        <f>DATE(2026,12,1)</f>
        <v>46357</v>
      </c>
      <c r="F63" s="78" t="str">
        <f ca="1">IF(Evolucion!B30="","",Evolucion!B30)</f>
        <v/>
      </c>
      <c r="G63" s="78" t="str">
        <f ca="1">IF(F63="","",Evolucion!$C$3+SUMIFS(Movimientos!$B$6:$B$505,Movimientos!$D$6:$D$505,"&lt;="&amp;EOMONTH(E63,0),Movimientos!$D$6:$D$505,"&gt;="&amp;DATE(2025,2,1)))</f>
        <v/>
      </c>
      <c r="H63" s="78" t="str">
        <f t="shared" ca="1" si="0"/>
        <v/>
      </c>
      <c r="I63" s="36" t="str">
        <f ca="1">IF(Evolucion!F30="","",Evolucion!F30/100)</f>
        <v/>
      </c>
      <c r="J63" s="36" t="str">
        <f>IF(Comparativa!E24="","",Comparativa!E24/100)</f>
        <v/>
      </c>
      <c r="K63" s="36" t="str">
        <f t="shared" ca="1" si="1"/>
        <v>SIN DATO</v>
      </c>
      <c r="L63" s="36" t="str">
        <f ca="1">IF(F63="","",Evolucion!C30)</f>
        <v/>
      </c>
      <c r="M63" s="36" t="str">
        <f ca="1">IF(F63="","",Evolucion!D30)</f>
        <v/>
      </c>
      <c r="N63" s="36" t="str">
        <f ca="1">IF(F63="","",Evolucion!E30)</f>
        <v/>
      </c>
    </row>
    <row r="64" spans="5:14" ht="13.8" x14ac:dyDescent="0.25">
      <c r="E64" s="77">
        <f>DATE(2027,1,1)</f>
        <v>46388</v>
      </c>
      <c r="F64" s="78" t="str">
        <f>IF(Evolucion!B36="","",Evolucion!B36)</f>
        <v/>
      </c>
      <c r="G64" s="78" t="str">
        <f>IF(F64="","",Evolucion!$C$3+SUMIFS(Movimientos!$B$6:$B$505,Movimientos!$D$6:$D$505,"&lt;="&amp;EOMONTH(E64,0),Movimientos!$D$6:$D$505,"&gt;="&amp;DATE(2025,2,1)))</f>
        <v/>
      </c>
      <c r="H64" s="78" t="str">
        <f t="shared" si="0"/>
        <v/>
      </c>
      <c r="I64" s="36" t="str">
        <f ca="1">IF(Evolucion!F36="","",Evolucion!F36/100)</f>
        <v/>
      </c>
      <c r="J64" s="36" t="str">
        <f t="shared" ref="J64:J75" si="2">""</f>
        <v/>
      </c>
      <c r="K64" s="36" t="str">
        <f t="shared" si="1"/>
        <v>SIN DATO</v>
      </c>
      <c r="L64" s="36" t="str">
        <f>IF(F64="","",Evolucion!C36)</f>
        <v/>
      </c>
      <c r="M64" s="36" t="str">
        <f>IF(F64="","",Evolucion!D36)</f>
        <v/>
      </c>
      <c r="N64" s="36" t="str">
        <f>IF(F64="","",Evolucion!E36)</f>
        <v/>
      </c>
    </row>
    <row r="65" spans="5:16" ht="13.8" x14ac:dyDescent="0.25">
      <c r="E65" s="77">
        <f>DATE(2027,2,1)</f>
        <v>46419</v>
      </c>
      <c r="F65" s="78" t="str">
        <f>IF(Evolucion!B37="","",Evolucion!B37)</f>
        <v/>
      </c>
      <c r="G65" s="78" t="str">
        <f>IF(F65="","",Evolucion!$C$3+SUMIFS(Movimientos!$B$6:$B$505,Movimientos!$D$6:$D$505,"&lt;="&amp;EOMONTH(E65,0),Movimientos!$D$6:$D$505,"&gt;="&amp;DATE(2025,2,1)))</f>
        <v/>
      </c>
      <c r="H65" s="78" t="str">
        <f t="shared" si="0"/>
        <v/>
      </c>
      <c r="I65" s="36" t="str">
        <f>IF(Evolucion!F37="","",Evolucion!F37/100)</f>
        <v/>
      </c>
      <c r="J65" s="36" t="str">
        <f t="shared" si="2"/>
        <v/>
      </c>
      <c r="K65" s="36" t="str">
        <f t="shared" si="1"/>
        <v>SIN DATO</v>
      </c>
      <c r="L65" s="36" t="str">
        <f>IF(F65="","",Evolucion!C37)</f>
        <v/>
      </c>
      <c r="M65" s="36" t="str">
        <f>IF(F65="","",Evolucion!D37)</f>
        <v/>
      </c>
      <c r="N65" s="36" t="str">
        <f>IF(F65="","",Evolucion!E37)</f>
        <v/>
      </c>
    </row>
    <row r="66" spans="5:16" ht="13.8" x14ac:dyDescent="0.25">
      <c r="E66" s="77">
        <f>DATE(2027,3,1)</f>
        <v>46447</v>
      </c>
      <c r="F66" s="78" t="str">
        <f>IF(Evolucion!B38="","",Evolucion!B38)</f>
        <v/>
      </c>
      <c r="G66" s="78" t="str">
        <f>IF(F66="","",Evolucion!$C$3+SUMIFS(Movimientos!$B$6:$B$505,Movimientos!$D$6:$D$505,"&lt;="&amp;EOMONTH(E66,0),Movimientos!$D$6:$D$505,"&gt;="&amp;DATE(2025,2,1)))</f>
        <v/>
      </c>
      <c r="H66" s="78" t="str">
        <f t="shared" si="0"/>
        <v/>
      </c>
      <c r="I66" s="36" t="str">
        <f>IF(Evolucion!F38="","",Evolucion!F38/100)</f>
        <v/>
      </c>
      <c r="J66" s="36" t="str">
        <f t="shared" si="2"/>
        <v/>
      </c>
      <c r="K66" s="36" t="str">
        <f t="shared" si="1"/>
        <v>SIN DATO</v>
      </c>
      <c r="L66" s="36" t="str">
        <f>IF(F66="","",Evolucion!C38)</f>
        <v/>
      </c>
      <c r="M66" s="36" t="str">
        <f>IF(F66="","",Evolucion!D38)</f>
        <v/>
      </c>
      <c r="N66" s="36" t="str">
        <f>IF(F66="","",Evolucion!E38)</f>
        <v/>
      </c>
    </row>
    <row r="67" spans="5:16" ht="13.8" x14ac:dyDescent="0.25">
      <c r="E67" s="77">
        <f>DATE(2027,4,1)</f>
        <v>46478</v>
      </c>
      <c r="F67" s="78" t="str">
        <f>IF(Evolucion!B39="","",Evolucion!B39)</f>
        <v/>
      </c>
      <c r="G67" s="78" t="str">
        <f>IF(F67="","",Evolucion!$C$3+SUMIFS(Movimientos!$B$6:$B$505,Movimientos!$D$6:$D$505,"&lt;="&amp;EOMONTH(E67,0),Movimientos!$D$6:$D$505,"&gt;="&amp;DATE(2025,2,1)))</f>
        <v/>
      </c>
      <c r="H67" s="78" t="str">
        <f t="shared" si="0"/>
        <v/>
      </c>
      <c r="I67" s="36" t="str">
        <f>IF(Evolucion!F39="","",Evolucion!F39/100)</f>
        <v/>
      </c>
      <c r="J67" s="36" t="str">
        <f t="shared" si="2"/>
        <v/>
      </c>
      <c r="K67" s="36" t="str">
        <f t="shared" si="1"/>
        <v>SIN DATO</v>
      </c>
      <c r="L67" s="36" t="str">
        <f>IF(F67="","",Evolucion!C39)</f>
        <v/>
      </c>
      <c r="M67" s="36" t="str">
        <f>IF(F67="","",Evolucion!D39)</f>
        <v/>
      </c>
      <c r="N67" s="36" t="str">
        <f>IF(F67="","",Evolucion!E39)</f>
        <v/>
      </c>
    </row>
    <row r="68" spans="5:16" ht="13.8" x14ac:dyDescent="0.25">
      <c r="E68" s="77">
        <f>DATE(2027,5,1)</f>
        <v>46508</v>
      </c>
      <c r="F68" s="78" t="str">
        <f>IF(Evolucion!B40="","",Evolucion!B40)</f>
        <v/>
      </c>
      <c r="G68" s="78" t="str">
        <f>IF(F68="","",Evolucion!$C$3+SUMIFS(Movimientos!$B$6:$B$505,Movimientos!$D$6:$D$505,"&lt;="&amp;EOMONTH(E68,0),Movimientos!$D$6:$D$505,"&gt;="&amp;DATE(2025,2,1)))</f>
        <v/>
      </c>
      <c r="H68" s="78" t="str">
        <f t="shared" si="0"/>
        <v/>
      </c>
      <c r="I68" s="36" t="str">
        <f>IF(Evolucion!F40="","",Evolucion!F40/100)</f>
        <v/>
      </c>
      <c r="J68" s="36" t="str">
        <f t="shared" si="2"/>
        <v/>
      </c>
      <c r="K68" s="36" t="str">
        <f t="shared" si="1"/>
        <v>SIN DATO</v>
      </c>
      <c r="L68" s="36" t="str">
        <f>IF(F68="","",Evolucion!C40)</f>
        <v/>
      </c>
      <c r="M68" s="36" t="str">
        <f>IF(F68="","",Evolucion!D40)</f>
        <v/>
      </c>
      <c r="N68" s="36" t="str">
        <f>IF(F68="","",Evolucion!E40)</f>
        <v/>
      </c>
    </row>
    <row r="69" spans="5:16" ht="13.8" x14ac:dyDescent="0.25">
      <c r="E69" s="77">
        <f>DATE(2027,6,1)</f>
        <v>46539</v>
      </c>
      <c r="F69" s="78" t="str">
        <f>IF(Evolucion!B41="","",Evolucion!B41)</f>
        <v/>
      </c>
      <c r="G69" s="78" t="str">
        <f>IF(F69="","",Evolucion!$C$3+SUMIFS(Movimientos!$B$6:$B$505,Movimientos!$D$6:$D$505,"&lt;="&amp;EOMONTH(E69,0),Movimientos!$D$6:$D$505,"&gt;="&amp;DATE(2025,2,1)))</f>
        <v/>
      </c>
      <c r="H69" s="78" t="str">
        <f t="shared" si="0"/>
        <v/>
      </c>
      <c r="I69" s="36" t="str">
        <f>IF(Evolucion!F41="","",Evolucion!F41/100)</f>
        <v/>
      </c>
      <c r="J69" s="36" t="str">
        <f t="shared" si="2"/>
        <v/>
      </c>
      <c r="K69" s="36" t="str">
        <f t="shared" si="1"/>
        <v>SIN DATO</v>
      </c>
      <c r="L69" s="36" t="str">
        <f>IF(F69="","",Evolucion!C41)</f>
        <v/>
      </c>
      <c r="M69" s="36" t="str">
        <f>IF(F69="","",Evolucion!D41)</f>
        <v/>
      </c>
      <c r="N69" s="36" t="str">
        <f>IF(F69="","",Evolucion!E41)</f>
        <v/>
      </c>
    </row>
    <row r="70" spans="5:16" ht="13.8" x14ac:dyDescent="0.25">
      <c r="E70" s="77">
        <f>DATE(2027,7,1)</f>
        <v>46569</v>
      </c>
      <c r="F70" s="78" t="str">
        <f>IF(Evolucion!B42="","",Evolucion!B42)</f>
        <v/>
      </c>
      <c r="G70" s="78" t="str">
        <f>IF(F70="","",Evolucion!$C$3+SUMIFS(Movimientos!$B$6:$B$505,Movimientos!$D$6:$D$505,"&lt;="&amp;EOMONTH(E70,0),Movimientos!$D$6:$D$505,"&gt;="&amp;DATE(2025,2,1)))</f>
        <v/>
      </c>
      <c r="H70" s="78" t="str">
        <f t="shared" si="0"/>
        <v/>
      </c>
      <c r="I70" s="36" t="str">
        <f>IF(Evolucion!F42="","",Evolucion!F42/100)</f>
        <v/>
      </c>
      <c r="J70" s="36" t="str">
        <f t="shared" si="2"/>
        <v/>
      </c>
      <c r="K70" s="36" t="str">
        <f t="shared" si="1"/>
        <v>SIN DATO</v>
      </c>
      <c r="L70" s="36" t="str">
        <f>IF(F70="","",Evolucion!C42)</f>
        <v/>
      </c>
      <c r="M70" s="36" t="str">
        <f>IF(F70="","",Evolucion!D42)</f>
        <v/>
      </c>
      <c r="N70" s="36" t="str">
        <f>IF(F70="","",Evolucion!E42)</f>
        <v/>
      </c>
    </row>
    <row r="71" spans="5:16" ht="13.8" x14ac:dyDescent="0.25">
      <c r="E71" s="77">
        <f>DATE(2027,8,1)</f>
        <v>46600</v>
      </c>
      <c r="F71" s="78" t="str">
        <f>IF(Evolucion!B43="","",Evolucion!B43)</f>
        <v/>
      </c>
      <c r="G71" s="78" t="str">
        <f>IF(F71="","",Evolucion!$C$3+SUMIFS(Movimientos!$B$6:$B$505,Movimientos!$D$6:$D$505,"&lt;="&amp;EOMONTH(E71,0),Movimientos!$D$6:$D$505,"&gt;="&amp;DATE(2025,2,1)))</f>
        <v/>
      </c>
      <c r="H71" s="78" t="str">
        <f t="shared" si="0"/>
        <v/>
      </c>
      <c r="I71" s="36" t="str">
        <f>IF(Evolucion!F43="","",Evolucion!F43/100)</f>
        <v/>
      </c>
      <c r="J71" s="36" t="str">
        <f t="shared" si="2"/>
        <v/>
      </c>
      <c r="K71" s="36" t="str">
        <f t="shared" si="1"/>
        <v>SIN DATO</v>
      </c>
      <c r="L71" s="36" t="str">
        <f>IF(F71="","",Evolucion!C43)</f>
        <v/>
      </c>
      <c r="M71" s="36" t="str">
        <f>IF(F71="","",Evolucion!D43)</f>
        <v/>
      </c>
      <c r="N71" s="36" t="str">
        <f>IF(F71="","",Evolucion!E43)</f>
        <v/>
      </c>
    </row>
    <row r="72" spans="5:16" ht="13.8" x14ac:dyDescent="0.25">
      <c r="E72" s="77">
        <f>DATE(2027,9,1)</f>
        <v>46631</v>
      </c>
      <c r="F72" s="78" t="str">
        <f>IF(Evolucion!B44="","",Evolucion!B44)</f>
        <v/>
      </c>
      <c r="G72" s="78" t="str">
        <f>IF(F72="","",Evolucion!$C$3+SUMIFS(Movimientos!$B$6:$B$505,Movimientos!$D$6:$D$505,"&lt;="&amp;EOMONTH(E72,0),Movimientos!$D$6:$D$505,"&gt;="&amp;DATE(2025,2,1)))</f>
        <v/>
      </c>
      <c r="H72" s="78" t="str">
        <f t="shared" si="0"/>
        <v/>
      </c>
      <c r="I72" s="36" t="str">
        <f>IF(Evolucion!F44="","",Evolucion!F44/100)</f>
        <v/>
      </c>
      <c r="J72" s="36" t="str">
        <f t="shared" si="2"/>
        <v/>
      </c>
      <c r="K72" s="36" t="str">
        <f t="shared" si="1"/>
        <v>SIN DATO</v>
      </c>
      <c r="L72" s="36" t="str">
        <f>IF(F72="","",Evolucion!C44)</f>
        <v/>
      </c>
      <c r="M72" s="36" t="str">
        <f>IF(F72="","",Evolucion!D44)</f>
        <v/>
      </c>
      <c r="N72" s="36" t="str">
        <f>IF(F72="","",Evolucion!E44)</f>
        <v/>
      </c>
    </row>
    <row r="73" spans="5:16" ht="13.8" x14ac:dyDescent="0.25">
      <c r="E73" s="77">
        <f>DATE(2027,10,1)</f>
        <v>46661</v>
      </c>
      <c r="F73" s="78" t="str">
        <f>IF(Evolucion!B45="","",Evolucion!B45)</f>
        <v/>
      </c>
      <c r="G73" s="78" t="str">
        <f>IF(F73="","",Evolucion!$C$3+SUMIFS(Movimientos!$B$6:$B$505,Movimientos!$D$6:$D$505,"&lt;="&amp;EOMONTH(E73,0),Movimientos!$D$6:$D$505,"&gt;="&amp;DATE(2025,2,1)))</f>
        <v/>
      </c>
      <c r="H73" s="78" t="str">
        <f t="shared" si="0"/>
        <v/>
      </c>
      <c r="I73" s="36" t="str">
        <f>IF(Evolucion!F45="","",Evolucion!F45/100)</f>
        <v/>
      </c>
      <c r="J73" s="36" t="str">
        <f t="shared" si="2"/>
        <v/>
      </c>
      <c r="K73" s="36" t="str">
        <f t="shared" si="1"/>
        <v>SIN DATO</v>
      </c>
      <c r="L73" s="36" t="str">
        <f>IF(F73="","",Evolucion!C45)</f>
        <v/>
      </c>
      <c r="M73" s="36" t="str">
        <f>IF(F73="","",Evolucion!D45)</f>
        <v/>
      </c>
      <c r="N73" s="36" t="str">
        <f>IF(F73="","",Evolucion!E45)</f>
        <v/>
      </c>
    </row>
    <row r="74" spans="5:16" ht="13.8" x14ac:dyDescent="0.25">
      <c r="E74" s="77">
        <f>DATE(2027,11,1)</f>
        <v>46692</v>
      </c>
      <c r="F74" s="78" t="str">
        <f>IF(Evolucion!B46="","",Evolucion!B46)</f>
        <v/>
      </c>
      <c r="G74" s="78" t="str">
        <f>IF(F74="","",Evolucion!$C$3+SUMIFS(Movimientos!$B$6:$B$505,Movimientos!$D$6:$D$505,"&lt;="&amp;EOMONTH(E74,0),Movimientos!$D$6:$D$505,"&gt;="&amp;DATE(2025,2,1)))</f>
        <v/>
      </c>
      <c r="H74" s="78" t="str">
        <f t="shared" si="0"/>
        <v/>
      </c>
      <c r="I74" s="36" t="str">
        <f>IF(Evolucion!F46="","",Evolucion!F46/100)</f>
        <v/>
      </c>
      <c r="J74" s="36" t="str">
        <f t="shared" si="2"/>
        <v/>
      </c>
      <c r="K74" s="36" t="str">
        <f t="shared" si="1"/>
        <v>SIN DATO</v>
      </c>
      <c r="L74" s="36" t="str">
        <f>IF(F74="","",Evolucion!C46)</f>
        <v/>
      </c>
      <c r="M74" s="36" t="str">
        <f>IF(F74="","",Evolucion!D46)</f>
        <v/>
      </c>
      <c r="N74" s="36" t="str">
        <f>IF(F74="","",Evolucion!E46)</f>
        <v/>
      </c>
    </row>
    <row r="75" spans="5:16" ht="13.8" x14ac:dyDescent="0.25">
      <c r="E75" s="77">
        <f>DATE(2027,12,1)</f>
        <v>46722</v>
      </c>
      <c r="F75" s="78" t="str">
        <f>IF(Evolucion!B47="","",Evolucion!B47)</f>
        <v/>
      </c>
      <c r="G75" s="78" t="str">
        <f>IF(F75="","",Evolucion!$C$3+SUMIFS(Movimientos!$B$6:$B$505,Movimientos!$D$6:$D$505,"&lt;="&amp;EOMONTH(E75,0),Movimientos!$D$6:$D$505,"&gt;="&amp;DATE(2025,2,1)))</f>
        <v/>
      </c>
      <c r="H75" s="78" t="str">
        <f t="shared" si="0"/>
        <v/>
      </c>
      <c r="I75" s="36" t="str">
        <f>IF(Evolucion!F47="","",Evolucion!F47/100)</f>
        <v/>
      </c>
      <c r="J75" s="36" t="str">
        <f t="shared" si="2"/>
        <v/>
      </c>
      <c r="K75" s="36" t="str">
        <f t="shared" si="1"/>
        <v>SIN DATO</v>
      </c>
      <c r="L75" s="36" t="str">
        <f>IF(F75="","",Evolucion!C47)</f>
        <v/>
      </c>
      <c r="M75" s="36" t="str">
        <f>IF(F75="","",Evolucion!D47)</f>
        <v/>
      </c>
      <c r="N75" s="36" t="str">
        <f>IF(F75="","",Evolucion!E47)</f>
        <v/>
      </c>
    </row>
    <row r="80" spans="5:16" ht="13.8" x14ac:dyDescent="0.25">
      <c r="E80" s="36" t="s">
        <v>21</v>
      </c>
      <c r="F80" s="36" t="s">
        <v>136</v>
      </c>
      <c r="G80" s="36" t="s">
        <v>137</v>
      </c>
      <c r="J80" s="36" t="s">
        <v>178</v>
      </c>
      <c r="K80" s="36" t="s">
        <v>179</v>
      </c>
      <c r="L80" s="36" t="s">
        <v>180</v>
      </c>
      <c r="N80" s="77" t="s">
        <v>21</v>
      </c>
      <c r="O80" s="36" t="s">
        <v>136</v>
      </c>
      <c r="P80" s="36" t="s">
        <v>137</v>
      </c>
    </row>
    <row r="81" spans="5:16" ht="13.8" x14ac:dyDescent="0.25">
      <c r="E81" s="77">
        <f ca="1">IFERROR(__xludf.DUMMYFUNCTION("FILTER(CHOOSECOLS(E41:H75,1,3,4),ISNUMBER(F41:F75),E41:E75&lt;EOMONTH(TODAY(),-1)+1)"),45689)</f>
        <v>45689</v>
      </c>
      <c r="F81" s="78">
        <f ca="1">IFERROR(__xludf.DUMMYFUNCTION("""COMPUTED_VALUE"""),52428)</f>
        <v>52428</v>
      </c>
      <c r="G81" s="78">
        <f ca="1">IFERROR(__xludf.DUMMYFUNCTION("""COMPUTED_VALUE"""),0)</f>
        <v>0</v>
      </c>
      <c r="J81" s="77">
        <f>DATE(2025,2,1)</f>
        <v>45689</v>
      </c>
      <c r="K81" s="77">
        <f>DATE(2026,1,1)</f>
        <v>46023</v>
      </c>
      <c r="L81" s="77">
        <f>DATE(2025,2,1)</f>
        <v>45689</v>
      </c>
      <c r="M81" s="77"/>
      <c r="N81" s="77">
        <f t="shared" ref="N81:N91" si="3">IF(E41="","",E41)</f>
        <v>45689</v>
      </c>
      <c r="O81" s="78">
        <f t="shared" ref="O81:P81" si="4">IF(G41="","",G41)</f>
        <v>52428</v>
      </c>
      <c r="P81" s="78">
        <f t="shared" si="4"/>
        <v>0</v>
      </c>
    </row>
    <row r="82" spans="5:16" ht="13.8" x14ac:dyDescent="0.25">
      <c r="E82" s="77">
        <f ca="1">IFERROR(__xludf.DUMMYFUNCTION("""COMPUTED_VALUE"""),45717)</f>
        <v>45717</v>
      </c>
      <c r="F82" s="78">
        <f ca="1">IFERROR(__xludf.DUMMYFUNCTION("""COMPUTED_VALUE"""),53128)</f>
        <v>53128</v>
      </c>
      <c r="G82" s="78">
        <f ca="1">IFERROR(__xludf.DUMMYFUNCTION("""COMPUTED_VALUE"""),2011)</f>
        <v>2011</v>
      </c>
      <c r="J82" s="77">
        <f t="shared" ref="J82:L82" si="5">EDATE(J81,1)</f>
        <v>45717</v>
      </c>
      <c r="K82" s="77">
        <f t="shared" si="5"/>
        <v>46054</v>
      </c>
      <c r="L82" s="77">
        <f t="shared" si="5"/>
        <v>45717</v>
      </c>
      <c r="M82" s="77"/>
      <c r="N82" s="77">
        <f t="shared" si="3"/>
        <v>45717</v>
      </c>
      <c r="O82" s="78">
        <f t="shared" ref="O82:P82" si="6">IF(G42="","",G42)</f>
        <v>53128</v>
      </c>
      <c r="P82" s="78">
        <f t="shared" si="6"/>
        <v>2011</v>
      </c>
    </row>
    <row r="83" spans="5:16" ht="13.8" x14ac:dyDescent="0.25">
      <c r="E83" s="77">
        <f ca="1">IFERROR(__xludf.DUMMYFUNCTION("""COMPUTED_VALUE"""),45748)</f>
        <v>45748</v>
      </c>
      <c r="F83" s="78">
        <f ca="1">IFERROR(__xludf.DUMMYFUNCTION("""COMPUTED_VALUE"""),53828)</f>
        <v>53828</v>
      </c>
      <c r="G83" s="78">
        <f ca="1">IFERROR(__xludf.DUMMYFUNCTION("""COMPUTED_VALUE"""),3205)</f>
        <v>3205</v>
      </c>
      <c r="J83" s="77">
        <f t="shared" ref="J83:L83" si="7">EDATE(J82,1)</f>
        <v>45748</v>
      </c>
      <c r="K83" s="77">
        <f t="shared" si="7"/>
        <v>46082</v>
      </c>
      <c r="L83" s="77">
        <f t="shared" si="7"/>
        <v>45748</v>
      </c>
      <c r="M83" s="77"/>
      <c r="N83" s="77">
        <f t="shared" si="3"/>
        <v>45748</v>
      </c>
      <c r="O83" s="78">
        <f t="shared" ref="O83:P83" si="8">IF(G43="","",G43)</f>
        <v>53828</v>
      </c>
      <c r="P83" s="78">
        <f t="shared" si="8"/>
        <v>3205</v>
      </c>
    </row>
    <row r="84" spans="5:16" ht="13.8" x14ac:dyDescent="0.25">
      <c r="E84" s="77">
        <f ca="1">IFERROR(__xludf.DUMMYFUNCTION("""COMPUTED_VALUE"""),45778)</f>
        <v>45778</v>
      </c>
      <c r="F84" s="78">
        <f ca="1">IFERROR(__xludf.DUMMYFUNCTION("""COMPUTED_VALUE"""),54528)</f>
        <v>54528</v>
      </c>
      <c r="G84" s="78">
        <f ca="1">IFERROR(__xludf.DUMMYFUNCTION("""COMPUTED_VALUE"""),4500)</f>
        <v>4500</v>
      </c>
      <c r="J84" s="77">
        <f t="shared" ref="J84:L84" si="9">EDATE(J83,1)</f>
        <v>45778</v>
      </c>
      <c r="K84" s="77">
        <f t="shared" si="9"/>
        <v>46113</v>
      </c>
      <c r="L84" s="77">
        <f t="shared" si="9"/>
        <v>45778</v>
      </c>
      <c r="M84" s="77"/>
      <c r="N84" s="77">
        <f t="shared" si="3"/>
        <v>45778</v>
      </c>
      <c r="O84" s="78">
        <f t="shared" ref="O84:P84" si="10">IF(G44="","",G44)</f>
        <v>54528</v>
      </c>
      <c r="P84" s="78">
        <f t="shared" si="10"/>
        <v>4500</v>
      </c>
    </row>
    <row r="85" spans="5:16" ht="13.8" x14ac:dyDescent="0.25">
      <c r="E85" s="77">
        <f ca="1">IFERROR(__xludf.DUMMYFUNCTION("""COMPUTED_VALUE"""),45809)</f>
        <v>45809</v>
      </c>
      <c r="F85" s="78">
        <f ca="1">IFERROR(__xludf.DUMMYFUNCTION("""COMPUTED_VALUE"""),55228)</f>
        <v>55228</v>
      </c>
      <c r="G85" s="78">
        <f ca="1">IFERROR(__xludf.DUMMYFUNCTION("""COMPUTED_VALUE"""),5157)</f>
        <v>5157</v>
      </c>
      <c r="J85" s="77">
        <f t="shared" ref="J85:L85" si="11">EDATE(J84,1)</f>
        <v>45809</v>
      </c>
      <c r="K85" s="77">
        <f t="shared" si="11"/>
        <v>46143</v>
      </c>
      <c r="L85" s="77">
        <f t="shared" si="11"/>
        <v>45809</v>
      </c>
      <c r="M85" s="77"/>
      <c r="N85" s="77">
        <f t="shared" si="3"/>
        <v>45809</v>
      </c>
      <c r="O85" s="78">
        <f t="shared" ref="O85:P85" si="12">IF(G45="","",G45)</f>
        <v>55228</v>
      </c>
      <c r="P85" s="78">
        <f t="shared" si="12"/>
        <v>5157</v>
      </c>
    </row>
    <row r="86" spans="5:16" ht="13.8" x14ac:dyDescent="0.25">
      <c r="E86" s="77">
        <f ca="1">IFERROR(__xludf.DUMMYFUNCTION("""COMPUTED_VALUE"""),45839)</f>
        <v>45839</v>
      </c>
      <c r="F86" s="78">
        <f ca="1">IFERROR(__xludf.DUMMYFUNCTION("""COMPUTED_VALUE"""),55928)</f>
        <v>55928</v>
      </c>
      <c r="G86" s="78">
        <f ca="1">IFERROR(__xludf.DUMMYFUNCTION("""COMPUTED_VALUE"""),6060)</f>
        <v>6060</v>
      </c>
      <c r="J86" s="77">
        <f t="shared" ref="J86:L86" si="13">EDATE(J85,1)</f>
        <v>45839</v>
      </c>
      <c r="K86" s="77">
        <f t="shared" si="13"/>
        <v>46174</v>
      </c>
      <c r="L86" s="77">
        <f t="shared" si="13"/>
        <v>45839</v>
      </c>
      <c r="M86" s="77"/>
      <c r="N86" s="77">
        <f t="shared" si="3"/>
        <v>45839</v>
      </c>
      <c r="O86" s="78">
        <f t="shared" ref="O86:P86" si="14">IF(G46="","",G46)</f>
        <v>55928</v>
      </c>
      <c r="P86" s="78">
        <f t="shared" si="14"/>
        <v>6060</v>
      </c>
    </row>
    <row r="87" spans="5:16" ht="13.8" x14ac:dyDescent="0.25">
      <c r="E87" s="77">
        <f ca="1">IFERROR(__xludf.DUMMYFUNCTION("""COMPUTED_VALUE"""),45870)</f>
        <v>45870</v>
      </c>
      <c r="F87" s="78">
        <f ca="1">IFERROR(__xludf.DUMMYFUNCTION("""COMPUTED_VALUE"""),56628)</f>
        <v>56628</v>
      </c>
      <c r="G87" s="78">
        <f ca="1">IFERROR(__xludf.DUMMYFUNCTION("""COMPUTED_VALUE"""),6556)</f>
        <v>6556</v>
      </c>
      <c r="J87" s="77">
        <f t="shared" ref="J87:L87" si="15">EDATE(J86,1)</f>
        <v>45870</v>
      </c>
      <c r="K87" s="77">
        <f t="shared" si="15"/>
        <v>46204</v>
      </c>
      <c r="L87" s="77">
        <f t="shared" si="15"/>
        <v>45870</v>
      </c>
      <c r="M87" s="77"/>
      <c r="N87" s="77">
        <f t="shared" si="3"/>
        <v>45870</v>
      </c>
      <c r="O87" s="78">
        <f t="shared" ref="O87:P87" si="16">IF(G47="","",G47)</f>
        <v>56628</v>
      </c>
      <c r="P87" s="78">
        <f t="shared" si="16"/>
        <v>6556</v>
      </c>
    </row>
    <row r="88" spans="5:16" ht="13.8" x14ac:dyDescent="0.25">
      <c r="E88" s="77">
        <f ca="1">IFERROR(__xludf.DUMMYFUNCTION("""COMPUTED_VALUE"""),45901)</f>
        <v>45901</v>
      </c>
      <c r="F88" s="78">
        <f ca="1">IFERROR(__xludf.DUMMYFUNCTION("""COMPUTED_VALUE"""),57328)</f>
        <v>57328</v>
      </c>
      <c r="G88" s="78">
        <f ca="1">IFERROR(__xludf.DUMMYFUNCTION("""COMPUTED_VALUE"""),9841)</f>
        <v>9841</v>
      </c>
      <c r="J88" s="77">
        <f t="shared" ref="J88:L88" si="17">EDATE(J87,1)</f>
        <v>45901</v>
      </c>
      <c r="K88" s="77">
        <f t="shared" si="17"/>
        <v>46235</v>
      </c>
      <c r="L88" s="77">
        <f t="shared" si="17"/>
        <v>45901</v>
      </c>
      <c r="M88" s="77"/>
      <c r="N88" s="77">
        <f t="shared" si="3"/>
        <v>45901</v>
      </c>
      <c r="O88" s="78">
        <f t="shared" ref="O88:P88" si="18">IF(G48="","",G48)</f>
        <v>57328</v>
      </c>
      <c r="P88" s="78">
        <f t="shared" si="18"/>
        <v>9841</v>
      </c>
    </row>
    <row r="89" spans="5:16" ht="13.8" x14ac:dyDescent="0.25">
      <c r="E89" s="77">
        <f ca="1">IFERROR(__xludf.DUMMYFUNCTION("""COMPUTED_VALUE"""),45931)</f>
        <v>45931</v>
      </c>
      <c r="F89" s="78">
        <f ca="1">IFERROR(__xludf.DUMMYFUNCTION("""COMPUTED_VALUE"""),58028)</f>
        <v>58028</v>
      </c>
      <c r="G89" s="78">
        <f ca="1">IFERROR(__xludf.DUMMYFUNCTION("""COMPUTED_VALUE"""),11758)</f>
        <v>11758</v>
      </c>
      <c r="J89" s="77">
        <f t="shared" ref="J89:L89" si="19">EDATE(J88,1)</f>
        <v>45931</v>
      </c>
      <c r="K89" s="77">
        <f t="shared" si="19"/>
        <v>46266</v>
      </c>
      <c r="L89" s="77">
        <f t="shared" si="19"/>
        <v>45931</v>
      </c>
      <c r="M89" s="77"/>
      <c r="N89" s="77">
        <f t="shared" si="3"/>
        <v>45931</v>
      </c>
      <c r="O89" s="78">
        <f t="shared" ref="O89:P89" si="20">IF(G49="","",G49)</f>
        <v>58028</v>
      </c>
      <c r="P89" s="78">
        <f t="shared" si="20"/>
        <v>11758</v>
      </c>
    </row>
    <row r="90" spans="5:16" ht="13.8" x14ac:dyDescent="0.25">
      <c r="E90" s="77">
        <f ca="1">IFERROR(__xludf.DUMMYFUNCTION("""COMPUTED_VALUE"""),45962)</f>
        <v>45962</v>
      </c>
      <c r="F90" s="78">
        <f ca="1">IFERROR(__xludf.DUMMYFUNCTION("""COMPUTED_VALUE"""),58728)</f>
        <v>58728</v>
      </c>
      <c r="G90" s="78">
        <f ca="1">IFERROR(__xludf.DUMMYFUNCTION("""COMPUTED_VALUE"""),11571)</f>
        <v>11571</v>
      </c>
      <c r="J90" s="77">
        <f t="shared" ref="J90:L90" si="21">EDATE(J89,1)</f>
        <v>45962</v>
      </c>
      <c r="K90" s="77">
        <f t="shared" si="21"/>
        <v>46296</v>
      </c>
      <c r="L90" s="77">
        <f t="shared" si="21"/>
        <v>45962</v>
      </c>
      <c r="M90" s="77"/>
      <c r="N90" s="77">
        <f t="shared" si="3"/>
        <v>45962</v>
      </c>
      <c r="O90" s="78">
        <f t="shared" ref="O90:P90" si="22">IF(G50="","",G50)</f>
        <v>58728</v>
      </c>
      <c r="P90" s="78">
        <f t="shared" si="22"/>
        <v>11571</v>
      </c>
    </row>
    <row r="91" spans="5:16" ht="13.8" x14ac:dyDescent="0.25">
      <c r="E91" s="77">
        <f ca="1">IFERROR(__xludf.DUMMYFUNCTION("""COMPUTED_VALUE"""),45992)</f>
        <v>45992</v>
      </c>
      <c r="F91" s="78">
        <f ca="1">IFERROR(__xludf.DUMMYFUNCTION("""COMPUTED_VALUE"""),59428)</f>
        <v>59428</v>
      </c>
      <c r="G91" s="78">
        <f ca="1">IFERROR(__xludf.DUMMYFUNCTION("""COMPUTED_VALUE"""),14280)</f>
        <v>14280</v>
      </c>
      <c r="J91" s="77">
        <f t="shared" ref="J91:L91" si="23">EDATE(J90,1)</f>
        <v>45992</v>
      </c>
      <c r="K91" s="77">
        <f t="shared" si="23"/>
        <v>46327</v>
      </c>
      <c r="L91" s="77">
        <f t="shared" si="23"/>
        <v>45992</v>
      </c>
      <c r="M91" s="77"/>
      <c r="N91" s="77">
        <f t="shared" si="3"/>
        <v>45992</v>
      </c>
      <c r="O91" s="78">
        <f t="shared" ref="O91:P91" si="24">IF(G51="","",G51)</f>
        <v>59428</v>
      </c>
      <c r="P91" s="78">
        <f t="shared" si="24"/>
        <v>14280</v>
      </c>
    </row>
    <row r="92" spans="5:16" ht="13.8" x14ac:dyDescent="0.25">
      <c r="E92" s="77">
        <f ca="1">IFERROR(__xludf.DUMMYFUNCTION("""COMPUTED_VALUE"""),46023)</f>
        <v>46023</v>
      </c>
      <c r="F92" s="78">
        <f ca="1">IFERROR(__xludf.DUMMYFUNCTION("""COMPUTED_VALUE"""),59928)</f>
        <v>59928</v>
      </c>
      <c r="G92" s="78">
        <f ca="1">IFERROR(__xludf.DUMMYFUNCTION("""COMPUTED_VALUE"""),16072)</f>
        <v>16072</v>
      </c>
      <c r="J92" s="77"/>
      <c r="K92" s="77">
        <f t="shared" ref="K92:L92" si="25">EDATE(K91,1)</f>
        <v>46357</v>
      </c>
      <c r="L92" s="77">
        <f t="shared" si="25"/>
        <v>46023</v>
      </c>
      <c r="M92" s="77"/>
      <c r="N92" s="77" t="s">
        <v>21</v>
      </c>
      <c r="O92" s="36" t="s">
        <v>136</v>
      </c>
      <c r="P92" s="36" t="s">
        <v>137</v>
      </c>
    </row>
    <row r="93" spans="5:16" ht="13.8" x14ac:dyDescent="0.25">
      <c r="E93" s="77">
        <f ca="1">IFERROR(__xludf.DUMMYFUNCTION("""COMPUTED_VALUE"""),46054)</f>
        <v>46054</v>
      </c>
      <c r="F93" s="78">
        <f ca="1">IFERROR(__xludf.DUMMYFUNCTION("""COMPUTED_VALUE"""),60628)</f>
        <v>60628</v>
      </c>
      <c r="G93" s="78">
        <f ca="1">IFERROR(__xludf.DUMMYFUNCTION("""COMPUTED_VALUE"""),15794)</f>
        <v>15794</v>
      </c>
      <c r="J93" s="77"/>
      <c r="K93" s="77"/>
      <c r="L93" s="77">
        <f t="shared" ref="L93:L103" si="26">EDATE(L92,1)</f>
        <v>46054</v>
      </c>
      <c r="M93" s="77"/>
      <c r="N93" s="77">
        <f t="shared" ref="N93:N104" si="27">IF(E52="","",E52)</f>
        <v>46023</v>
      </c>
      <c r="O93" s="78">
        <f t="shared" ref="O93:P93" si="28">IF(G52="","",G52)</f>
        <v>59928</v>
      </c>
      <c r="P93" s="78">
        <f t="shared" si="28"/>
        <v>16072</v>
      </c>
    </row>
    <row r="94" spans="5:16" ht="13.8" x14ac:dyDescent="0.25">
      <c r="E94" s="77">
        <f ca="1">IFERROR(__xludf.DUMMYFUNCTION("""COMPUTED_VALUE"""),46082)</f>
        <v>46082</v>
      </c>
      <c r="F94" s="78">
        <f ca="1">IFERROR(__xludf.DUMMYFUNCTION("""COMPUTED_VALUE"""),61228)</f>
        <v>61228</v>
      </c>
      <c r="G94" s="78">
        <f ca="1">IFERROR(__xludf.DUMMYFUNCTION("""COMPUTED_VALUE"""),11722)</f>
        <v>11722</v>
      </c>
      <c r="J94" s="77"/>
      <c r="K94" s="77"/>
      <c r="L94" s="77">
        <f t="shared" si="26"/>
        <v>46082</v>
      </c>
      <c r="M94" s="77"/>
      <c r="N94" s="77">
        <f t="shared" si="27"/>
        <v>46054</v>
      </c>
      <c r="O94" s="78">
        <f t="shared" ref="O94:P94" si="29">IF(G53="","",G53)</f>
        <v>60628</v>
      </c>
      <c r="P94" s="78">
        <f t="shared" si="29"/>
        <v>15794</v>
      </c>
    </row>
    <row r="95" spans="5:16" ht="13.8" x14ac:dyDescent="0.25">
      <c r="E95" s="77">
        <f ca="1">IFERROR(__xludf.DUMMYFUNCTION("""COMPUTED_VALUE"""),46113)</f>
        <v>46113</v>
      </c>
      <c r="F95" s="78">
        <f ca="1">IFERROR(__xludf.DUMMYFUNCTION("""COMPUTED_VALUE"""),60528)</f>
        <v>60528</v>
      </c>
      <c r="G95" s="78">
        <f ca="1">IFERROR(__xludf.DUMMYFUNCTION("""COMPUTED_VALUE"""),15679)</f>
        <v>15679</v>
      </c>
      <c r="J95" s="77"/>
      <c r="K95" s="77"/>
      <c r="L95" s="77">
        <f t="shared" si="26"/>
        <v>46113</v>
      </c>
      <c r="M95" s="77"/>
      <c r="N95" s="77">
        <f t="shared" si="27"/>
        <v>46082</v>
      </c>
      <c r="O95" s="78">
        <f t="shared" ref="O95:P95" si="30">IF(G54="","",G54)</f>
        <v>61228</v>
      </c>
      <c r="P95" s="78">
        <f t="shared" si="30"/>
        <v>11722</v>
      </c>
    </row>
    <row r="96" spans="5:16" ht="13.8" x14ac:dyDescent="0.25">
      <c r="E96" s="77">
        <f ca="1">IFERROR(__xludf.DUMMYFUNCTION("""COMPUTED_VALUE"""),46143)</f>
        <v>46143</v>
      </c>
      <c r="F96" s="78">
        <f ca="1">IFERROR(__xludf.DUMMYFUNCTION("""COMPUTED_VALUE"""),59828)</f>
        <v>59828</v>
      </c>
      <c r="G96" s="78">
        <f ca="1">IFERROR(__xludf.DUMMYFUNCTION("""COMPUTED_VALUE"""),19657)</f>
        <v>19657</v>
      </c>
      <c r="J96" s="77"/>
      <c r="K96" s="77"/>
      <c r="L96" s="77">
        <f t="shared" si="26"/>
        <v>46143</v>
      </c>
      <c r="M96" s="77"/>
      <c r="N96" s="77">
        <f t="shared" si="27"/>
        <v>46113</v>
      </c>
      <c r="O96" s="78">
        <f t="shared" ref="O96:P96" si="31">IF(G55="","",G55)</f>
        <v>60528</v>
      </c>
      <c r="P96" s="78">
        <f t="shared" si="31"/>
        <v>15679</v>
      </c>
    </row>
    <row r="97" spans="5:16" ht="13.8" x14ac:dyDescent="0.25">
      <c r="E97" s="77">
        <f ca="1">IFERROR(__xludf.DUMMYFUNCTION("""COMPUTED_VALUE"""),46174)</f>
        <v>46174</v>
      </c>
      <c r="F97" s="78">
        <f ca="1">IFERROR(__xludf.DUMMYFUNCTION("""COMPUTED_VALUE"""),56388)</f>
        <v>56388</v>
      </c>
      <c r="G97" s="78">
        <f ca="1">IFERROR(__xludf.DUMMYFUNCTION("""COMPUTED_VALUE"""),19727)</f>
        <v>19727</v>
      </c>
      <c r="J97" s="77"/>
      <c r="K97" s="77"/>
      <c r="L97" s="77">
        <f t="shared" si="26"/>
        <v>46174</v>
      </c>
      <c r="M97" s="77"/>
      <c r="N97" s="77">
        <f t="shared" si="27"/>
        <v>46143</v>
      </c>
      <c r="O97" s="78">
        <f t="shared" ref="O97:P97" si="32">IF(G56="","",G56)</f>
        <v>59828</v>
      </c>
      <c r="P97" s="78">
        <f t="shared" si="32"/>
        <v>19657</v>
      </c>
    </row>
    <row r="98" spans="5:16" ht="13.8" x14ac:dyDescent="0.25">
      <c r="E98" s="77">
        <f ca="1">IFERROR(__xludf.DUMMYFUNCTION("""COMPUTED_VALUE"""),46204)</f>
        <v>46204</v>
      </c>
      <c r="F98" s="78">
        <f ca="1">IFERROR(__xludf.DUMMYFUNCTION("""COMPUTED_VALUE"""),62388)</f>
        <v>62388</v>
      </c>
      <c r="G98" s="78">
        <f ca="1">IFERROR(__xludf.DUMMYFUNCTION("""COMPUTED_VALUE"""),21474)</f>
        <v>21474</v>
      </c>
      <c r="J98" s="77"/>
      <c r="K98" s="77"/>
      <c r="L98" s="77">
        <f t="shared" si="26"/>
        <v>46204</v>
      </c>
      <c r="M98" s="77"/>
      <c r="N98" s="77">
        <f t="shared" si="27"/>
        <v>46174</v>
      </c>
      <c r="O98" s="78">
        <f t="shared" ref="O98:P98" si="33">IF(G57="","",G57)</f>
        <v>56388</v>
      </c>
      <c r="P98" s="78">
        <f t="shared" si="33"/>
        <v>19727</v>
      </c>
    </row>
    <row r="99" spans="5:16" ht="13.8" x14ac:dyDescent="0.25">
      <c r="E99" s="77">
        <f ca="1">IFERROR(__xludf.DUMMYFUNCTION("""COMPUTED_VALUE"""),46235)</f>
        <v>46235</v>
      </c>
      <c r="F99" s="78">
        <f ca="1">IFERROR(__xludf.DUMMYFUNCTION("""COMPUTED_VALUE"""),63896)</f>
        <v>63896</v>
      </c>
      <c r="G99" s="78">
        <f ca="1">IFERROR(__xludf.DUMMYFUNCTION("""COMPUTED_VALUE"""),22817)</f>
        <v>22817</v>
      </c>
      <c r="J99" s="77"/>
      <c r="K99" s="77"/>
      <c r="L99" s="77">
        <f t="shared" si="26"/>
        <v>46235</v>
      </c>
      <c r="M99" s="77"/>
      <c r="N99" s="77">
        <f t="shared" si="27"/>
        <v>46204</v>
      </c>
      <c r="O99" s="78">
        <f t="shared" ref="O99:P99" ca="1" si="34">IF(G58="","",G58)</f>
        <v>62388</v>
      </c>
      <c r="P99" s="78">
        <f t="shared" ca="1" si="34"/>
        <v>21474</v>
      </c>
    </row>
    <row r="100" spans="5:16" ht="13.8" x14ac:dyDescent="0.25">
      <c r="E100" s="77"/>
      <c r="J100" s="77"/>
      <c r="K100" s="77"/>
      <c r="L100" s="77">
        <f t="shared" si="26"/>
        <v>46266</v>
      </c>
      <c r="M100" s="77"/>
      <c r="N100" s="77">
        <f t="shared" si="27"/>
        <v>46235</v>
      </c>
      <c r="O100" s="78">
        <f t="shared" ref="O100:P100" ca="1" si="35">IF(G59="","",G59)</f>
        <v>63896</v>
      </c>
      <c r="P100" s="78">
        <f t="shared" ca="1" si="35"/>
        <v>22817</v>
      </c>
    </row>
    <row r="101" spans="5:16" ht="13.8" x14ac:dyDescent="0.25">
      <c r="E101" s="77"/>
      <c r="J101" s="77"/>
      <c r="K101" s="77"/>
      <c r="L101" s="77">
        <f t="shared" si="26"/>
        <v>46296</v>
      </c>
      <c r="M101" s="77"/>
      <c r="N101" s="77">
        <f t="shared" si="27"/>
        <v>46266</v>
      </c>
      <c r="O101" s="78">
        <f t="shared" ref="O101:P101" ca="1" si="36">IF(G60="","",G60)</f>
        <v>63896</v>
      </c>
      <c r="P101" s="78">
        <f t="shared" ca="1" si="36"/>
        <v>21491</v>
      </c>
    </row>
    <row r="102" spans="5:16" ht="13.8" x14ac:dyDescent="0.25">
      <c r="E102" s="77"/>
      <c r="J102" s="77"/>
      <c r="K102" s="77"/>
      <c r="L102" s="77">
        <f t="shared" si="26"/>
        <v>46327</v>
      </c>
      <c r="M102" s="77"/>
      <c r="N102" s="77">
        <f t="shared" si="27"/>
        <v>46296</v>
      </c>
      <c r="O102" s="36" t="str">
        <f t="shared" ref="O102:P102" ca="1" si="37">IF(G61="","",G61)</f>
        <v/>
      </c>
      <c r="P102" s="36" t="str">
        <f t="shared" ca="1" si="37"/>
        <v/>
      </c>
    </row>
    <row r="103" spans="5:16" ht="13.8" x14ac:dyDescent="0.25">
      <c r="E103" s="77"/>
      <c r="J103" s="77"/>
      <c r="K103" s="77"/>
      <c r="L103" s="77">
        <f t="shared" si="26"/>
        <v>46357</v>
      </c>
      <c r="M103" s="77"/>
      <c r="N103" s="77">
        <f t="shared" si="27"/>
        <v>46327</v>
      </c>
      <c r="O103" s="36" t="str">
        <f t="shared" ref="O103:P103" ca="1" si="38">IF(G62="","",G62)</f>
        <v/>
      </c>
      <c r="P103" s="36" t="str">
        <f t="shared" ca="1" si="38"/>
        <v/>
      </c>
    </row>
    <row r="104" spans="5:16" ht="13.8" x14ac:dyDescent="0.25">
      <c r="E104" s="77"/>
      <c r="N104" s="77">
        <f t="shared" si="27"/>
        <v>46357</v>
      </c>
      <c r="O104" s="36" t="str">
        <f t="shared" ref="O104:P104" ca="1" si="39">IF(G63="","",G63)</f>
        <v/>
      </c>
      <c r="P104" s="36" t="str">
        <f t="shared" ca="1" si="39"/>
        <v/>
      </c>
    </row>
    <row r="105" spans="5:16" ht="13.8" x14ac:dyDescent="0.25">
      <c r="E105" s="77"/>
    </row>
    <row r="106" spans="5:16" ht="13.8" x14ac:dyDescent="0.25">
      <c r="E106" s="77"/>
    </row>
    <row r="107" spans="5:16" ht="13.8" x14ac:dyDescent="0.25">
      <c r="E107" s="77"/>
    </row>
    <row r="108" spans="5:16" ht="13.8" x14ac:dyDescent="0.25">
      <c r="E108" s="77"/>
    </row>
    <row r="109" spans="5:16" ht="13.8" x14ac:dyDescent="0.25">
      <c r="E109" s="77"/>
    </row>
    <row r="110" spans="5:16" ht="13.8" x14ac:dyDescent="0.25">
      <c r="E110" s="77"/>
    </row>
    <row r="111" spans="5:16" ht="13.8" x14ac:dyDescent="0.25">
      <c r="E111" s="77"/>
    </row>
    <row r="112" spans="5:16" ht="13.8" x14ac:dyDescent="0.25">
      <c r="E112" s="77"/>
    </row>
    <row r="113" spans="5:5" ht="13.8" x14ac:dyDescent="0.25">
      <c r="E113" s="77"/>
    </row>
    <row r="114" spans="5:5" ht="13.8" x14ac:dyDescent="0.25">
      <c r="E114" s="77"/>
    </row>
    <row r="115" spans="5:5" ht="13.8" x14ac:dyDescent="0.25">
      <c r="E115" s="77"/>
    </row>
  </sheetData>
  <mergeCells count="23">
    <mergeCell ref="A1:C1"/>
    <mergeCell ref="A2:C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C13"/>
    <mergeCell ref="A14:B14"/>
    <mergeCell ref="A22:B22"/>
    <mergeCell ref="A23:B23"/>
    <mergeCell ref="A15:C15"/>
    <mergeCell ref="A16:C16"/>
    <mergeCell ref="A17:C17"/>
    <mergeCell ref="A18:C18"/>
    <mergeCell ref="A19:C19"/>
    <mergeCell ref="A20:B20"/>
    <mergeCell ref="A21:B21"/>
  </mergeCells>
  <conditionalFormatting sqref="C3:C14">
    <cfRule type="expression" dxfId="5" priority="5" stopIfTrue="1">
      <formula>C3="REVISAR"</formula>
    </cfRule>
    <cfRule type="expression" dxfId="4" priority="6" stopIfTrue="1">
      <formula>C3="OK"</formula>
    </cfRule>
  </conditionalFormatting>
  <conditionalFormatting sqref="C7:C10">
    <cfRule type="expression" dxfId="3" priority="4" stopIfTrue="1">
      <formula>C7&gt;0</formula>
    </cfRule>
  </conditionalFormatting>
  <conditionalFormatting sqref="C12">
    <cfRule type="expression" dxfId="2" priority="3" stopIfTrue="1">
      <formula>ABS(C12)&gt;0.01</formula>
    </cfRule>
  </conditionalFormatting>
  <conditionalFormatting sqref="C14">
    <cfRule type="cellIs" dxfId="1" priority="2" stopIfTrue="1" operator="equal">
      <formula>"AVISO"</formula>
    </cfRule>
  </conditionalFormatting>
  <conditionalFormatting sqref="C20:C23">
    <cfRule type="expression" dxfId="0" priority="1" stopIfTrue="1">
      <formula>OR(C20="REVISAR",AND(OR(ROW()=21,ROW()=23),ISNUMBER(C20),C20&gt;0))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7A1E0"/>
    <outlinePr summaryBelow="0" summaryRight="0"/>
  </sheetPr>
  <dimension ref="A1:W125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2.59765625" defaultRowHeight="15" customHeight="1" x14ac:dyDescent="0.25"/>
  <cols>
    <col min="1" max="7" width="9.8984375" customWidth="1"/>
    <col min="8" max="8" width="2.3984375" customWidth="1"/>
    <col min="9" max="15" width="9.8984375" customWidth="1"/>
    <col min="16" max="16" width="2.3984375" customWidth="1"/>
    <col min="17" max="23" width="9.8984375" customWidth="1"/>
  </cols>
  <sheetData>
    <row r="1" spans="1:23" ht="28.5" customHeight="1" x14ac:dyDescent="0.25">
      <c r="A1" s="125" t="s">
        <v>152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41.25" customHeight="1" x14ac:dyDescent="0.25">
      <c r="A2" s="137" t="s">
        <v>153</v>
      </c>
      <c r="B2" s="138"/>
      <c r="C2" s="138"/>
      <c r="D2" s="138"/>
      <c r="E2" s="138"/>
      <c r="F2" s="138"/>
      <c r="G2" s="139"/>
      <c r="H2" s="17"/>
      <c r="I2" s="135" t="s">
        <v>154</v>
      </c>
      <c r="J2" s="131"/>
      <c r="K2" s="131"/>
      <c r="L2" s="131"/>
      <c r="M2" s="144">
        <f ca="1">IF(COUNT('Datos diarios'!D2:D366)&gt;=2,TRUNC(STDEV('Datos diarios'!D2:D366)*SQRT(252),2),"—")</f>
        <v>6</v>
      </c>
      <c r="N2" s="131"/>
      <c r="O2" s="131"/>
      <c r="P2" s="83"/>
      <c r="Q2" s="135" t="s">
        <v>155</v>
      </c>
      <c r="R2" s="131"/>
      <c r="S2" s="131"/>
      <c r="T2" s="131"/>
      <c r="U2" s="145" t="str">
        <f ca="1">IF(COUNT('Datos diarios'!D2:D366)&gt;=2,"Diario (√252)","Mensual histórico")</f>
        <v>Diario (√252)</v>
      </c>
      <c r="V2" s="131"/>
      <c r="W2" s="131"/>
    </row>
    <row r="3" spans="1:23" ht="21" customHeight="1" x14ac:dyDescent="0.25">
      <c r="A3" s="140"/>
      <c r="B3" s="106"/>
      <c r="C3" s="106"/>
      <c r="D3" s="106"/>
      <c r="E3" s="106"/>
      <c r="F3" s="106"/>
      <c r="G3" s="141"/>
      <c r="H3" s="17"/>
      <c r="I3" s="135" t="s">
        <v>156</v>
      </c>
      <c r="J3" s="131"/>
      <c r="K3" s="131"/>
      <c r="L3" s="131"/>
      <c r="M3" s="146">
        <f ca="1">COUNT('Datos diarios'!D2:D366)</f>
        <v>54</v>
      </c>
      <c r="N3" s="131"/>
      <c r="O3" s="131"/>
      <c r="P3" s="83"/>
      <c r="Q3" s="135" t="s">
        <v>157</v>
      </c>
      <c r="R3" s="131"/>
      <c r="S3" s="131"/>
      <c r="T3" s="131"/>
      <c r="U3" s="147">
        <f ca="1">IFERROR(__xludf.DUMMYFUNCTION("IFERROR(MAX(FILTER('Datos diarios'!A2:A366,'Datos diarios'!B2:B366&lt;&gt;"""")),""—"")"),46275)</f>
        <v>46275</v>
      </c>
      <c r="V3" s="131"/>
      <c r="W3" s="131"/>
    </row>
    <row r="4" spans="1:23" ht="21" customHeight="1" x14ac:dyDescent="0.25">
      <c r="A4" s="142"/>
      <c r="B4" s="131"/>
      <c r="C4" s="131"/>
      <c r="D4" s="131"/>
      <c r="E4" s="131"/>
      <c r="F4" s="131"/>
      <c r="G4" s="143"/>
      <c r="H4" s="17"/>
      <c r="I4" s="136" t="s">
        <v>158</v>
      </c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</row>
    <row r="5" spans="1:23" ht="7.5" customHeight="1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spans="1:23" ht="16.5" customHeight="1" x14ac:dyDescent="0.25">
      <c r="A6" s="132" t="s">
        <v>159</v>
      </c>
      <c r="B6" s="106"/>
      <c r="C6" s="106"/>
      <c r="D6" s="106"/>
      <c r="E6" s="106"/>
      <c r="F6" s="106"/>
      <c r="G6" s="106"/>
      <c r="H6" s="17"/>
      <c r="I6" s="132" t="s">
        <v>160</v>
      </c>
      <c r="J6" s="106"/>
      <c r="K6" s="106"/>
      <c r="L6" s="106"/>
      <c r="M6" s="106"/>
      <c r="N6" s="106"/>
      <c r="O6" s="106"/>
      <c r="P6" s="17"/>
      <c r="Q6" s="132" t="s">
        <v>161</v>
      </c>
      <c r="R6" s="106"/>
      <c r="S6" s="106"/>
      <c r="T6" s="106"/>
      <c r="U6" s="106"/>
      <c r="V6" s="106"/>
      <c r="W6" s="106"/>
    </row>
    <row r="7" spans="1:23" ht="16.5" customHeight="1" x14ac:dyDescent="0.25">
      <c r="A7" s="84" t="s">
        <v>162</v>
      </c>
      <c r="B7" s="84" t="s">
        <v>163</v>
      </c>
      <c r="C7" s="84" t="s">
        <v>164</v>
      </c>
      <c r="D7" s="84" t="s">
        <v>165</v>
      </c>
      <c r="E7" s="84" t="s">
        <v>166</v>
      </c>
      <c r="F7" s="85" t="s">
        <v>167</v>
      </c>
      <c r="G7" s="85" t="s">
        <v>168</v>
      </c>
      <c r="H7" s="17"/>
      <c r="I7" s="84" t="s">
        <v>162</v>
      </c>
      <c r="J7" s="84" t="s">
        <v>163</v>
      </c>
      <c r="K7" s="84" t="s">
        <v>164</v>
      </c>
      <c r="L7" s="84" t="s">
        <v>165</v>
      </c>
      <c r="M7" s="84" t="s">
        <v>166</v>
      </c>
      <c r="N7" s="85" t="s">
        <v>167</v>
      </c>
      <c r="O7" s="85" t="s">
        <v>168</v>
      </c>
      <c r="P7" s="17"/>
      <c r="Q7" s="84" t="s">
        <v>162</v>
      </c>
      <c r="R7" s="84" t="s">
        <v>163</v>
      </c>
      <c r="S7" s="84" t="s">
        <v>164</v>
      </c>
      <c r="T7" s="84" t="s">
        <v>165</v>
      </c>
      <c r="U7" s="84" t="s">
        <v>166</v>
      </c>
      <c r="V7" s="85" t="s">
        <v>167</v>
      </c>
      <c r="W7" s="85" t="s">
        <v>168</v>
      </c>
    </row>
    <row r="8" spans="1:23" ht="16.5" customHeight="1" x14ac:dyDescent="0.25">
      <c r="A8" s="17"/>
      <c r="B8" s="17"/>
      <c r="C8" s="17"/>
      <c r="D8" s="86">
        <v>1</v>
      </c>
      <c r="E8" s="86">
        <v>2</v>
      </c>
      <c r="F8" s="87">
        <v>3</v>
      </c>
      <c r="G8" s="87">
        <v>4</v>
      </c>
      <c r="H8" s="17"/>
      <c r="I8" s="17"/>
      <c r="J8" s="17"/>
      <c r="K8" s="17"/>
      <c r="L8" s="17"/>
      <c r="M8" s="17"/>
      <c r="N8" s="17"/>
      <c r="O8" s="87">
        <v>1</v>
      </c>
      <c r="P8" s="17"/>
      <c r="Q8" s="17"/>
      <c r="R8" s="17"/>
      <c r="S8" s="17"/>
      <c r="T8" s="17"/>
      <c r="U8" s="17"/>
      <c r="V8" s="17"/>
      <c r="W8" s="87">
        <v>1</v>
      </c>
    </row>
    <row r="9" spans="1:23" ht="16.5" customHeight="1" x14ac:dyDescent="0.25">
      <c r="A9" s="17"/>
      <c r="B9" s="17"/>
      <c r="C9" s="17"/>
      <c r="D9" s="88" t="str">
        <f>IF(Diario!B6="","",Diario!B6)</f>
        <v/>
      </c>
      <c r="E9" s="88" t="str">
        <f>IF(Diario!B7="","",Diario!B7)</f>
        <v/>
      </c>
      <c r="F9" s="89" t="str">
        <f>IF(Diario!B8="","",Diario!B8)</f>
        <v/>
      </c>
      <c r="G9" s="89" t="str">
        <f>IF(Diario!B9="","",Diario!B9)</f>
        <v/>
      </c>
      <c r="H9" s="17"/>
      <c r="I9" s="17"/>
      <c r="J9" s="17"/>
      <c r="K9" s="17"/>
      <c r="L9" s="17"/>
      <c r="M9" s="17"/>
      <c r="N9" s="17"/>
      <c r="O9" s="89" t="str">
        <f>IF(Diario!B37="","",Diario!B37)</f>
        <v/>
      </c>
      <c r="P9" s="17"/>
      <c r="Q9" s="17"/>
      <c r="R9" s="17"/>
      <c r="S9" s="17"/>
      <c r="T9" s="17"/>
      <c r="U9" s="17"/>
      <c r="V9" s="17"/>
      <c r="W9" s="89" t="str">
        <f>IF(Diario!B65="","",Diario!B65)</f>
        <v/>
      </c>
    </row>
    <row r="10" spans="1:23" ht="16.5" customHeight="1" x14ac:dyDescent="0.25">
      <c r="A10" s="86">
        <v>5</v>
      </c>
      <c r="B10" s="86">
        <v>6</v>
      </c>
      <c r="C10" s="86">
        <v>7</v>
      </c>
      <c r="D10" s="86">
        <v>8</v>
      </c>
      <c r="E10" s="86">
        <v>9</v>
      </c>
      <c r="F10" s="87">
        <v>10</v>
      </c>
      <c r="G10" s="87">
        <v>11</v>
      </c>
      <c r="H10" s="17"/>
      <c r="I10" s="86">
        <v>2</v>
      </c>
      <c r="J10" s="86">
        <v>3</v>
      </c>
      <c r="K10" s="86">
        <v>4</v>
      </c>
      <c r="L10" s="86">
        <v>5</v>
      </c>
      <c r="M10" s="86">
        <v>6</v>
      </c>
      <c r="N10" s="87">
        <v>7</v>
      </c>
      <c r="O10" s="87">
        <v>8</v>
      </c>
      <c r="P10" s="17"/>
      <c r="Q10" s="86">
        <v>2</v>
      </c>
      <c r="R10" s="86">
        <v>3</v>
      </c>
      <c r="S10" s="86">
        <v>4</v>
      </c>
      <c r="T10" s="86">
        <v>5</v>
      </c>
      <c r="U10" s="86">
        <v>6</v>
      </c>
      <c r="V10" s="87">
        <v>7</v>
      </c>
      <c r="W10" s="87">
        <v>8</v>
      </c>
    </row>
    <row r="11" spans="1:23" ht="16.5" customHeight="1" x14ac:dyDescent="0.25">
      <c r="A11" s="88" t="str">
        <f>IF(Diario!B10="","",Diario!B10)</f>
        <v/>
      </c>
      <c r="B11" s="88" t="str">
        <f>IF(Diario!B11="","",Diario!B11)</f>
        <v/>
      </c>
      <c r="C11" s="88" t="str">
        <f>IF(Diario!B12="","",Diario!B12)</f>
        <v/>
      </c>
      <c r="D11" s="88" t="str">
        <f>IF(Diario!B13="","",Diario!B13)</f>
        <v/>
      </c>
      <c r="E11" s="88" t="str">
        <f>IF(Diario!B14="","",Diario!B14)</f>
        <v/>
      </c>
      <c r="F11" s="89" t="str">
        <f>IF(Diario!B15="","",Diario!B15)</f>
        <v/>
      </c>
      <c r="G11" s="89" t="str">
        <f>IF(Diario!B16="","",Diario!B16)</f>
        <v/>
      </c>
      <c r="H11" s="17"/>
      <c r="I11" s="88" t="str">
        <f>IF(Diario!B38="","",Diario!B38)</f>
        <v/>
      </c>
      <c r="J11" s="88" t="str">
        <f>IF(Diario!B39="","",Diario!B39)</f>
        <v/>
      </c>
      <c r="K11" s="88" t="str">
        <f>IF(Diario!B40="","",Diario!B40)</f>
        <v/>
      </c>
      <c r="L11" s="88" t="str">
        <f>IF(Diario!B41="","",Diario!B41)</f>
        <v/>
      </c>
      <c r="M11" s="88" t="str">
        <f>IF(Diario!B42="","",Diario!B42)</f>
        <v/>
      </c>
      <c r="N11" s="89" t="str">
        <f>IF(Diario!B43="","",Diario!B43)</f>
        <v/>
      </c>
      <c r="O11" s="89" t="str">
        <f>IF(Diario!B44="","",Diario!B44)</f>
        <v/>
      </c>
      <c r="P11" s="17"/>
      <c r="Q11" s="88" t="str">
        <f>IF(Diario!B66="","",Diario!B66)</f>
        <v/>
      </c>
      <c r="R11" s="88" t="str">
        <f>IF(Diario!B67="","",Diario!B67)</f>
        <v/>
      </c>
      <c r="S11" s="88" t="str">
        <f>IF(Diario!B68="","",Diario!B68)</f>
        <v/>
      </c>
      <c r="T11" s="88" t="str">
        <f>IF(Diario!B69="","",Diario!B69)</f>
        <v/>
      </c>
      <c r="U11" s="88" t="str">
        <f>IF(Diario!B70="","",Diario!B70)</f>
        <v/>
      </c>
      <c r="V11" s="89" t="str">
        <f>IF(Diario!B71="","",Diario!B71)</f>
        <v/>
      </c>
      <c r="W11" s="89" t="str">
        <f>IF(Diario!B72="","",Diario!B72)</f>
        <v/>
      </c>
    </row>
    <row r="12" spans="1:23" ht="16.5" customHeight="1" x14ac:dyDescent="0.25">
      <c r="A12" s="86">
        <v>12</v>
      </c>
      <c r="B12" s="86">
        <v>13</v>
      </c>
      <c r="C12" s="86">
        <v>14</v>
      </c>
      <c r="D12" s="86">
        <v>15</v>
      </c>
      <c r="E12" s="86">
        <v>16</v>
      </c>
      <c r="F12" s="87">
        <v>17</v>
      </c>
      <c r="G12" s="87">
        <v>18</v>
      </c>
      <c r="H12" s="17"/>
      <c r="I12" s="86">
        <v>9</v>
      </c>
      <c r="J12" s="86">
        <v>10</v>
      </c>
      <c r="K12" s="86">
        <v>11</v>
      </c>
      <c r="L12" s="86">
        <v>12</v>
      </c>
      <c r="M12" s="86">
        <v>13</v>
      </c>
      <c r="N12" s="87">
        <v>14</v>
      </c>
      <c r="O12" s="87">
        <v>15</v>
      </c>
      <c r="P12" s="17"/>
      <c r="Q12" s="86">
        <v>9</v>
      </c>
      <c r="R12" s="86">
        <v>10</v>
      </c>
      <c r="S12" s="86">
        <v>11</v>
      </c>
      <c r="T12" s="86">
        <v>12</v>
      </c>
      <c r="U12" s="86">
        <v>13</v>
      </c>
      <c r="V12" s="87">
        <v>14</v>
      </c>
      <c r="W12" s="87">
        <v>15</v>
      </c>
    </row>
    <row r="13" spans="1:23" ht="16.5" customHeight="1" x14ac:dyDescent="0.25">
      <c r="A13" s="88" t="str">
        <f>IF(Diario!B17="","",Diario!B17)</f>
        <v/>
      </c>
      <c r="B13" s="88" t="str">
        <f>IF(Diario!B18="","",Diario!B18)</f>
        <v/>
      </c>
      <c r="C13" s="88" t="str">
        <f>IF(Diario!B19="","",Diario!B19)</f>
        <v/>
      </c>
      <c r="D13" s="88" t="str">
        <f>IF(Diario!B20="","",Diario!B20)</f>
        <v/>
      </c>
      <c r="E13" s="88" t="str">
        <f>IF(Diario!B21="","",Diario!B21)</f>
        <v/>
      </c>
      <c r="F13" s="89" t="str">
        <f>IF(Diario!B22="","",Diario!B22)</f>
        <v/>
      </c>
      <c r="G13" s="89" t="str">
        <f>IF(Diario!B23="","",Diario!B23)</f>
        <v/>
      </c>
      <c r="H13" s="17"/>
      <c r="I13" s="88" t="str">
        <f>IF(Diario!B45="","",Diario!B45)</f>
        <v/>
      </c>
      <c r="J13" s="88" t="str">
        <f>IF(Diario!B46="","",Diario!B46)</f>
        <v/>
      </c>
      <c r="K13" s="88" t="str">
        <f>IF(Diario!B47="","",Diario!B47)</f>
        <v/>
      </c>
      <c r="L13" s="88" t="str">
        <f>IF(Diario!B48="","",Diario!B48)</f>
        <v/>
      </c>
      <c r="M13" s="88" t="str">
        <f>IF(Diario!B49="","",Diario!B49)</f>
        <v/>
      </c>
      <c r="N13" s="89" t="str">
        <f>IF(Diario!B50="","",Diario!B50)</f>
        <v/>
      </c>
      <c r="O13" s="89" t="str">
        <f>IF(Diario!B51="","",Diario!B51)</f>
        <v/>
      </c>
      <c r="P13" s="17"/>
      <c r="Q13" s="88" t="str">
        <f>IF(Diario!B73="","",Diario!B73)</f>
        <v/>
      </c>
      <c r="R13" s="88" t="str">
        <f>IF(Diario!B74="","",Diario!B74)</f>
        <v/>
      </c>
      <c r="S13" s="88" t="str">
        <f>IF(Diario!B75="","",Diario!B75)</f>
        <v/>
      </c>
      <c r="T13" s="88" t="str">
        <f>IF(Diario!B76="","",Diario!B76)</f>
        <v/>
      </c>
      <c r="U13" s="88" t="str">
        <f>IF(Diario!B77="","",Diario!B77)</f>
        <v/>
      </c>
      <c r="V13" s="89" t="str">
        <f>IF(Diario!B78="","",Diario!B78)</f>
        <v/>
      </c>
      <c r="W13" s="89" t="str">
        <f>IF(Diario!B79="","",Diario!B79)</f>
        <v/>
      </c>
    </row>
    <row r="14" spans="1:23" ht="16.5" customHeight="1" x14ac:dyDescent="0.25">
      <c r="A14" s="86">
        <v>19</v>
      </c>
      <c r="B14" s="86">
        <v>20</v>
      </c>
      <c r="C14" s="86">
        <v>21</v>
      </c>
      <c r="D14" s="86">
        <v>22</v>
      </c>
      <c r="E14" s="86">
        <v>23</v>
      </c>
      <c r="F14" s="87">
        <v>24</v>
      </c>
      <c r="G14" s="87">
        <v>25</v>
      </c>
      <c r="H14" s="17"/>
      <c r="I14" s="86">
        <v>16</v>
      </c>
      <c r="J14" s="86">
        <v>17</v>
      </c>
      <c r="K14" s="86">
        <v>18</v>
      </c>
      <c r="L14" s="86">
        <v>19</v>
      </c>
      <c r="M14" s="86">
        <v>20</v>
      </c>
      <c r="N14" s="87">
        <v>21</v>
      </c>
      <c r="O14" s="87">
        <v>22</v>
      </c>
      <c r="P14" s="17"/>
      <c r="Q14" s="86">
        <v>16</v>
      </c>
      <c r="R14" s="86">
        <v>17</v>
      </c>
      <c r="S14" s="86">
        <v>18</v>
      </c>
      <c r="T14" s="86">
        <v>19</v>
      </c>
      <c r="U14" s="86">
        <v>20</v>
      </c>
      <c r="V14" s="87">
        <v>21</v>
      </c>
      <c r="W14" s="87">
        <v>22</v>
      </c>
    </row>
    <row r="15" spans="1:23" ht="16.5" customHeight="1" x14ac:dyDescent="0.25">
      <c r="A15" s="88" t="str">
        <f>IF(Diario!B24="","",Diario!B24)</f>
        <v/>
      </c>
      <c r="B15" s="88" t="str">
        <f>IF(Diario!B25="","",Diario!B25)</f>
        <v/>
      </c>
      <c r="C15" s="88" t="str">
        <f>IF(Diario!B26="","",Diario!B26)</f>
        <v/>
      </c>
      <c r="D15" s="88" t="str">
        <f>IF(Diario!B27="","",Diario!B27)</f>
        <v/>
      </c>
      <c r="E15" s="88" t="str">
        <f>IF(Diario!B28="","",Diario!B28)</f>
        <v/>
      </c>
      <c r="F15" s="89" t="str">
        <f>IF(Diario!B29="","",Diario!B29)</f>
        <v/>
      </c>
      <c r="G15" s="89" t="str">
        <f>IF(Diario!B30="","",Diario!B30)</f>
        <v/>
      </c>
      <c r="H15" s="17"/>
      <c r="I15" s="88" t="str">
        <f>IF(Diario!B52="","",Diario!B52)</f>
        <v/>
      </c>
      <c r="J15" s="88" t="str">
        <f>IF(Diario!B53="","",Diario!B53)</f>
        <v/>
      </c>
      <c r="K15" s="88" t="str">
        <f>IF(Diario!B54="","",Diario!B54)</f>
        <v/>
      </c>
      <c r="L15" s="88" t="str">
        <f>IF(Diario!B55="","",Diario!B55)</f>
        <v/>
      </c>
      <c r="M15" s="88" t="str">
        <f>IF(Diario!B56="","",Diario!B56)</f>
        <v/>
      </c>
      <c r="N15" s="89" t="str">
        <f>IF(Diario!B57="","",Diario!B57)</f>
        <v/>
      </c>
      <c r="O15" s="89" t="str">
        <f>IF(Diario!B58="","",Diario!B58)</f>
        <v/>
      </c>
      <c r="P15" s="17"/>
      <c r="Q15" s="88" t="str">
        <f>IF(Diario!B80="","",Diario!B80)</f>
        <v/>
      </c>
      <c r="R15" s="88" t="str">
        <f>IF(Diario!B81="","",Diario!B81)</f>
        <v/>
      </c>
      <c r="S15" s="88" t="str">
        <f>IF(Diario!B82="","",Diario!B82)</f>
        <v/>
      </c>
      <c r="T15" s="88" t="str">
        <f>IF(Diario!B83="","",Diario!B83)</f>
        <v/>
      </c>
      <c r="U15" s="88" t="str">
        <f>IF(Diario!B84="","",Diario!B84)</f>
        <v/>
      </c>
      <c r="V15" s="89" t="str">
        <f>IF(Diario!B85="","",Diario!B85)</f>
        <v/>
      </c>
      <c r="W15" s="89" t="str">
        <f>IF(Diario!B86="","",Diario!B86)</f>
        <v/>
      </c>
    </row>
    <row r="16" spans="1:23" ht="16.5" customHeight="1" x14ac:dyDescent="0.25">
      <c r="A16" s="86">
        <v>26</v>
      </c>
      <c r="B16" s="86">
        <v>27</v>
      </c>
      <c r="C16" s="86">
        <v>28</v>
      </c>
      <c r="D16" s="86">
        <v>29</v>
      </c>
      <c r="E16" s="86">
        <v>30</v>
      </c>
      <c r="F16" s="87">
        <v>31</v>
      </c>
      <c r="G16" s="17"/>
      <c r="H16" s="17"/>
      <c r="I16" s="86">
        <v>23</v>
      </c>
      <c r="J16" s="86">
        <v>24</v>
      </c>
      <c r="K16" s="86">
        <v>25</v>
      </c>
      <c r="L16" s="86">
        <v>26</v>
      </c>
      <c r="M16" s="86">
        <v>27</v>
      </c>
      <c r="N16" s="87">
        <v>28</v>
      </c>
      <c r="O16" s="17"/>
      <c r="P16" s="17"/>
      <c r="Q16" s="86">
        <v>23</v>
      </c>
      <c r="R16" s="86">
        <v>24</v>
      </c>
      <c r="S16" s="86">
        <v>25</v>
      </c>
      <c r="T16" s="86">
        <v>26</v>
      </c>
      <c r="U16" s="86">
        <v>27</v>
      </c>
      <c r="V16" s="87">
        <v>28</v>
      </c>
      <c r="W16" s="87">
        <v>29</v>
      </c>
    </row>
    <row r="17" spans="1:23" ht="16.5" customHeight="1" x14ac:dyDescent="0.25">
      <c r="A17" s="88" t="str">
        <f>IF(Diario!B31="","",Diario!B31)</f>
        <v/>
      </c>
      <c r="B17" s="88" t="str">
        <f>IF(Diario!B32="","",Diario!B32)</f>
        <v/>
      </c>
      <c r="C17" s="88" t="str">
        <f>IF(Diario!B33="","",Diario!B33)</f>
        <v/>
      </c>
      <c r="D17" s="88" t="str">
        <f>IF(Diario!B34="","",Diario!B34)</f>
        <v/>
      </c>
      <c r="E17" s="90">
        <f>IF(Diario!B35="","",Diario!B35)</f>
        <v>76000</v>
      </c>
      <c r="F17" s="89" t="str">
        <f>IF(Diario!B36="","",Diario!B36)</f>
        <v/>
      </c>
      <c r="G17" s="17"/>
      <c r="H17" s="17"/>
      <c r="I17" s="88" t="str">
        <f>IF(Diario!B59="","",Diario!B59)</f>
        <v/>
      </c>
      <c r="J17" s="88" t="str">
        <f>IF(Diario!B60="","",Diario!B60)</f>
        <v/>
      </c>
      <c r="K17" s="88" t="str">
        <f>IF(Diario!B61="","",Diario!B61)</f>
        <v/>
      </c>
      <c r="L17" s="88" t="str">
        <f>IF(Diario!B62="","",Diario!B62)</f>
        <v/>
      </c>
      <c r="M17" s="90">
        <f>IF(Diario!B63="","",Diario!B63)</f>
        <v>76422</v>
      </c>
      <c r="N17" s="89" t="str">
        <f>IF(Diario!B64="","",Diario!B64)</f>
        <v/>
      </c>
      <c r="O17" s="17"/>
      <c r="P17" s="17"/>
      <c r="Q17" s="88" t="str">
        <f>IF(Diario!B87="","",Diario!B87)</f>
        <v/>
      </c>
      <c r="R17" s="88" t="str">
        <f>IF(Diario!B88="","",Diario!B88)</f>
        <v/>
      </c>
      <c r="S17" s="88" t="str">
        <f>IF(Diario!B89="","",Diario!B89)</f>
        <v/>
      </c>
      <c r="T17" s="88" t="str">
        <f>IF(Diario!B90="","",Diario!B90)</f>
        <v/>
      </c>
      <c r="U17" s="88" t="str">
        <f>IF(Diario!B91="","",Diario!B91)</f>
        <v/>
      </c>
      <c r="V17" s="89" t="str">
        <f>IF(Diario!B92="","",Diario!B92)</f>
        <v/>
      </c>
      <c r="W17" s="89" t="str">
        <f>IF(Diario!B93="","",Diario!B93)</f>
        <v/>
      </c>
    </row>
    <row r="18" spans="1:23" ht="16.5" customHeigh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86">
        <v>30</v>
      </c>
      <c r="R18" s="86">
        <v>31</v>
      </c>
      <c r="S18" s="17"/>
      <c r="T18" s="17"/>
      <c r="U18" s="17"/>
      <c r="V18" s="17"/>
      <c r="W18" s="17"/>
    </row>
    <row r="19" spans="1:23" ht="16.5" customHeight="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88" t="str">
        <f>IF(Diario!B94="","",Diario!B94)</f>
        <v/>
      </c>
      <c r="R19" s="90">
        <f>IF(Diario!B95="","",Diario!B95)</f>
        <v>72950</v>
      </c>
      <c r="S19" s="17"/>
      <c r="T19" s="17"/>
      <c r="U19" s="17"/>
      <c r="V19" s="17"/>
      <c r="W19" s="17"/>
    </row>
    <row r="20" spans="1:23" ht="16.5" customHeight="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spans="1:23" ht="16.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spans="1:23" ht="16.5" customHeight="1" x14ac:dyDescent="0.25">
      <c r="A22" s="132" t="s">
        <v>169</v>
      </c>
      <c r="B22" s="106"/>
      <c r="C22" s="106"/>
      <c r="D22" s="106"/>
      <c r="E22" s="106"/>
      <c r="F22" s="106"/>
      <c r="G22" s="106"/>
      <c r="H22" s="17"/>
      <c r="I22" s="132" t="s">
        <v>170</v>
      </c>
      <c r="J22" s="106"/>
      <c r="K22" s="106"/>
      <c r="L22" s="106"/>
      <c r="M22" s="106"/>
      <c r="N22" s="106"/>
      <c r="O22" s="106"/>
      <c r="P22" s="17"/>
      <c r="Q22" s="132" t="s">
        <v>171</v>
      </c>
      <c r="R22" s="106"/>
      <c r="S22" s="106"/>
      <c r="T22" s="106"/>
      <c r="U22" s="106"/>
      <c r="V22" s="106"/>
      <c r="W22" s="106"/>
    </row>
    <row r="23" spans="1:23" ht="16.5" customHeight="1" x14ac:dyDescent="0.25">
      <c r="A23" s="84" t="s">
        <v>162</v>
      </c>
      <c r="B23" s="84" t="s">
        <v>163</v>
      </c>
      <c r="C23" s="84" t="s">
        <v>164</v>
      </c>
      <c r="D23" s="84" t="s">
        <v>165</v>
      </c>
      <c r="E23" s="84" t="s">
        <v>166</v>
      </c>
      <c r="F23" s="85" t="s">
        <v>167</v>
      </c>
      <c r="G23" s="85" t="s">
        <v>168</v>
      </c>
      <c r="H23" s="17"/>
      <c r="I23" s="84" t="s">
        <v>162</v>
      </c>
      <c r="J23" s="84" t="s">
        <v>163</v>
      </c>
      <c r="K23" s="84" t="s">
        <v>164</v>
      </c>
      <c r="L23" s="84" t="s">
        <v>165</v>
      </c>
      <c r="M23" s="84" t="s">
        <v>166</v>
      </c>
      <c r="N23" s="85" t="s">
        <v>167</v>
      </c>
      <c r="O23" s="85" t="s">
        <v>168</v>
      </c>
      <c r="P23" s="17"/>
      <c r="Q23" s="84" t="s">
        <v>162</v>
      </c>
      <c r="R23" s="84" t="s">
        <v>163</v>
      </c>
      <c r="S23" s="84" t="s">
        <v>164</v>
      </c>
      <c r="T23" s="84" t="s">
        <v>165</v>
      </c>
      <c r="U23" s="84" t="s">
        <v>166</v>
      </c>
      <c r="V23" s="85" t="s">
        <v>167</v>
      </c>
      <c r="W23" s="85" t="s">
        <v>168</v>
      </c>
    </row>
    <row r="24" spans="1:23" ht="16.5" customHeight="1" x14ac:dyDescent="0.25">
      <c r="A24" s="17"/>
      <c r="B24" s="17"/>
      <c r="C24" s="86">
        <v>1</v>
      </c>
      <c r="D24" s="86">
        <v>2</v>
      </c>
      <c r="E24" s="86">
        <v>3</v>
      </c>
      <c r="F24" s="87">
        <v>4</v>
      </c>
      <c r="G24" s="87">
        <v>5</v>
      </c>
      <c r="H24" s="17"/>
      <c r="I24" s="17"/>
      <c r="J24" s="17"/>
      <c r="K24" s="17"/>
      <c r="L24" s="17"/>
      <c r="M24" s="86">
        <v>1</v>
      </c>
      <c r="N24" s="87">
        <v>2</v>
      </c>
      <c r="O24" s="87">
        <v>3</v>
      </c>
      <c r="P24" s="17"/>
      <c r="Q24" s="86">
        <v>1</v>
      </c>
      <c r="R24" s="86">
        <v>2</v>
      </c>
      <c r="S24" s="86">
        <v>3</v>
      </c>
      <c r="T24" s="86">
        <v>4</v>
      </c>
      <c r="U24" s="86">
        <v>5</v>
      </c>
      <c r="V24" s="87">
        <v>6</v>
      </c>
      <c r="W24" s="87">
        <v>7</v>
      </c>
    </row>
    <row r="25" spans="1:23" ht="16.5" customHeight="1" x14ac:dyDescent="0.25">
      <c r="A25" s="17"/>
      <c r="B25" s="17"/>
      <c r="C25" s="88" t="str">
        <f>IF(Diario!B96="","",Diario!B96)</f>
        <v/>
      </c>
      <c r="D25" s="88" t="str">
        <f>IF(Diario!B97="","",Diario!B97)</f>
        <v/>
      </c>
      <c r="E25" s="88" t="str">
        <f>IF(Diario!B98="","",Diario!B98)</f>
        <v/>
      </c>
      <c r="F25" s="89" t="str">
        <f>IF(Diario!B99="","",Diario!B99)</f>
        <v/>
      </c>
      <c r="G25" s="89" t="str">
        <f>IF(Diario!B100="","",Diario!B100)</f>
        <v/>
      </c>
      <c r="H25" s="17"/>
      <c r="I25" s="17"/>
      <c r="J25" s="17"/>
      <c r="K25" s="17"/>
      <c r="L25" s="17"/>
      <c r="M25" s="88" t="str">
        <f>IF(Diario!B126="","",Diario!B126)</f>
        <v/>
      </c>
      <c r="N25" s="89" t="str">
        <f>IF(Diario!B127="","",Diario!B127)</f>
        <v/>
      </c>
      <c r="O25" s="89" t="str">
        <f>IF(Diario!B128="","",Diario!B128)</f>
        <v/>
      </c>
      <c r="P25" s="17"/>
      <c r="Q25" s="88" t="str">
        <f>IF(Diario!B157="","",Diario!B157)</f>
        <v/>
      </c>
      <c r="R25" s="88" t="str">
        <f>IF(Diario!B158="","",Diario!B158)</f>
        <v/>
      </c>
      <c r="S25" s="88" t="str">
        <f>IF(Diario!B159="","",Diario!B159)</f>
        <v/>
      </c>
      <c r="T25" s="88" t="str">
        <f>IF(Diario!B160="","",Diario!B160)</f>
        <v/>
      </c>
      <c r="U25" s="88" t="str">
        <f>IF(Diario!B161="","",Diario!B161)</f>
        <v/>
      </c>
      <c r="V25" s="89" t="str">
        <f>IF(Diario!B162="","",Diario!B162)</f>
        <v/>
      </c>
      <c r="W25" s="89" t="str">
        <f>IF(Diario!B163="","",Diario!B163)</f>
        <v/>
      </c>
    </row>
    <row r="26" spans="1:23" ht="16.5" customHeight="1" x14ac:dyDescent="0.25">
      <c r="A26" s="86">
        <v>6</v>
      </c>
      <c r="B26" s="86">
        <v>7</v>
      </c>
      <c r="C26" s="86">
        <v>8</v>
      </c>
      <c r="D26" s="86">
        <v>9</v>
      </c>
      <c r="E26" s="86">
        <v>10</v>
      </c>
      <c r="F26" s="87">
        <v>11</v>
      </c>
      <c r="G26" s="87">
        <v>12</v>
      </c>
      <c r="H26" s="17"/>
      <c r="I26" s="86">
        <v>4</v>
      </c>
      <c r="J26" s="86">
        <v>5</v>
      </c>
      <c r="K26" s="86">
        <v>6</v>
      </c>
      <c r="L26" s="86">
        <v>7</v>
      </c>
      <c r="M26" s="86">
        <v>8</v>
      </c>
      <c r="N26" s="87">
        <v>9</v>
      </c>
      <c r="O26" s="87">
        <v>10</v>
      </c>
      <c r="P26" s="17"/>
      <c r="Q26" s="86">
        <v>8</v>
      </c>
      <c r="R26" s="86">
        <v>9</v>
      </c>
      <c r="S26" s="86">
        <v>10</v>
      </c>
      <c r="T26" s="86">
        <v>11</v>
      </c>
      <c r="U26" s="86">
        <v>12</v>
      </c>
      <c r="V26" s="87">
        <v>13</v>
      </c>
      <c r="W26" s="87">
        <v>14</v>
      </c>
    </row>
    <row r="27" spans="1:23" ht="16.5" customHeight="1" x14ac:dyDescent="0.25">
      <c r="A27" s="88" t="str">
        <f>IF(Diario!B101="","",Diario!B101)</f>
        <v/>
      </c>
      <c r="B27" s="88" t="str">
        <f>IF(Diario!B102="","",Diario!B102)</f>
        <v/>
      </c>
      <c r="C27" s="88" t="str">
        <f>IF(Diario!B103="","",Diario!B103)</f>
        <v/>
      </c>
      <c r="D27" s="88" t="str">
        <f>IF(Diario!B104="","",Diario!B104)</f>
        <v/>
      </c>
      <c r="E27" s="88" t="str">
        <f>IF(Diario!B105="","",Diario!B105)</f>
        <v/>
      </c>
      <c r="F27" s="89" t="str">
        <f>IF(Diario!B106="","",Diario!B106)</f>
        <v/>
      </c>
      <c r="G27" s="89" t="str">
        <f>IF(Diario!B107="","",Diario!B107)</f>
        <v/>
      </c>
      <c r="H27" s="17"/>
      <c r="I27" s="88" t="str">
        <f>IF(Diario!B129="","",Diario!B129)</f>
        <v/>
      </c>
      <c r="J27" s="88" t="str">
        <f>IF(Diario!B130="","",Diario!B130)</f>
        <v/>
      </c>
      <c r="K27" s="88" t="str">
        <f>IF(Diario!B131="","",Diario!B131)</f>
        <v/>
      </c>
      <c r="L27" s="88" t="str">
        <f>IF(Diario!B132="","",Diario!B132)</f>
        <v/>
      </c>
      <c r="M27" s="88" t="str">
        <f>IF(Diario!B133="","",Diario!B133)</f>
        <v/>
      </c>
      <c r="N27" s="89" t="str">
        <f>IF(Diario!B134="","",Diario!B134)</f>
        <v/>
      </c>
      <c r="O27" s="89" t="str">
        <f>IF(Diario!B135="","",Diario!B135)</f>
        <v/>
      </c>
      <c r="P27" s="17"/>
      <c r="Q27" s="88" t="str">
        <f>IF(Diario!B164="","",Diario!B164)</f>
        <v/>
      </c>
      <c r="R27" s="88" t="str">
        <f>IF(Diario!B165="","",Diario!B165)</f>
        <v/>
      </c>
      <c r="S27" s="88" t="str">
        <f>IF(Diario!B166="","",Diario!B166)</f>
        <v/>
      </c>
      <c r="T27" s="88" t="str">
        <f>IF(Diario!B167="","",Diario!B167)</f>
        <v/>
      </c>
      <c r="U27" s="88" t="str">
        <f>IF(Diario!B168="","",Diario!B168)</f>
        <v/>
      </c>
      <c r="V27" s="89" t="str">
        <f>IF(Diario!B169="","",Diario!B169)</f>
        <v/>
      </c>
      <c r="W27" s="89" t="str">
        <f>IF(Diario!B170="","",Diario!B170)</f>
        <v/>
      </c>
    </row>
    <row r="28" spans="1:23" ht="16.5" customHeight="1" x14ac:dyDescent="0.25">
      <c r="A28" s="86">
        <v>13</v>
      </c>
      <c r="B28" s="86">
        <v>14</v>
      </c>
      <c r="C28" s="86">
        <v>15</v>
      </c>
      <c r="D28" s="86">
        <v>16</v>
      </c>
      <c r="E28" s="86">
        <v>17</v>
      </c>
      <c r="F28" s="87">
        <v>18</v>
      </c>
      <c r="G28" s="87">
        <v>19</v>
      </c>
      <c r="H28" s="17"/>
      <c r="I28" s="86">
        <v>11</v>
      </c>
      <c r="J28" s="86">
        <v>12</v>
      </c>
      <c r="K28" s="86">
        <v>13</v>
      </c>
      <c r="L28" s="86">
        <v>14</v>
      </c>
      <c r="M28" s="86">
        <v>15</v>
      </c>
      <c r="N28" s="87">
        <v>16</v>
      </c>
      <c r="O28" s="87">
        <v>17</v>
      </c>
      <c r="P28" s="17"/>
      <c r="Q28" s="86">
        <v>15</v>
      </c>
      <c r="R28" s="86">
        <v>16</v>
      </c>
      <c r="S28" s="86">
        <v>17</v>
      </c>
      <c r="T28" s="86">
        <v>18</v>
      </c>
      <c r="U28" s="86">
        <v>19</v>
      </c>
      <c r="V28" s="87">
        <v>20</v>
      </c>
      <c r="W28" s="87">
        <v>21</v>
      </c>
    </row>
    <row r="29" spans="1:23" ht="16.5" customHeight="1" x14ac:dyDescent="0.25">
      <c r="A29" s="88" t="str">
        <f>IF(Diario!B108="","",Diario!B108)</f>
        <v/>
      </c>
      <c r="B29" s="88" t="str">
        <f>IF(Diario!B109="","",Diario!B109)</f>
        <v/>
      </c>
      <c r="C29" s="88" t="str">
        <f>IF(Diario!B110="","",Diario!B110)</f>
        <v/>
      </c>
      <c r="D29" s="88" t="str">
        <f>IF(Diario!B111="","",Diario!B111)</f>
        <v/>
      </c>
      <c r="E29" s="88" t="str">
        <f>IF(Diario!B112="","",Diario!B112)</f>
        <v/>
      </c>
      <c r="F29" s="89" t="str">
        <f>IF(Diario!B113="","",Diario!B113)</f>
        <v/>
      </c>
      <c r="G29" s="89" t="str">
        <f>IF(Diario!B114="","",Diario!B114)</f>
        <v/>
      </c>
      <c r="H29" s="17"/>
      <c r="I29" s="88" t="str">
        <f>IF(Diario!B136="","",Diario!B136)</f>
        <v/>
      </c>
      <c r="J29" s="88" t="str">
        <f>IF(Diario!B137="","",Diario!B137)</f>
        <v/>
      </c>
      <c r="K29" s="88" t="str">
        <f>IF(Diario!B138="","",Diario!B138)</f>
        <v/>
      </c>
      <c r="L29" s="88" t="str">
        <f>IF(Diario!B139="","",Diario!B139)</f>
        <v/>
      </c>
      <c r="M29" s="88" t="str">
        <f>IF(Diario!B140="","",Diario!B140)</f>
        <v/>
      </c>
      <c r="N29" s="89" t="str">
        <f>IF(Diario!B141="","",Diario!B141)</f>
        <v/>
      </c>
      <c r="O29" s="89" t="str">
        <f>IF(Diario!B142="","",Diario!B142)</f>
        <v/>
      </c>
      <c r="P29" s="17"/>
      <c r="Q29" s="88" t="str">
        <f>IF(Diario!B171="","",Diario!B171)</f>
        <v/>
      </c>
      <c r="R29" s="88" t="str">
        <f>IF(Diario!B172="","",Diario!B172)</f>
        <v/>
      </c>
      <c r="S29" s="88" t="str">
        <f>IF(Diario!B173="","",Diario!B173)</f>
        <v/>
      </c>
      <c r="T29" s="88" t="str">
        <f>IF(Diario!B174="","",Diario!B174)</f>
        <v/>
      </c>
      <c r="U29" s="88" t="str">
        <f>IF(Diario!B175="","",Diario!B175)</f>
        <v/>
      </c>
      <c r="V29" s="89" t="str">
        <f>IF(Diario!B176="","",Diario!B176)</f>
        <v/>
      </c>
      <c r="W29" s="89" t="str">
        <f>IF(Diario!B177="","",Diario!B177)</f>
        <v/>
      </c>
    </row>
    <row r="30" spans="1:23" ht="16.5" customHeight="1" x14ac:dyDescent="0.25">
      <c r="A30" s="86">
        <v>20</v>
      </c>
      <c r="B30" s="86">
        <v>21</v>
      </c>
      <c r="C30" s="86">
        <v>22</v>
      </c>
      <c r="D30" s="86">
        <v>23</v>
      </c>
      <c r="E30" s="86">
        <v>24</v>
      </c>
      <c r="F30" s="87">
        <v>25</v>
      </c>
      <c r="G30" s="87">
        <v>26</v>
      </c>
      <c r="H30" s="17"/>
      <c r="I30" s="86">
        <v>18</v>
      </c>
      <c r="J30" s="86">
        <v>19</v>
      </c>
      <c r="K30" s="86">
        <v>20</v>
      </c>
      <c r="L30" s="86">
        <v>21</v>
      </c>
      <c r="M30" s="86">
        <v>22</v>
      </c>
      <c r="N30" s="87">
        <v>23</v>
      </c>
      <c r="O30" s="87">
        <v>24</v>
      </c>
      <c r="P30" s="17"/>
      <c r="Q30" s="86">
        <v>22</v>
      </c>
      <c r="R30" s="86">
        <v>23</v>
      </c>
      <c r="S30" s="86">
        <v>24</v>
      </c>
      <c r="T30" s="86">
        <v>25</v>
      </c>
      <c r="U30" s="86">
        <v>26</v>
      </c>
      <c r="V30" s="87">
        <v>27</v>
      </c>
      <c r="W30" s="87">
        <v>28</v>
      </c>
    </row>
    <row r="31" spans="1:23" ht="16.5" customHeight="1" x14ac:dyDescent="0.25">
      <c r="A31" s="88" t="str">
        <f>IF(Diario!B115="","",Diario!B115)</f>
        <v/>
      </c>
      <c r="B31" s="88" t="str">
        <f>IF(Diario!B116="","",Diario!B116)</f>
        <v/>
      </c>
      <c r="C31" s="88" t="str">
        <f>IF(Diario!B117="","",Diario!B117)</f>
        <v/>
      </c>
      <c r="D31" s="88" t="str">
        <f>IF(Diario!B118="","",Diario!B118)</f>
        <v/>
      </c>
      <c r="E31" s="88" t="str">
        <f>IF(Diario!B119="","",Diario!B119)</f>
        <v/>
      </c>
      <c r="F31" s="89" t="str">
        <f>IF(Diario!B120="","",Diario!B120)</f>
        <v/>
      </c>
      <c r="G31" s="89" t="str">
        <f>IF(Diario!B121="","",Diario!B121)</f>
        <v/>
      </c>
      <c r="H31" s="17"/>
      <c r="I31" s="88" t="str">
        <f>IF(Diario!B143="","",Diario!B143)</f>
        <v/>
      </c>
      <c r="J31" s="88" t="str">
        <f>IF(Diario!B144="","",Diario!B144)</f>
        <v/>
      </c>
      <c r="K31" s="88" t="str">
        <f>IF(Diario!B145="","",Diario!B145)</f>
        <v/>
      </c>
      <c r="L31" s="88" t="str">
        <f>IF(Diario!B146="","",Diario!B146)</f>
        <v/>
      </c>
      <c r="M31" s="88" t="str">
        <f>IF(Diario!B147="","",Diario!B147)</f>
        <v/>
      </c>
      <c r="N31" s="89" t="str">
        <f>IF(Diario!B148="","",Diario!B148)</f>
        <v/>
      </c>
      <c r="O31" s="89" t="str">
        <f>IF(Diario!B149="","",Diario!B149)</f>
        <v/>
      </c>
      <c r="P31" s="17"/>
      <c r="Q31" s="88" t="str">
        <f>IF(Diario!B178="","",Diario!B178)</f>
        <v/>
      </c>
      <c r="R31" s="88" t="str">
        <f>IF(Diario!B179="","",Diario!B179)</f>
        <v/>
      </c>
      <c r="S31" s="88" t="str">
        <f>IF(Diario!B180="","",Diario!B180)</f>
        <v/>
      </c>
      <c r="T31" s="88" t="str">
        <f>IF(Diario!B181="","",Diario!B181)</f>
        <v/>
      </c>
      <c r="U31" s="88" t="str">
        <f>IF(Diario!B182="","",Diario!B182)</f>
        <v/>
      </c>
      <c r="V31" s="89" t="str">
        <f>IF(Diario!B183="","",Diario!B183)</f>
        <v/>
      </c>
      <c r="W31" s="89" t="str">
        <f>IF(Diario!B184="","",Diario!B184)</f>
        <v/>
      </c>
    </row>
    <row r="32" spans="1:23" ht="16.5" customHeight="1" x14ac:dyDescent="0.25">
      <c r="A32" s="86">
        <v>27</v>
      </c>
      <c r="B32" s="86">
        <v>28</v>
      </c>
      <c r="C32" s="86">
        <v>29</v>
      </c>
      <c r="D32" s="86">
        <v>30</v>
      </c>
      <c r="E32" s="17"/>
      <c r="F32" s="17"/>
      <c r="G32" s="17"/>
      <c r="H32" s="17"/>
      <c r="I32" s="86">
        <v>25</v>
      </c>
      <c r="J32" s="86">
        <v>26</v>
      </c>
      <c r="K32" s="86">
        <v>27</v>
      </c>
      <c r="L32" s="86">
        <v>28</v>
      </c>
      <c r="M32" s="86">
        <v>29</v>
      </c>
      <c r="N32" s="87">
        <v>30</v>
      </c>
      <c r="O32" s="87">
        <v>31</v>
      </c>
      <c r="P32" s="17"/>
      <c r="Q32" s="86">
        <v>29</v>
      </c>
      <c r="R32" s="86">
        <v>30</v>
      </c>
      <c r="S32" s="17"/>
      <c r="T32" s="17"/>
      <c r="U32" s="17"/>
      <c r="V32" s="17"/>
      <c r="W32" s="17"/>
    </row>
    <row r="33" spans="1:23" ht="16.5" customHeight="1" x14ac:dyDescent="0.25">
      <c r="A33" s="88" t="str">
        <f>IF(Diario!B122="","",Diario!B122)</f>
        <v/>
      </c>
      <c r="B33" s="88" t="str">
        <f>IF(Diario!B123="","",Diario!B123)</f>
        <v/>
      </c>
      <c r="C33" s="88" t="str">
        <f>IF(Diario!B124="","",Diario!B124)</f>
        <v/>
      </c>
      <c r="D33" s="90">
        <f>IF(Diario!B125="","",Diario!B125)</f>
        <v>76207</v>
      </c>
      <c r="E33" s="17"/>
      <c r="F33" s="17"/>
      <c r="G33" s="17"/>
      <c r="H33" s="17"/>
      <c r="I33" s="88" t="str">
        <f>IF(Diario!B150="","",Diario!B150)</f>
        <v/>
      </c>
      <c r="J33" s="88" t="str">
        <f>IF(Diario!B151="","",Diario!B151)</f>
        <v/>
      </c>
      <c r="K33" s="88" t="str">
        <f>IF(Diario!B152="","",Diario!B152)</f>
        <v/>
      </c>
      <c r="L33" s="88" t="str">
        <f>IF(Diario!B153="","",Diario!B153)</f>
        <v/>
      </c>
      <c r="M33" s="90">
        <f>IF(Diario!B154="","",Diario!B154)</f>
        <v>79485</v>
      </c>
      <c r="N33" s="89" t="str">
        <f>IF(Diario!B155="","",Diario!B155)</f>
        <v/>
      </c>
      <c r="O33" s="89" t="str">
        <f>IF(Diario!B156="","",Diario!B156)</f>
        <v/>
      </c>
      <c r="P33" s="17"/>
      <c r="Q33" s="88" t="str">
        <f>IF(Diario!B185="","",Diario!B185)</f>
        <v/>
      </c>
      <c r="R33" s="90">
        <f>IF(Diario!B186="","",Diario!B186)</f>
        <v>76115</v>
      </c>
      <c r="S33" s="17"/>
      <c r="T33" s="17"/>
      <c r="U33" s="17"/>
      <c r="V33" s="17"/>
      <c r="W33" s="17"/>
    </row>
    <row r="34" spans="1:23" ht="16.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spans="1:23" ht="16.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spans="1:23" ht="16.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spans="1:23" ht="16.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spans="1:23" ht="16.5" customHeight="1" x14ac:dyDescent="0.25">
      <c r="A38" s="132" t="s">
        <v>175</v>
      </c>
      <c r="B38" s="106"/>
      <c r="C38" s="106"/>
      <c r="D38" s="106"/>
      <c r="E38" s="106"/>
      <c r="F38" s="106"/>
      <c r="G38" s="106"/>
      <c r="H38" s="17"/>
      <c r="I38" s="132" t="s">
        <v>176</v>
      </c>
      <c r="J38" s="106"/>
      <c r="K38" s="106"/>
      <c r="L38" s="106"/>
      <c r="M38" s="106"/>
      <c r="N38" s="106"/>
      <c r="O38" s="106"/>
      <c r="P38" s="17"/>
      <c r="Q38" s="132" t="s">
        <v>177</v>
      </c>
      <c r="R38" s="106"/>
      <c r="S38" s="106"/>
      <c r="T38" s="106"/>
      <c r="U38" s="106"/>
      <c r="V38" s="106"/>
      <c r="W38" s="106"/>
    </row>
    <row r="39" spans="1:23" ht="16.5" customHeight="1" x14ac:dyDescent="0.25">
      <c r="A39" s="84" t="s">
        <v>162</v>
      </c>
      <c r="B39" s="84" t="s">
        <v>163</v>
      </c>
      <c r="C39" s="84" t="s">
        <v>164</v>
      </c>
      <c r="D39" s="84" t="s">
        <v>165</v>
      </c>
      <c r="E39" s="84" t="s">
        <v>166</v>
      </c>
      <c r="F39" s="85" t="s">
        <v>167</v>
      </c>
      <c r="G39" s="85" t="s">
        <v>168</v>
      </c>
      <c r="H39" s="17"/>
      <c r="I39" s="84" t="s">
        <v>162</v>
      </c>
      <c r="J39" s="84" t="s">
        <v>163</v>
      </c>
      <c r="K39" s="84" t="s">
        <v>164</v>
      </c>
      <c r="L39" s="84" t="s">
        <v>165</v>
      </c>
      <c r="M39" s="84" t="s">
        <v>166</v>
      </c>
      <c r="N39" s="85" t="s">
        <v>167</v>
      </c>
      <c r="O39" s="85" t="s">
        <v>168</v>
      </c>
      <c r="P39" s="17"/>
      <c r="Q39" s="84" t="s">
        <v>162</v>
      </c>
      <c r="R39" s="84" t="s">
        <v>163</v>
      </c>
      <c r="S39" s="84" t="s">
        <v>164</v>
      </c>
      <c r="T39" s="84" t="s">
        <v>165</v>
      </c>
      <c r="U39" s="84" t="s">
        <v>166</v>
      </c>
      <c r="V39" s="85" t="s">
        <v>167</v>
      </c>
      <c r="W39" s="85" t="s">
        <v>168</v>
      </c>
    </row>
    <row r="40" spans="1:23" ht="16.5" customHeight="1" x14ac:dyDescent="0.25">
      <c r="A40" s="17"/>
      <c r="B40" s="17"/>
      <c r="C40" s="86">
        <v>1</v>
      </c>
      <c r="D40" s="86">
        <v>2</v>
      </c>
      <c r="E40" s="86">
        <v>3</v>
      </c>
      <c r="F40" s="87">
        <v>4</v>
      </c>
      <c r="G40" s="87">
        <v>5</v>
      </c>
      <c r="H40" s="17"/>
      <c r="I40" s="17"/>
      <c r="J40" s="17"/>
      <c r="K40" s="17"/>
      <c r="L40" s="17"/>
      <c r="M40" s="17"/>
      <c r="N40" s="87">
        <v>1</v>
      </c>
      <c r="O40" s="87">
        <v>2</v>
      </c>
      <c r="P40" s="17"/>
      <c r="Q40" s="17"/>
      <c r="R40" s="86">
        <v>1</v>
      </c>
      <c r="S40" s="86">
        <v>2</v>
      </c>
      <c r="T40" s="86">
        <v>3</v>
      </c>
      <c r="U40" s="86">
        <v>4</v>
      </c>
      <c r="V40" s="87">
        <v>5</v>
      </c>
      <c r="W40" s="87">
        <v>6</v>
      </c>
    </row>
    <row r="41" spans="1:23" ht="16.5" customHeight="1" x14ac:dyDescent="0.25">
      <c r="A41" s="17"/>
      <c r="B41" s="17"/>
      <c r="C41" s="88" t="str">
        <f>IF(Diario!B187="","",Diario!B187)</f>
        <v/>
      </c>
      <c r="D41" s="88" t="str">
        <f>IF(Diario!B188="","",Diario!B188)</f>
        <v/>
      </c>
      <c r="E41" s="88" t="str">
        <f>IF(Diario!B189="","",Diario!B189)</f>
        <v/>
      </c>
      <c r="F41" s="89" t="str">
        <f>IF(Diario!B190="","",Diario!B190)</f>
        <v/>
      </c>
      <c r="G41" s="89" t="str">
        <f>IF(Diario!B191="","",Diario!B191)</f>
        <v/>
      </c>
      <c r="H41" s="17"/>
      <c r="I41" s="17"/>
      <c r="J41" s="17"/>
      <c r="K41" s="17"/>
      <c r="L41" s="17"/>
      <c r="M41" s="17"/>
      <c r="N41" s="89">
        <f>IF(Diario!B218="","",Diario!B218)</f>
        <v>84272</v>
      </c>
      <c r="O41" s="89" t="str">
        <f>IF(Diario!B219="","",Diario!B219)</f>
        <v/>
      </c>
      <c r="P41" s="17"/>
      <c r="Q41" s="17"/>
      <c r="R41" s="96">
        <f>IF(Diario!B249="","",Diario!B249)</f>
        <v>86471</v>
      </c>
      <c r="S41" s="96">
        <f>IF(Diario!B250="","",Diario!B250)</f>
        <v>86038</v>
      </c>
      <c r="T41" s="96">
        <f>IF(Diario!B251="","",Diario!B251)</f>
        <v>86042</v>
      </c>
      <c r="U41" s="96">
        <f>IF(Diario!B252="","",Diario!B252)</f>
        <v>86302</v>
      </c>
      <c r="V41" s="89">
        <f>IF(Diario!B253="","",Diario!B253)</f>
        <v>86361</v>
      </c>
      <c r="W41" s="89">
        <f>IF(Diario!B254="","",Diario!B254)</f>
        <v>86371</v>
      </c>
    </row>
    <row r="42" spans="1:23" ht="16.5" customHeight="1" x14ac:dyDescent="0.25">
      <c r="A42" s="86">
        <v>6</v>
      </c>
      <c r="B42" s="86">
        <v>7</v>
      </c>
      <c r="C42" s="86">
        <v>8</v>
      </c>
      <c r="D42" s="86">
        <v>9</v>
      </c>
      <c r="E42" s="86">
        <v>10</v>
      </c>
      <c r="F42" s="87">
        <v>11</v>
      </c>
      <c r="G42" s="87">
        <v>12</v>
      </c>
      <c r="H42" s="17"/>
      <c r="I42" s="86">
        <v>3</v>
      </c>
      <c r="J42" s="86">
        <v>4</v>
      </c>
      <c r="K42" s="86">
        <v>5</v>
      </c>
      <c r="L42" s="86">
        <v>6</v>
      </c>
      <c r="M42" s="86">
        <v>7</v>
      </c>
      <c r="N42" s="87">
        <v>8</v>
      </c>
      <c r="O42" s="87">
        <v>9</v>
      </c>
      <c r="P42" s="17"/>
      <c r="Q42" s="86">
        <v>7</v>
      </c>
      <c r="R42" s="86">
        <v>8</v>
      </c>
      <c r="S42" s="86">
        <v>9</v>
      </c>
      <c r="T42" s="86">
        <v>10</v>
      </c>
      <c r="U42" s="86">
        <v>11</v>
      </c>
      <c r="V42" s="87">
        <v>12</v>
      </c>
      <c r="W42" s="87">
        <v>13</v>
      </c>
    </row>
    <row r="43" spans="1:23" ht="16.5" customHeight="1" x14ac:dyDescent="0.25">
      <c r="A43" s="88" t="str">
        <f>IF(Diario!B192="","",Diario!B192)</f>
        <v/>
      </c>
      <c r="B43" s="88" t="str">
        <f>IF(Diario!B193="","",Diario!B193)</f>
        <v/>
      </c>
      <c r="C43" s="88" t="str">
        <f>IF(Diario!B194="","",Diario!B194)</f>
        <v/>
      </c>
      <c r="D43" s="97">
        <f>IF(Diario!B195="","",Diario!B195)</f>
        <v>77695</v>
      </c>
      <c r="E43" s="98">
        <f>IF(Diario!B196="","",Diario!B196)</f>
        <v>77600</v>
      </c>
      <c r="F43" s="89">
        <f>IF(Diario!B197="","",Diario!B197)</f>
        <v>77711</v>
      </c>
      <c r="G43" s="89" t="str">
        <f>IF(Diario!B198="","",Diario!B198)</f>
        <v/>
      </c>
      <c r="H43" s="17"/>
      <c r="I43" s="96">
        <f>IF(Diario!B220="","",Diario!B220)</f>
        <v>84093</v>
      </c>
      <c r="J43" s="96">
        <f>IF(Diario!B221="","",Diario!B221)</f>
        <v>84595</v>
      </c>
      <c r="K43" s="96">
        <f>IF(Diario!B222="","",Diario!B222)</f>
        <v>84914</v>
      </c>
      <c r="L43" s="96">
        <f>IF(Diario!B223="","",Diario!B223)</f>
        <v>85738</v>
      </c>
      <c r="M43" s="96">
        <f>IF(Diario!B224="","",Diario!B224)</f>
        <v>85860</v>
      </c>
      <c r="N43" s="89">
        <f>IF(Diario!B225="","",Diario!B225)</f>
        <v>85957</v>
      </c>
      <c r="O43" s="89" t="str">
        <f>IF(Diario!B226="","",Diario!B226)</f>
        <v/>
      </c>
      <c r="P43" s="17"/>
      <c r="Q43" s="96">
        <f>IF(Diario!B255="","",Diario!B255)</f>
        <v>86256</v>
      </c>
      <c r="R43" s="96">
        <f>IF(Diario!B256="","",Diario!B256)</f>
        <v>86358</v>
      </c>
      <c r="S43" s="96">
        <f>IF(Diario!B257="","",Diario!B257)</f>
        <v>85913</v>
      </c>
      <c r="T43" s="96">
        <f>IF(Diario!B258="","",Diario!B258)</f>
        <v>85387</v>
      </c>
      <c r="U43" s="96" t="str">
        <f>IF(Diario!B259="","",Diario!B259)</f>
        <v/>
      </c>
      <c r="V43" s="89" t="str">
        <f>IF(Diario!B260="","",Diario!B260)</f>
        <v/>
      </c>
      <c r="W43" s="89" t="str">
        <f>IF(Diario!B261="","",Diario!B261)</f>
        <v/>
      </c>
    </row>
    <row r="44" spans="1:23" ht="16.5" customHeight="1" x14ac:dyDescent="0.25">
      <c r="A44" s="86">
        <v>13</v>
      </c>
      <c r="B44" s="86">
        <v>14</v>
      </c>
      <c r="C44" s="86">
        <v>15</v>
      </c>
      <c r="D44" s="86">
        <v>16</v>
      </c>
      <c r="E44" s="86">
        <v>17</v>
      </c>
      <c r="F44" s="87">
        <v>18</v>
      </c>
      <c r="G44" s="87">
        <v>19</v>
      </c>
      <c r="H44" s="17"/>
      <c r="I44" s="86">
        <v>10</v>
      </c>
      <c r="J44" s="86">
        <v>11</v>
      </c>
      <c r="K44" s="86">
        <v>12</v>
      </c>
      <c r="L44" s="86">
        <v>13</v>
      </c>
      <c r="M44" s="86">
        <v>14</v>
      </c>
      <c r="N44" s="87">
        <v>15</v>
      </c>
      <c r="O44" s="87">
        <v>16</v>
      </c>
      <c r="P44" s="17"/>
      <c r="Q44" s="86">
        <v>14</v>
      </c>
      <c r="R44" s="86">
        <v>15</v>
      </c>
      <c r="S44" s="86">
        <v>16</v>
      </c>
      <c r="T44" s="86">
        <v>17</v>
      </c>
      <c r="U44" s="86">
        <v>18</v>
      </c>
      <c r="V44" s="87">
        <v>19</v>
      </c>
      <c r="W44" s="87">
        <v>20</v>
      </c>
    </row>
    <row r="45" spans="1:23" ht="16.5" customHeight="1" x14ac:dyDescent="0.25">
      <c r="A45" s="96">
        <f>IF(Diario!B199="","",Diario!B199)</f>
        <v>77695</v>
      </c>
      <c r="B45" s="96">
        <f>IF(Diario!B200="","",Diario!B200)</f>
        <v>77700</v>
      </c>
      <c r="C45" s="96">
        <f>IF(Diario!B201="","",Diario!B201)</f>
        <v>77717</v>
      </c>
      <c r="D45" s="96">
        <f>IF(Diario!B202="","",Diario!B202)</f>
        <v>77976</v>
      </c>
      <c r="E45" s="96">
        <f>IF(Diario!B203="","",Diario!B203)</f>
        <v>77718</v>
      </c>
      <c r="F45" s="89">
        <f>IF(Diario!B204="","",Diario!B204)</f>
        <v>77350</v>
      </c>
      <c r="G45" s="89" t="str">
        <f>IF(Diario!B205="","",Diario!B205)</f>
        <v/>
      </c>
      <c r="H45" s="17"/>
      <c r="I45" s="96">
        <f>IF(Diario!B227="","",Diario!B227)</f>
        <v>86523</v>
      </c>
      <c r="J45" s="96">
        <f>IF(Diario!B228="","",Diario!B228)</f>
        <v>86759</v>
      </c>
      <c r="K45" s="96">
        <f>IF(Diario!B229="","",Diario!B229)</f>
        <v>87111</v>
      </c>
      <c r="L45" s="96">
        <f>IF(Diario!B230="","",Diario!B230)</f>
        <v>87041</v>
      </c>
      <c r="M45" s="96">
        <f>IF(Diario!B231="","",Diario!B231)</f>
        <v>86854</v>
      </c>
      <c r="N45" s="89">
        <f>IF(Diario!B232="","",Diario!B232)</f>
        <v>86771</v>
      </c>
      <c r="O45" s="89" t="str">
        <f>IF(Diario!B233="","",Diario!B233)</f>
        <v/>
      </c>
      <c r="P45" s="17"/>
      <c r="Q45" s="96" t="str">
        <f>IF(Diario!B262="","",Diario!B262)</f>
        <v/>
      </c>
      <c r="R45" s="96" t="str">
        <f>IF(Diario!B263="","",Diario!B263)</f>
        <v/>
      </c>
      <c r="S45" s="96" t="str">
        <f>IF(Diario!B264="","",Diario!B264)</f>
        <v/>
      </c>
      <c r="T45" s="96" t="str">
        <f>IF(Diario!B265="","",Diario!B265)</f>
        <v/>
      </c>
      <c r="U45" s="96" t="str">
        <f>IF(Diario!B266="","",Diario!B266)</f>
        <v/>
      </c>
      <c r="V45" s="89" t="str">
        <f>IF(Diario!B267="","",Diario!B267)</f>
        <v/>
      </c>
      <c r="W45" s="89" t="str">
        <f>IF(Diario!B268="","",Diario!B268)</f>
        <v/>
      </c>
    </row>
    <row r="46" spans="1:23" ht="16.5" customHeight="1" x14ac:dyDescent="0.25">
      <c r="A46" s="86">
        <v>20</v>
      </c>
      <c r="B46" s="86">
        <v>21</v>
      </c>
      <c r="C46" s="86">
        <v>22</v>
      </c>
      <c r="D46" s="86">
        <v>23</v>
      </c>
      <c r="E46" s="86">
        <v>24</v>
      </c>
      <c r="F46" s="87">
        <v>25</v>
      </c>
      <c r="G46" s="87">
        <v>26</v>
      </c>
      <c r="H46" s="17"/>
      <c r="I46" s="86">
        <v>17</v>
      </c>
      <c r="J46" s="86">
        <v>18</v>
      </c>
      <c r="K46" s="86">
        <v>19</v>
      </c>
      <c r="L46" s="86">
        <v>20</v>
      </c>
      <c r="M46" s="86">
        <v>21</v>
      </c>
      <c r="N46" s="87">
        <v>22</v>
      </c>
      <c r="O46" s="87">
        <v>23</v>
      </c>
      <c r="P46" s="17"/>
      <c r="Q46" s="86">
        <v>21</v>
      </c>
      <c r="R46" s="86">
        <v>22</v>
      </c>
      <c r="S46" s="86">
        <v>23</v>
      </c>
      <c r="T46" s="86">
        <v>24</v>
      </c>
      <c r="U46" s="86">
        <v>25</v>
      </c>
      <c r="V46" s="87">
        <v>26</v>
      </c>
      <c r="W46" s="87">
        <v>27</v>
      </c>
    </row>
    <row r="47" spans="1:23" ht="16.5" customHeight="1" x14ac:dyDescent="0.25">
      <c r="A47" s="96">
        <f>IF(Diario!B206="","",Diario!B206)</f>
        <v>77138</v>
      </c>
      <c r="B47" s="96">
        <f>IF(Diario!B207="","",Diario!B207)</f>
        <v>77050</v>
      </c>
      <c r="C47" s="96">
        <f>IF(Diario!B208="","",Diario!B208)</f>
        <v>77305</v>
      </c>
      <c r="D47" s="96">
        <f>IF(Diario!B209="","",Diario!B209)</f>
        <v>77010</v>
      </c>
      <c r="E47" s="96">
        <f>IF(Diario!B210="","",Diario!B210)</f>
        <v>76860</v>
      </c>
      <c r="F47" s="89" t="str">
        <f>IF(Diario!B211="","",Diario!B211)</f>
        <v/>
      </c>
      <c r="G47" s="89" t="str">
        <f>IF(Diario!B212="","",Diario!B212)</f>
        <v/>
      </c>
      <c r="H47" s="17"/>
      <c r="I47" s="96">
        <f>IF(Diario!B234="","",Diario!B234)</f>
        <v>86631</v>
      </c>
      <c r="J47" s="96">
        <f>IF(Diario!B235="","",Diario!B235)</f>
        <v>86146</v>
      </c>
      <c r="K47" s="96">
        <f>IF(Diario!B236="","",Diario!B236)</f>
        <v>85203</v>
      </c>
      <c r="L47" s="96">
        <f>IF(Diario!B237="","",Diario!B237)</f>
        <v>84628</v>
      </c>
      <c r="M47" s="96">
        <f>IF(Diario!B238="","",Diario!B238)</f>
        <v>84640</v>
      </c>
      <c r="N47" s="89">
        <f>IF(Diario!B239="","",Diario!B239)</f>
        <v>84847</v>
      </c>
      <c r="O47" s="89" t="str">
        <f>IF(Diario!B240="","",Diario!B240)</f>
        <v/>
      </c>
      <c r="P47" s="17"/>
      <c r="Q47" s="96" t="str">
        <f>IF(Diario!B269="","",Diario!B269)</f>
        <v/>
      </c>
      <c r="R47" s="96" t="str">
        <f>IF(Diario!B270="","",Diario!B270)</f>
        <v/>
      </c>
      <c r="S47" s="96" t="str">
        <f>IF(Diario!B271="","",Diario!B271)</f>
        <v/>
      </c>
      <c r="T47" s="96" t="str">
        <f>IF(Diario!B272="","",Diario!B272)</f>
        <v/>
      </c>
      <c r="U47" s="96" t="str">
        <f>IF(Diario!B273="","",Diario!B273)</f>
        <v/>
      </c>
      <c r="V47" s="89" t="str">
        <f>IF(Diario!B274="","",Diario!B274)</f>
        <v/>
      </c>
      <c r="W47" s="89" t="str">
        <f>IF(Diario!B275="","",Diario!B275)</f>
        <v/>
      </c>
    </row>
    <row r="48" spans="1:23" ht="16.5" customHeight="1" x14ac:dyDescent="0.25">
      <c r="A48" s="86">
        <v>27</v>
      </c>
      <c r="B48" s="86">
        <v>28</v>
      </c>
      <c r="C48" s="86">
        <v>29</v>
      </c>
      <c r="D48" s="86">
        <v>30</v>
      </c>
      <c r="E48" s="86">
        <v>31</v>
      </c>
      <c r="F48" s="17"/>
      <c r="G48" s="17"/>
      <c r="H48" s="17"/>
      <c r="I48" s="86">
        <v>24</v>
      </c>
      <c r="J48" s="86">
        <v>25</v>
      </c>
      <c r="K48" s="86">
        <v>26</v>
      </c>
      <c r="L48" s="86">
        <v>27</v>
      </c>
      <c r="M48" s="86">
        <v>28</v>
      </c>
      <c r="N48" s="87">
        <v>29</v>
      </c>
      <c r="O48" s="87">
        <v>30</v>
      </c>
      <c r="P48" s="17"/>
      <c r="Q48" s="86">
        <v>28</v>
      </c>
      <c r="R48" s="86">
        <v>29</v>
      </c>
      <c r="S48" s="86">
        <v>30</v>
      </c>
      <c r="T48" s="17"/>
      <c r="U48" s="17"/>
      <c r="V48" s="17"/>
      <c r="W48" s="17"/>
    </row>
    <row r="49" spans="1:23" ht="16.5" customHeight="1" x14ac:dyDescent="0.25">
      <c r="A49" s="96">
        <f>IF(Diario!B213="","",Diario!B213)</f>
        <v>83088</v>
      </c>
      <c r="B49" s="96">
        <f>IF(Diario!B214="","",Diario!B214)</f>
        <v>83266</v>
      </c>
      <c r="C49" s="96">
        <f>IF(Diario!B215="","",Diario!B215)</f>
        <v>83587</v>
      </c>
      <c r="D49" s="96">
        <f>IF(Diario!B216="","",Diario!B216)</f>
        <v>84016</v>
      </c>
      <c r="E49" s="96">
        <f>IF(Diario!B217="","",Diario!B217)</f>
        <v>83862</v>
      </c>
      <c r="F49" s="17"/>
      <c r="G49" s="17"/>
      <c r="H49" s="17"/>
      <c r="I49" s="96">
        <f>IF(Diario!B241="","",Diario!B241)</f>
        <v>84741</v>
      </c>
      <c r="J49" s="96">
        <f>IF(Diario!B242="","",Diario!B242)</f>
        <v>84802</v>
      </c>
      <c r="K49" s="96">
        <f>IF(Diario!B243="","",Diario!B243)</f>
        <v>85736</v>
      </c>
      <c r="L49" s="96">
        <f>IF(Diario!B244="","",Diario!B244)</f>
        <v>86036</v>
      </c>
      <c r="M49" s="96">
        <f>IF(Diario!B245="","",Diario!B245)</f>
        <v>86590</v>
      </c>
      <c r="N49" s="89">
        <f>IF(Diario!B246="","",Diario!B246)</f>
        <v>86623</v>
      </c>
      <c r="O49" s="89" t="str">
        <f>IF(Diario!B247="","",Diario!B247)</f>
        <v/>
      </c>
      <c r="P49" s="17"/>
      <c r="Q49" s="96" t="str">
        <f>IF(Diario!B276="","",Diario!B276)</f>
        <v/>
      </c>
      <c r="R49" s="96" t="str">
        <f>IF(Diario!B277="","",Diario!B277)</f>
        <v/>
      </c>
      <c r="S49" s="96" t="str">
        <f>IF(Diario!B278="","",Diario!B278)</f>
        <v/>
      </c>
      <c r="T49" s="17"/>
      <c r="U49" s="17"/>
      <c r="V49" s="17"/>
      <c r="W49" s="17"/>
    </row>
    <row r="50" spans="1:23" ht="16.5" customHeight="1" x14ac:dyDescent="0.25">
      <c r="A50" s="17"/>
      <c r="B50" s="17"/>
      <c r="C50" s="17"/>
      <c r="D50" s="17"/>
      <c r="E50" s="17"/>
      <c r="F50" s="17"/>
      <c r="G50" s="17"/>
      <c r="H50" s="17"/>
      <c r="I50" s="86">
        <v>31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spans="1:23" ht="16.5" customHeight="1" x14ac:dyDescent="0.25">
      <c r="A51" s="17"/>
      <c r="B51" s="17"/>
      <c r="C51" s="17"/>
      <c r="D51" s="17"/>
      <c r="E51" s="17"/>
      <c r="F51" s="17"/>
      <c r="G51" s="17"/>
      <c r="H51" s="17"/>
      <c r="I51" s="96">
        <f>IF(Diario!B248="","",Diario!B248)</f>
        <v>86713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spans="1:23" ht="16.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spans="1:23" ht="16.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spans="1:23" ht="16.5" customHeight="1" x14ac:dyDescent="0.25">
      <c r="A54" s="132" t="s">
        <v>181</v>
      </c>
      <c r="B54" s="106"/>
      <c r="C54" s="106"/>
      <c r="D54" s="106"/>
      <c r="E54" s="106"/>
      <c r="F54" s="106"/>
      <c r="G54" s="106"/>
      <c r="H54" s="17"/>
      <c r="I54" s="132" t="s">
        <v>182</v>
      </c>
      <c r="J54" s="106"/>
      <c r="K54" s="106"/>
      <c r="L54" s="106"/>
      <c r="M54" s="106"/>
      <c r="N54" s="106"/>
      <c r="O54" s="106"/>
      <c r="P54" s="17"/>
      <c r="Q54" s="132" t="s">
        <v>183</v>
      </c>
      <c r="R54" s="106"/>
      <c r="S54" s="106"/>
      <c r="T54" s="106"/>
      <c r="U54" s="106"/>
      <c r="V54" s="106"/>
      <c r="W54" s="106"/>
    </row>
    <row r="55" spans="1:23" ht="16.5" customHeight="1" x14ac:dyDescent="0.25">
      <c r="A55" s="84" t="s">
        <v>162</v>
      </c>
      <c r="B55" s="84" t="s">
        <v>163</v>
      </c>
      <c r="C55" s="84" t="s">
        <v>164</v>
      </c>
      <c r="D55" s="84" t="s">
        <v>165</v>
      </c>
      <c r="E55" s="84" t="s">
        <v>166</v>
      </c>
      <c r="F55" s="85" t="s">
        <v>167</v>
      </c>
      <c r="G55" s="85" t="s">
        <v>168</v>
      </c>
      <c r="H55" s="17"/>
      <c r="I55" s="84" t="s">
        <v>162</v>
      </c>
      <c r="J55" s="84" t="s">
        <v>163</v>
      </c>
      <c r="K55" s="84" t="s">
        <v>164</v>
      </c>
      <c r="L55" s="84" t="s">
        <v>165</v>
      </c>
      <c r="M55" s="84" t="s">
        <v>166</v>
      </c>
      <c r="N55" s="85" t="s">
        <v>167</v>
      </c>
      <c r="O55" s="85" t="s">
        <v>168</v>
      </c>
      <c r="P55" s="17"/>
      <c r="Q55" s="84" t="s">
        <v>162</v>
      </c>
      <c r="R55" s="84" t="s">
        <v>163</v>
      </c>
      <c r="S55" s="84" t="s">
        <v>164</v>
      </c>
      <c r="T55" s="84" t="s">
        <v>165</v>
      </c>
      <c r="U55" s="84" t="s">
        <v>166</v>
      </c>
      <c r="V55" s="85" t="s">
        <v>167</v>
      </c>
      <c r="W55" s="85" t="s">
        <v>168</v>
      </c>
    </row>
    <row r="56" spans="1:23" ht="16.5" customHeight="1" x14ac:dyDescent="0.25">
      <c r="A56" s="17"/>
      <c r="B56" s="17"/>
      <c r="C56" s="17"/>
      <c r="D56" s="86">
        <v>1</v>
      </c>
      <c r="E56" s="86">
        <v>2</v>
      </c>
      <c r="F56" s="87">
        <v>3</v>
      </c>
      <c r="G56" s="87">
        <v>4</v>
      </c>
      <c r="H56" s="17"/>
      <c r="I56" s="17"/>
      <c r="J56" s="17"/>
      <c r="K56" s="17"/>
      <c r="L56" s="17"/>
      <c r="M56" s="17"/>
      <c r="N56" s="17"/>
      <c r="O56" s="87">
        <v>1</v>
      </c>
      <c r="P56" s="17"/>
      <c r="Q56" s="17"/>
      <c r="R56" s="86">
        <v>1</v>
      </c>
      <c r="S56" s="86">
        <v>2</v>
      </c>
      <c r="T56" s="86">
        <v>3</v>
      </c>
      <c r="U56" s="86">
        <v>4</v>
      </c>
      <c r="V56" s="87">
        <v>5</v>
      </c>
      <c r="W56" s="87">
        <v>6</v>
      </c>
    </row>
    <row r="57" spans="1:23" ht="16.5" customHeight="1" x14ac:dyDescent="0.25">
      <c r="A57" s="17"/>
      <c r="B57" s="17"/>
      <c r="C57" s="17"/>
      <c r="D57" s="96" t="str">
        <f>IF(Diario!B279="","",Diario!B279)</f>
        <v/>
      </c>
      <c r="E57" s="96" t="str">
        <f>IF(Diario!B280="","",Diario!B280)</f>
        <v/>
      </c>
      <c r="F57" s="89" t="str">
        <f>IF(Diario!B281="","",Diario!B281)</f>
        <v/>
      </c>
      <c r="G57" s="89" t="str">
        <f>IF(Diario!B282="","",Diario!B282)</f>
        <v/>
      </c>
      <c r="H57" s="17"/>
      <c r="I57" s="17"/>
      <c r="J57" s="17"/>
      <c r="K57" s="17"/>
      <c r="L57" s="17"/>
      <c r="M57" s="17"/>
      <c r="N57" s="17"/>
      <c r="O57" s="89" t="str">
        <f>IF(Diario!B310="","",Diario!B310)</f>
        <v/>
      </c>
      <c r="P57" s="17"/>
      <c r="Q57" s="17"/>
      <c r="R57" s="96" t="str">
        <f>IF(Diario!B340="","",Diario!B340)</f>
        <v/>
      </c>
      <c r="S57" s="96" t="str">
        <f>IF(Diario!B341="","",Diario!B341)</f>
        <v/>
      </c>
      <c r="T57" s="96" t="str">
        <f>IF(Diario!B342="","",Diario!B342)</f>
        <v/>
      </c>
      <c r="U57" s="96" t="str">
        <f>IF(Diario!B343="","",Diario!B343)</f>
        <v/>
      </c>
      <c r="V57" s="89" t="str">
        <f>IF(Diario!B344="","",Diario!B344)</f>
        <v/>
      </c>
      <c r="W57" s="89" t="str">
        <f>IF(Diario!B345="","",Diario!B345)</f>
        <v/>
      </c>
    </row>
    <row r="58" spans="1:23" ht="16.5" customHeight="1" x14ac:dyDescent="0.25">
      <c r="A58" s="86">
        <v>5</v>
      </c>
      <c r="B58" s="86">
        <v>6</v>
      </c>
      <c r="C58" s="86">
        <v>7</v>
      </c>
      <c r="D58" s="86">
        <v>8</v>
      </c>
      <c r="E58" s="86">
        <v>9</v>
      </c>
      <c r="F58" s="87">
        <v>10</v>
      </c>
      <c r="G58" s="87">
        <v>11</v>
      </c>
      <c r="H58" s="17"/>
      <c r="I58" s="86">
        <v>2</v>
      </c>
      <c r="J58" s="86">
        <v>3</v>
      </c>
      <c r="K58" s="86">
        <v>4</v>
      </c>
      <c r="L58" s="86">
        <v>5</v>
      </c>
      <c r="M58" s="86">
        <v>6</v>
      </c>
      <c r="N58" s="87">
        <v>7</v>
      </c>
      <c r="O58" s="87">
        <v>8</v>
      </c>
      <c r="P58" s="17"/>
      <c r="Q58" s="86">
        <v>7</v>
      </c>
      <c r="R58" s="86">
        <v>8</v>
      </c>
      <c r="S58" s="86">
        <v>9</v>
      </c>
      <c r="T58" s="86">
        <v>10</v>
      </c>
      <c r="U58" s="86">
        <v>11</v>
      </c>
      <c r="V58" s="87">
        <v>12</v>
      </c>
      <c r="W58" s="87">
        <v>13</v>
      </c>
    </row>
    <row r="59" spans="1:23" ht="16.5" customHeight="1" x14ac:dyDescent="0.25">
      <c r="A59" s="96" t="str">
        <f>IF(Diario!B283="","",Diario!B283)</f>
        <v/>
      </c>
      <c r="B59" s="96" t="str">
        <f>IF(Diario!B284="","",Diario!B284)</f>
        <v/>
      </c>
      <c r="C59" s="96" t="str">
        <f>IF(Diario!B285="","",Diario!B285)</f>
        <v/>
      </c>
      <c r="D59" s="96" t="str">
        <f>IF(Diario!B286="","",Diario!B286)</f>
        <v/>
      </c>
      <c r="E59" s="96" t="str">
        <f>IF(Diario!B287="","",Diario!B287)</f>
        <v/>
      </c>
      <c r="F59" s="89" t="str">
        <f>IF(Diario!B288="","",Diario!B288)</f>
        <v/>
      </c>
      <c r="G59" s="89" t="str">
        <f>IF(Diario!B289="","",Diario!B289)</f>
        <v/>
      </c>
      <c r="H59" s="17"/>
      <c r="I59" s="96" t="str">
        <f>IF(Diario!B311="","",Diario!B311)</f>
        <v/>
      </c>
      <c r="J59" s="96" t="str">
        <f>IF(Diario!B312="","",Diario!B312)</f>
        <v/>
      </c>
      <c r="K59" s="96" t="str">
        <f>IF(Diario!B313="","",Diario!B313)</f>
        <v/>
      </c>
      <c r="L59" s="96" t="str">
        <f>IF(Diario!B314="","",Diario!B314)</f>
        <v/>
      </c>
      <c r="M59" s="96" t="str">
        <f>IF(Diario!B315="","",Diario!B315)</f>
        <v/>
      </c>
      <c r="N59" s="89" t="str">
        <f>IF(Diario!B316="","",Diario!B316)</f>
        <v/>
      </c>
      <c r="O59" s="89" t="str">
        <f>IF(Diario!B317="","",Diario!B317)</f>
        <v/>
      </c>
      <c r="P59" s="17"/>
      <c r="Q59" s="96" t="str">
        <f>IF(Diario!B346="","",Diario!B346)</f>
        <v/>
      </c>
      <c r="R59" s="96" t="str">
        <f>IF(Diario!B347="","",Diario!B347)</f>
        <v/>
      </c>
      <c r="S59" s="96" t="str">
        <f>IF(Diario!B348="","",Diario!B348)</f>
        <v/>
      </c>
      <c r="T59" s="96" t="str">
        <f>IF(Diario!B349="","",Diario!B349)</f>
        <v/>
      </c>
      <c r="U59" s="96" t="str">
        <f>IF(Diario!B350="","",Diario!B350)</f>
        <v/>
      </c>
      <c r="V59" s="89" t="str">
        <f>IF(Diario!B351="","",Diario!B351)</f>
        <v/>
      </c>
      <c r="W59" s="89" t="str">
        <f>IF(Diario!B352="","",Diario!B352)</f>
        <v/>
      </c>
    </row>
    <row r="60" spans="1:23" ht="16.5" customHeight="1" x14ac:dyDescent="0.25">
      <c r="A60" s="86">
        <v>12</v>
      </c>
      <c r="B60" s="86">
        <v>13</v>
      </c>
      <c r="C60" s="86">
        <v>14</v>
      </c>
      <c r="D60" s="86">
        <v>15</v>
      </c>
      <c r="E60" s="86">
        <v>16</v>
      </c>
      <c r="F60" s="87">
        <v>17</v>
      </c>
      <c r="G60" s="87">
        <v>18</v>
      </c>
      <c r="H60" s="17"/>
      <c r="I60" s="86">
        <v>9</v>
      </c>
      <c r="J60" s="86">
        <v>10</v>
      </c>
      <c r="K60" s="86">
        <v>11</v>
      </c>
      <c r="L60" s="86">
        <v>12</v>
      </c>
      <c r="M60" s="86">
        <v>13</v>
      </c>
      <c r="N60" s="87">
        <v>14</v>
      </c>
      <c r="O60" s="87">
        <v>15</v>
      </c>
      <c r="P60" s="17"/>
      <c r="Q60" s="86">
        <v>14</v>
      </c>
      <c r="R60" s="86">
        <v>15</v>
      </c>
      <c r="S60" s="86">
        <v>16</v>
      </c>
      <c r="T60" s="86">
        <v>17</v>
      </c>
      <c r="U60" s="86">
        <v>18</v>
      </c>
      <c r="V60" s="87">
        <v>19</v>
      </c>
      <c r="W60" s="87">
        <v>20</v>
      </c>
    </row>
    <row r="61" spans="1:23" ht="16.5" customHeight="1" x14ac:dyDescent="0.25">
      <c r="A61" s="96" t="str">
        <f>IF(Diario!B290="","",Diario!B290)</f>
        <v/>
      </c>
      <c r="B61" s="96" t="str">
        <f>IF(Diario!B291="","",Diario!B291)</f>
        <v/>
      </c>
      <c r="C61" s="96" t="str">
        <f>IF(Diario!B292="","",Diario!B292)</f>
        <v/>
      </c>
      <c r="D61" s="96" t="str">
        <f>IF(Diario!B293="","",Diario!B293)</f>
        <v/>
      </c>
      <c r="E61" s="96" t="str">
        <f>IF(Diario!B294="","",Diario!B294)</f>
        <v/>
      </c>
      <c r="F61" s="89" t="str">
        <f>IF(Diario!B295="","",Diario!B295)</f>
        <v/>
      </c>
      <c r="G61" s="89" t="str">
        <f>IF(Diario!B296="","",Diario!B296)</f>
        <v/>
      </c>
      <c r="H61" s="17"/>
      <c r="I61" s="96" t="str">
        <f>IF(Diario!B318="","",Diario!B318)</f>
        <v/>
      </c>
      <c r="J61" s="96" t="str">
        <f>IF(Diario!B319="","",Diario!B319)</f>
        <v/>
      </c>
      <c r="K61" s="96" t="str">
        <f>IF(Diario!B320="","",Diario!B320)</f>
        <v/>
      </c>
      <c r="L61" s="96" t="str">
        <f>IF(Diario!B321="","",Diario!B321)</f>
        <v/>
      </c>
      <c r="M61" s="96" t="str">
        <f>IF(Diario!B322="","",Diario!B322)</f>
        <v/>
      </c>
      <c r="N61" s="89" t="str">
        <f>IF(Diario!B323="","",Diario!B323)</f>
        <v/>
      </c>
      <c r="O61" s="89" t="str">
        <f>IF(Diario!B324="","",Diario!B324)</f>
        <v/>
      </c>
      <c r="P61" s="17"/>
      <c r="Q61" s="96" t="str">
        <f>IF(Diario!B353="","",Diario!B353)</f>
        <v/>
      </c>
      <c r="R61" s="96" t="str">
        <f>IF(Diario!B354="","",Diario!B354)</f>
        <v/>
      </c>
      <c r="S61" s="96" t="str">
        <f>IF(Diario!B355="","",Diario!B355)</f>
        <v/>
      </c>
      <c r="T61" s="96" t="str">
        <f>IF(Diario!B356="","",Diario!B356)</f>
        <v/>
      </c>
      <c r="U61" s="96" t="str">
        <f>IF(Diario!B357="","",Diario!B357)</f>
        <v/>
      </c>
      <c r="V61" s="89" t="str">
        <f>IF(Diario!B358="","",Diario!B358)</f>
        <v/>
      </c>
      <c r="W61" s="89" t="str">
        <f>IF(Diario!B359="","",Diario!B359)</f>
        <v/>
      </c>
    </row>
    <row r="62" spans="1:23" ht="16.5" customHeight="1" x14ac:dyDescent="0.25">
      <c r="A62" s="86">
        <v>19</v>
      </c>
      <c r="B62" s="86">
        <v>20</v>
      </c>
      <c r="C62" s="86">
        <v>21</v>
      </c>
      <c r="D62" s="86">
        <v>22</v>
      </c>
      <c r="E62" s="86">
        <v>23</v>
      </c>
      <c r="F62" s="87">
        <v>24</v>
      </c>
      <c r="G62" s="87">
        <v>25</v>
      </c>
      <c r="H62" s="17"/>
      <c r="I62" s="86">
        <v>16</v>
      </c>
      <c r="J62" s="86">
        <v>17</v>
      </c>
      <c r="K62" s="86">
        <v>18</v>
      </c>
      <c r="L62" s="86">
        <v>19</v>
      </c>
      <c r="M62" s="86">
        <v>20</v>
      </c>
      <c r="N62" s="87">
        <v>21</v>
      </c>
      <c r="O62" s="87">
        <v>22</v>
      </c>
      <c r="P62" s="17"/>
      <c r="Q62" s="86">
        <v>21</v>
      </c>
      <c r="R62" s="86">
        <v>22</v>
      </c>
      <c r="S62" s="86">
        <v>23</v>
      </c>
      <c r="T62" s="86">
        <v>24</v>
      </c>
      <c r="U62" s="86">
        <v>25</v>
      </c>
      <c r="V62" s="87">
        <v>26</v>
      </c>
      <c r="W62" s="87">
        <v>27</v>
      </c>
    </row>
    <row r="63" spans="1:23" ht="16.5" customHeight="1" x14ac:dyDescent="0.25">
      <c r="A63" s="96" t="str">
        <f>IF(Diario!B297="","",Diario!B297)</f>
        <v/>
      </c>
      <c r="B63" s="96" t="str">
        <f>IF(Diario!B298="","",Diario!B298)</f>
        <v/>
      </c>
      <c r="C63" s="96" t="str">
        <f>IF(Diario!B299="","",Diario!B299)</f>
        <v/>
      </c>
      <c r="D63" s="96" t="str">
        <f>IF(Diario!B300="","",Diario!B300)</f>
        <v/>
      </c>
      <c r="E63" s="96" t="str">
        <f>IF(Diario!B301="","",Diario!B301)</f>
        <v/>
      </c>
      <c r="F63" s="89" t="str">
        <f>IF(Diario!B302="","",Diario!B302)</f>
        <v/>
      </c>
      <c r="G63" s="89" t="str">
        <f>IF(Diario!B303="","",Diario!B303)</f>
        <v/>
      </c>
      <c r="H63" s="17"/>
      <c r="I63" s="96" t="str">
        <f>IF(Diario!B325="","",Diario!B325)</f>
        <v/>
      </c>
      <c r="J63" s="96" t="str">
        <f>IF(Diario!B326="","",Diario!B326)</f>
        <v/>
      </c>
      <c r="K63" s="96" t="str">
        <f>IF(Diario!B327="","",Diario!B327)</f>
        <v/>
      </c>
      <c r="L63" s="96" t="str">
        <f>IF(Diario!B328="","",Diario!B328)</f>
        <v/>
      </c>
      <c r="M63" s="96" t="str">
        <f>IF(Diario!B329="","",Diario!B329)</f>
        <v/>
      </c>
      <c r="N63" s="89" t="str">
        <f>IF(Diario!B330="","",Diario!B330)</f>
        <v/>
      </c>
      <c r="O63" s="89" t="str">
        <f>IF(Diario!B331="","",Diario!B331)</f>
        <v/>
      </c>
      <c r="P63" s="17"/>
      <c r="Q63" s="96" t="str">
        <f>IF(Diario!B360="","",Diario!B360)</f>
        <v/>
      </c>
      <c r="R63" s="96" t="str">
        <f>IF(Diario!B361="","",Diario!B361)</f>
        <v/>
      </c>
      <c r="S63" s="96" t="str">
        <f>IF(Diario!B362="","",Diario!B362)</f>
        <v/>
      </c>
      <c r="T63" s="96" t="str">
        <f>IF(Diario!B363="","",Diario!B363)</f>
        <v/>
      </c>
      <c r="U63" s="96" t="str">
        <f>IF(Diario!B364="","",Diario!B364)</f>
        <v/>
      </c>
      <c r="V63" s="89" t="str">
        <f>IF(Diario!B365="","",Diario!B365)</f>
        <v/>
      </c>
      <c r="W63" s="89" t="str">
        <f>IF(Diario!B366="","",Diario!B366)</f>
        <v/>
      </c>
    </row>
    <row r="64" spans="1:23" ht="16.5" customHeight="1" x14ac:dyDescent="0.25">
      <c r="A64" s="86">
        <v>26</v>
      </c>
      <c r="B64" s="86">
        <v>27</v>
      </c>
      <c r="C64" s="86">
        <v>28</v>
      </c>
      <c r="D64" s="86">
        <v>29</v>
      </c>
      <c r="E64" s="86">
        <v>30</v>
      </c>
      <c r="F64" s="87">
        <v>31</v>
      </c>
      <c r="G64" s="17"/>
      <c r="H64" s="17"/>
      <c r="I64" s="86">
        <v>23</v>
      </c>
      <c r="J64" s="86">
        <v>24</v>
      </c>
      <c r="K64" s="86">
        <v>25</v>
      </c>
      <c r="L64" s="86">
        <v>26</v>
      </c>
      <c r="M64" s="86">
        <v>27</v>
      </c>
      <c r="N64" s="87">
        <v>28</v>
      </c>
      <c r="O64" s="87">
        <v>29</v>
      </c>
      <c r="P64" s="17"/>
      <c r="Q64" s="86">
        <v>28</v>
      </c>
      <c r="R64" s="86">
        <v>29</v>
      </c>
      <c r="S64" s="86">
        <v>30</v>
      </c>
      <c r="T64" s="86">
        <v>31</v>
      </c>
      <c r="U64" s="17"/>
      <c r="V64" s="17"/>
      <c r="W64" s="17"/>
    </row>
    <row r="65" spans="1:23" ht="16.5" customHeight="1" x14ac:dyDescent="0.25">
      <c r="A65" s="96" t="str">
        <f>IF(Diario!B304="","",Diario!B304)</f>
        <v/>
      </c>
      <c r="B65" s="96" t="str">
        <f>IF(Diario!B305="","",Diario!B305)</f>
        <v/>
      </c>
      <c r="C65" s="96" t="str">
        <f>IF(Diario!B306="","",Diario!B306)</f>
        <v/>
      </c>
      <c r="D65" s="96" t="str">
        <f>IF(Diario!B307="","",Diario!B307)</f>
        <v/>
      </c>
      <c r="E65" s="96" t="str">
        <f>IF(Diario!B308="","",Diario!B308)</f>
        <v/>
      </c>
      <c r="F65" s="89" t="str">
        <f>IF(Diario!B309="","",Diario!B309)</f>
        <v/>
      </c>
      <c r="G65" s="17"/>
      <c r="H65" s="17"/>
      <c r="I65" s="96" t="str">
        <f>IF(Diario!B332="","",Diario!B332)</f>
        <v/>
      </c>
      <c r="J65" s="96" t="str">
        <f>IF(Diario!B333="","",Diario!B333)</f>
        <v/>
      </c>
      <c r="K65" s="96" t="str">
        <f>IF(Diario!B334="","",Diario!B334)</f>
        <v/>
      </c>
      <c r="L65" s="96" t="str">
        <f>IF(Diario!B335="","",Diario!B335)</f>
        <v/>
      </c>
      <c r="M65" s="96" t="str">
        <f>IF(Diario!B336="","",Diario!B336)</f>
        <v/>
      </c>
      <c r="N65" s="89" t="str">
        <f>IF(Diario!B337="","",Diario!B337)</f>
        <v/>
      </c>
      <c r="O65" s="89" t="str">
        <f>IF(Diario!B338="","",Diario!B338)</f>
        <v/>
      </c>
      <c r="P65" s="17"/>
      <c r="Q65" s="96" t="str">
        <f>IF(Diario!B367="","",Diario!B367)</f>
        <v/>
      </c>
      <c r="R65" s="96" t="str">
        <f>IF(Diario!B368="","",Diario!B368)</f>
        <v/>
      </c>
      <c r="S65" s="96" t="str">
        <f>IF(Diario!B369="","",Diario!B369)</f>
        <v/>
      </c>
      <c r="T65" s="96" t="str">
        <f>IF(Diario!B370="","",Diario!B370)</f>
        <v/>
      </c>
      <c r="U65" s="17"/>
      <c r="V65" s="17"/>
      <c r="W65" s="17"/>
    </row>
    <row r="66" spans="1:23" ht="16.5" customHeight="1" x14ac:dyDescent="0.25">
      <c r="A66" s="17"/>
      <c r="B66" s="17"/>
      <c r="C66" s="17"/>
      <c r="D66" s="17"/>
      <c r="E66" s="17"/>
      <c r="F66" s="17"/>
      <c r="G66" s="17"/>
      <c r="H66" s="17"/>
      <c r="I66" s="86">
        <v>30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spans="1:23" ht="16.5" customHeight="1" x14ac:dyDescent="0.25">
      <c r="A67" s="17"/>
      <c r="B67" s="17"/>
      <c r="C67" s="17"/>
      <c r="D67" s="17"/>
      <c r="E67" s="17"/>
      <c r="F67" s="17"/>
      <c r="G67" s="17"/>
      <c r="H67" s="17"/>
      <c r="I67" s="96" t="str">
        <f>IF(Diario!B339="","",Diario!B339)</f>
        <v/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spans="1:23" ht="16.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spans="1:23" ht="16.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spans="1:23" ht="16.5" customHeight="1" x14ac:dyDescent="0.25">
      <c r="A70" s="133" t="s">
        <v>184</v>
      </c>
      <c r="B70" s="106"/>
      <c r="C70" s="106"/>
      <c r="D70" s="106"/>
      <c r="E70" s="106"/>
      <c r="F70" s="106"/>
      <c r="G70" s="106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spans="1:23" ht="16.5" customHeight="1" x14ac:dyDescent="0.25">
      <c r="A71" s="99" t="str">
        <f>HYPERLINK("https://docs.google.com/spreadsheets/d/19NBi4nJ9XKfUrlWNGbM50jAMxFWUWCtpNkLKhGpA36M/edit#gid=206090503","Abrir Movimientos")</f>
        <v>Abrir Movimientos</v>
      </c>
      <c r="B71" s="84"/>
      <c r="C71" s="134" t="s">
        <v>185</v>
      </c>
      <c r="D71" s="131"/>
      <c r="E71" s="131"/>
      <c r="F71" s="131"/>
      <c r="G71" s="131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spans="1:23" ht="16.5" customHeight="1" x14ac:dyDescent="0.25">
      <c r="A72" s="100"/>
      <c r="B72" s="101"/>
      <c r="C72" s="130"/>
      <c r="D72" s="131"/>
      <c r="E72" s="131"/>
      <c r="F72" s="131"/>
      <c r="G72" s="131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spans="1:23" ht="16.5" customHeight="1" x14ac:dyDescent="0.25">
      <c r="A73" s="100"/>
      <c r="B73" s="101"/>
      <c r="C73" s="130"/>
      <c r="D73" s="131"/>
      <c r="E73" s="131"/>
      <c r="F73" s="131"/>
      <c r="G73" s="131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spans="1:23" ht="16.5" customHeight="1" x14ac:dyDescent="0.25">
      <c r="A74" s="100"/>
      <c r="B74" s="101"/>
      <c r="C74" s="130"/>
      <c r="D74" s="131"/>
      <c r="E74" s="131"/>
      <c r="F74" s="131"/>
      <c r="G74" s="131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spans="1:23" ht="16.5" customHeight="1" x14ac:dyDescent="0.25">
      <c r="A75" s="100"/>
      <c r="B75" s="101"/>
      <c r="C75" s="130"/>
      <c r="D75" s="131"/>
      <c r="E75" s="131"/>
      <c r="F75" s="131"/>
      <c r="G75" s="131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spans="1:23" ht="16.5" customHeight="1" x14ac:dyDescent="0.25">
      <c r="A76" s="100"/>
      <c r="B76" s="101"/>
      <c r="C76" s="130"/>
      <c r="D76" s="131"/>
      <c r="E76" s="131"/>
      <c r="F76" s="131"/>
      <c r="G76" s="131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spans="1:23" ht="16.5" customHeight="1" x14ac:dyDescent="0.25">
      <c r="A77" s="100"/>
      <c r="B77" s="101"/>
      <c r="C77" s="130"/>
      <c r="D77" s="131"/>
      <c r="E77" s="131"/>
      <c r="F77" s="131"/>
      <c r="G77" s="131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spans="1:23" ht="16.5" customHeight="1" x14ac:dyDescent="0.25">
      <c r="A78" s="100"/>
      <c r="B78" s="101"/>
      <c r="C78" s="130"/>
      <c r="D78" s="131"/>
      <c r="E78" s="131"/>
      <c r="F78" s="131"/>
      <c r="G78" s="131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spans="1:23" ht="16.5" customHeight="1" x14ac:dyDescent="0.25">
      <c r="A79" s="100"/>
      <c r="B79" s="101"/>
      <c r="C79" s="130"/>
      <c r="D79" s="131"/>
      <c r="E79" s="131"/>
      <c r="F79" s="131"/>
      <c r="G79" s="131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spans="1:23" ht="16.5" customHeight="1" x14ac:dyDescent="0.25">
      <c r="A80" s="100"/>
      <c r="B80" s="101"/>
      <c r="C80" s="130"/>
      <c r="D80" s="131"/>
      <c r="E80" s="131"/>
      <c r="F80" s="131"/>
      <c r="G80" s="131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spans="1:23" ht="16.5" customHeight="1" x14ac:dyDescent="0.25">
      <c r="A81" s="100"/>
      <c r="B81" s="101"/>
      <c r="C81" s="130"/>
      <c r="D81" s="131"/>
      <c r="E81" s="131"/>
      <c r="F81" s="131"/>
      <c r="G81" s="131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spans="1:23" ht="16.5" customHeight="1" x14ac:dyDescent="0.25">
      <c r="A82" s="100"/>
      <c r="B82" s="101"/>
      <c r="C82" s="130"/>
      <c r="D82" s="131"/>
      <c r="E82" s="131"/>
      <c r="F82" s="131"/>
      <c r="G82" s="131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spans="1:23" ht="16.5" customHeight="1" x14ac:dyDescent="0.25">
      <c r="A83" s="100"/>
      <c r="B83" s="101"/>
      <c r="C83" s="130"/>
      <c r="D83" s="131"/>
      <c r="E83" s="131"/>
      <c r="F83" s="131"/>
      <c r="G83" s="131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spans="1:23" ht="16.5" customHeight="1" x14ac:dyDescent="0.25">
      <c r="A84" s="100"/>
      <c r="B84" s="101"/>
      <c r="C84" s="130"/>
      <c r="D84" s="131"/>
      <c r="E84" s="131"/>
      <c r="F84" s="131"/>
      <c r="G84" s="131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spans="1:23" ht="16.5" customHeight="1" x14ac:dyDescent="0.25">
      <c r="A85" s="100"/>
      <c r="B85" s="101"/>
      <c r="C85" s="130"/>
      <c r="D85" s="131"/>
      <c r="E85" s="131"/>
      <c r="F85" s="131"/>
      <c r="G85" s="131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spans="1:23" ht="16.5" customHeight="1" x14ac:dyDescent="0.25">
      <c r="A86" s="100"/>
      <c r="B86" s="101"/>
      <c r="C86" s="130"/>
      <c r="D86" s="131"/>
      <c r="E86" s="131"/>
      <c r="F86" s="131"/>
      <c r="G86" s="131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spans="1:23" ht="16.5" customHeight="1" x14ac:dyDescent="0.25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</row>
    <row r="88" spans="1:23" ht="16.5" customHeight="1" x14ac:dyDescent="0.25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</row>
    <row r="89" spans="1:23" ht="16.5" customHeight="1" x14ac:dyDescent="0.25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</row>
    <row r="90" spans="1:23" ht="16.5" customHeight="1" x14ac:dyDescent="0.25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</row>
    <row r="91" spans="1:23" ht="16.5" customHeight="1" x14ac:dyDescent="0.25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</row>
    <row r="92" spans="1:23" ht="16.5" customHeight="1" x14ac:dyDescent="0.25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</row>
    <row r="93" spans="1:23" ht="16.5" customHeight="1" x14ac:dyDescent="0.25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</row>
    <row r="94" spans="1:23" ht="16.5" customHeight="1" x14ac:dyDescent="0.25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</row>
    <row r="95" spans="1:23" ht="16.5" customHeight="1" x14ac:dyDescent="0.2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</row>
    <row r="96" spans="1:23" ht="16.5" customHeight="1" x14ac:dyDescent="0.25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</row>
    <row r="97" spans="1:23" ht="16.5" customHeight="1" x14ac:dyDescent="0.25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</row>
    <row r="98" spans="1:23" ht="16.5" customHeight="1" x14ac:dyDescent="0.25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</row>
    <row r="99" spans="1:23" ht="16.5" customHeight="1" x14ac:dyDescent="0.25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</row>
    <row r="100" spans="1:23" ht="16.5" customHeight="1" x14ac:dyDescent="0.25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</row>
    <row r="101" spans="1:23" ht="16.5" customHeight="1" x14ac:dyDescent="0.25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</row>
    <row r="102" spans="1:23" ht="16.5" customHeight="1" x14ac:dyDescent="0.25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</row>
    <row r="103" spans="1:23" ht="16.5" customHeight="1" x14ac:dyDescent="0.25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</row>
    <row r="104" spans="1:23" ht="16.5" customHeight="1" x14ac:dyDescent="0.25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</row>
    <row r="105" spans="1:23" ht="16.5" customHeight="1" x14ac:dyDescent="0.2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</row>
    <row r="106" spans="1:23" ht="16.5" customHeight="1" x14ac:dyDescent="0.25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</row>
    <row r="107" spans="1:23" ht="16.5" customHeight="1" x14ac:dyDescent="0.25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</row>
    <row r="108" spans="1:23" ht="16.5" customHeight="1" x14ac:dyDescent="0.25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</row>
    <row r="109" spans="1:23" ht="16.5" customHeight="1" x14ac:dyDescent="0.25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</row>
    <row r="110" spans="1:23" ht="16.5" customHeight="1" x14ac:dyDescent="0.25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</row>
    <row r="111" spans="1:23" ht="16.5" customHeight="1" x14ac:dyDescent="0.25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</row>
    <row r="112" spans="1:23" ht="16.5" customHeight="1" x14ac:dyDescent="0.25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</row>
    <row r="113" spans="1:23" ht="16.5" customHeight="1" x14ac:dyDescent="0.25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</row>
    <row r="114" spans="1:23" ht="16.5" customHeight="1" x14ac:dyDescent="0.25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</row>
    <row r="115" spans="1:23" ht="16.5" customHeight="1" x14ac:dyDescent="0.2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</row>
    <row r="116" spans="1:23" ht="16.5" customHeight="1" x14ac:dyDescent="0.25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</row>
    <row r="117" spans="1:23" ht="16.5" customHeight="1" x14ac:dyDescent="0.25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</row>
    <row r="118" spans="1:23" ht="16.5" customHeight="1" x14ac:dyDescent="0.25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</row>
    <row r="119" spans="1:23" ht="16.5" customHeight="1" x14ac:dyDescent="0.25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</row>
    <row r="120" spans="1:23" ht="16.5" customHeight="1" x14ac:dyDescent="0.25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</row>
    <row r="121" spans="1:23" ht="16.5" customHeight="1" x14ac:dyDescent="0.25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</row>
    <row r="122" spans="1:23" ht="16.5" customHeight="1" x14ac:dyDescent="0.25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</row>
    <row r="123" spans="1:23" ht="16.5" customHeight="1" x14ac:dyDescent="0.25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</row>
    <row r="124" spans="1:23" ht="16.5" customHeight="1" x14ac:dyDescent="0.25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</row>
    <row r="125" spans="1:23" ht="16.5" customHeight="1" x14ac:dyDescent="0.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</row>
  </sheetData>
  <mergeCells count="40">
    <mergeCell ref="Q2:T2"/>
    <mergeCell ref="Q3:T3"/>
    <mergeCell ref="I3:L3"/>
    <mergeCell ref="I4:W4"/>
    <mergeCell ref="A1:W1"/>
    <mergeCell ref="A2:G4"/>
    <mergeCell ref="I2:L2"/>
    <mergeCell ref="M2:O2"/>
    <mergeCell ref="U2:W2"/>
    <mergeCell ref="M3:O3"/>
    <mergeCell ref="U3:W3"/>
    <mergeCell ref="I38:O38"/>
    <mergeCell ref="Q38:W38"/>
    <mergeCell ref="A6:G6"/>
    <mergeCell ref="I6:O6"/>
    <mergeCell ref="Q6:W6"/>
    <mergeCell ref="A22:G22"/>
    <mergeCell ref="I22:O22"/>
    <mergeCell ref="Q22:W22"/>
    <mergeCell ref="A38:G38"/>
    <mergeCell ref="A54:G54"/>
    <mergeCell ref="I54:O54"/>
    <mergeCell ref="Q54:W54"/>
    <mergeCell ref="A70:G70"/>
    <mergeCell ref="C71:G71"/>
    <mergeCell ref="C72:G72"/>
    <mergeCell ref="C73:G73"/>
    <mergeCell ref="C81:G81"/>
    <mergeCell ref="C82:G82"/>
    <mergeCell ref="C83:G83"/>
    <mergeCell ref="C84:G84"/>
    <mergeCell ref="C85:G85"/>
    <mergeCell ref="C86:G86"/>
    <mergeCell ref="C74:G74"/>
    <mergeCell ref="C75:G75"/>
    <mergeCell ref="C76:G76"/>
    <mergeCell ref="C77:G77"/>
    <mergeCell ref="C78:G78"/>
    <mergeCell ref="C79:G79"/>
    <mergeCell ref="C80:G80"/>
  </mergeCells>
  <dataValidations count="3">
    <dataValidation type="custom" allowBlank="1" showErrorMessage="1" sqref="A72:A86" xr:uid="{00000000-0002-0000-0900-000000000000}">
      <formula1>OR(NOT(ISERROR(DATEVALUE(A72))), AND(ISNUMBER(A72), LEFT(CELL("format", A72))="D"))</formula1>
    </dataValidation>
    <dataValidation type="decimal" operator="greaterThan" allowBlank="1" showErrorMessage="1" sqref="R41:U41 E43 I43:M43 Q43:U43 A45:E45 I45:M45 Q45:U45 A47:E47 I47:M47 Q47:U47 A49:E49 I49:M49 Q49:S49 I51 D57:E57 R57:U57 A59:E59 I59:M59 Q59:U59 A61:E61 I61:M61 Q61:U61 A63:E63 I63:M63 Q63:U63 A65:E65 I65:M65 Q65:T65 I67" xr:uid="{00000000-0002-0000-0900-000001000000}">
      <formula1>0</formula1>
    </dataValidation>
    <dataValidation type="decimal" allowBlank="1" showErrorMessage="1" sqref="B72:B86" xr:uid="{00000000-0002-0000-0900-000002000000}">
      <formula1>-1000000000</formula1>
      <formula2>1000000000</formula2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7A1E0"/>
    <outlinePr summaryBelow="0" summaryRight="0"/>
  </sheetPr>
  <dimension ref="A1:E366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59765625" defaultRowHeight="15" customHeight="1" x14ac:dyDescent="0.25"/>
  <cols>
    <col min="1" max="1" width="12.59765625" customWidth="1"/>
    <col min="2" max="4" width="15.69921875" customWidth="1"/>
    <col min="5" max="5" width="18.19921875" customWidth="1"/>
  </cols>
  <sheetData>
    <row r="1" spans="1:5" x14ac:dyDescent="0.25">
      <c r="A1" s="91" t="s">
        <v>4</v>
      </c>
      <c r="B1" s="91" t="s">
        <v>172</v>
      </c>
      <c r="C1" s="91" t="s">
        <v>142</v>
      </c>
      <c r="D1" s="91" t="s">
        <v>173</v>
      </c>
      <c r="E1" s="91" t="s">
        <v>174</v>
      </c>
    </row>
    <row r="2" spans="1:5" x14ac:dyDescent="0.25">
      <c r="A2" s="92">
        <v>46023</v>
      </c>
      <c r="B2" s="93" t="str">
        <f>IF(Diario!B6="","",Diario!B6)</f>
        <v/>
      </c>
      <c r="C2" s="93">
        <f>SUMIFS(Movimientos!$B$6:$B$505,Movimientos!$D$6:$D$505,A2,Movimientos!$E$6:$E$505,TRUE)</f>
        <v>0</v>
      </c>
      <c r="D2" s="94" t="str">
        <f>""</f>
        <v/>
      </c>
      <c r="E2" s="95" t="str">
        <f t="shared" ref="E2:E256" si="0">IF(B2="","",IF(OR(A2=DATE(2026,1,30),A2=DATE(2026,2,27),A2=DATE(2026,3,31),A2=DATE(2026,4,30),A2=DATE(2026,5,29),A2=DATE(2026,6,30)),"Histórico mensual",IF(A2=DATE(2026,7,9),"Base diaria",IF(WEEKDAY(A2,2)&gt;5,"Fin de semana","Diario"))))</f>
        <v/>
      </c>
    </row>
    <row r="3" spans="1:5" x14ac:dyDescent="0.25">
      <c r="A3" s="92">
        <v>46024</v>
      </c>
      <c r="B3" s="93" t="str">
        <f>IF(Diario!B7="","",Diario!B7)</f>
        <v/>
      </c>
      <c r="C3" s="93">
        <f>SUMIFS(Movimientos!$B$6:$B$505,Movimientos!$D$6:$D$505,A3,Movimientos!$E$6:$E$505,TRUE)</f>
        <v>0</v>
      </c>
      <c r="D3" s="94" t="str">
        <f ca="1">IFERROR(__xludf.DUMMYFUNCTION("IF(OR(B3="""",A3&gt;TODAY(),E3=""Histórico mensual"",E3=""Base diaria""),"""",IFERROR(LET(prevDate,MAX(FILTER($A$2:A2,$B$2:B2&lt;&gt;"""",$A$2:A2&lt;A3)),prevValue,XLOOKUP(prevDate,$A$2:A2,$B$2:B2),gap,A3-prevDate,unknown,COUNTIFS(Movimientos!$D$6:$D$505,""&gt;""&amp;prevDa"&amp;"te,Movimientos!$D$6:$D$505,""&lt;=""&amp;A3,Movimientos!$E$6:$E$505,FALSE,Movimientos!$C$6:$C$505,""&lt;&gt;Fecha inferida*""),flow,SUMIFS(Movimientos!$B$6:$B$505,Movimientos!$D$6:$D$505,""&gt;""&amp;prevDate,Movimientos!$D$6:$D$505,""&lt;=""&amp;A3,Movimientos!$E$6:$E$505,TRUE)+SU"&amp;"MIFS(Movimientos!$B$6:$B$505,Movimientos!$D$6:$D$505,""&gt;""&amp;prevDate,Movimientos!$D$6:$D$505,""&lt;=""&amp;A3,Movimientos!$C$6:$C$505,""Fecha inferida*""),net,B3-flow,IF(OR(gap&lt;1,unknown&gt;0,prevValue&lt;=0,net&lt;=0),"""",(POWER(net/prevValue,1/gap)-1)*100)),""""))"),"")</f>
        <v/>
      </c>
      <c r="E3" s="95" t="str">
        <f t="shared" si="0"/>
        <v/>
      </c>
    </row>
    <row r="4" spans="1:5" x14ac:dyDescent="0.25">
      <c r="A4" s="92">
        <v>46025</v>
      </c>
      <c r="B4" s="93" t="str">
        <f>IF(Diario!B8="","",Diario!B8)</f>
        <v/>
      </c>
      <c r="C4" s="93">
        <f>SUMIFS(Movimientos!$B$6:$B$505,Movimientos!$D$6:$D$505,A4,Movimientos!$E$6:$E$505,TRUE)</f>
        <v>0</v>
      </c>
      <c r="D4" s="94" t="str">
        <f ca="1">IFERROR(__xludf.DUMMYFUNCTION("IF(OR(B4="""",A4&gt;TODAY(),E4=""Histórico mensual"",E4=""Base diaria""),"""",IFERROR(LET(prevDate,MAX(FILTER($A$2:A3,$B$2:B3&lt;&gt;"""",$A$2:A3&lt;A4)),prevValue,XLOOKUP(prevDate,$A$2:A3,$B$2:B3),gap,A4-prevDate,unknown,COUNTIFS(Movimientos!$D$6:$D$505,""&gt;""&amp;prevDa"&amp;"te,Movimientos!$D$6:$D$505,""&lt;=""&amp;A4,Movimientos!$E$6:$E$505,FALSE,Movimientos!$C$6:$C$505,""&lt;&gt;Fecha inferida*""),flow,SUMIFS(Movimientos!$B$6:$B$505,Movimientos!$D$6:$D$505,""&gt;""&amp;prevDate,Movimientos!$D$6:$D$505,""&lt;=""&amp;A4,Movimientos!$E$6:$E$505,TRUE)+SU"&amp;"MIFS(Movimientos!$B$6:$B$505,Movimientos!$D$6:$D$505,""&gt;""&amp;prevDate,Movimientos!$D$6:$D$505,""&lt;=""&amp;A4,Movimientos!$C$6:$C$505,""Fecha inferida*""),net,B4-flow,IF(OR(gap&lt;1,unknown&gt;0,prevValue&lt;=0,net&lt;=0),"""",(POWER(net/prevValue,1/gap)-1)*100)),""""))"),"")</f>
        <v/>
      </c>
      <c r="E4" s="95" t="str">
        <f t="shared" si="0"/>
        <v/>
      </c>
    </row>
    <row r="5" spans="1:5" x14ac:dyDescent="0.25">
      <c r="A5" s="92">
        <v>46026</v>
      </c>
      <c r="B5" s="93" t="str">
        <f>IF(Diario!B9="","",Diario!B9)</f>
        <v/>
      </c>
      <c r="C5" s="93">
        <f>SUMIFS(Movimientos!$B$6:$B$505,Movimientos!$D$6:$D$505,A5,Movimientos!$E$6:$E$505,TRUE)</f>
        <v>0</v>
      </c>
      <c r="D5" s="94" t="str">
        <f ca="1">IFERROR(__xludf.DUMMYFUNCTION("IF(OR(B5="""",A5&gt;TODAY(),E5=""Histórico mensual"",E5=""Base diaria""),"""",IFERROR(LET(prevDate,MAX(FILTER($A$2:A4,$B$2:B4&lt;&gt;"""",$A$2:A4&lt;A5)),prevValue,XLOOKUP(prevDate,$A$2:A4,$B$2:B4),gap,A5-prevDate,unknown,COUNTIFS(Movimientos!$D$6:$D$505,""&gt;""&amp;prevDa"&amp;"te,Movimientos!$D$6:$D$505,""&lt;=""&amp;A5,Movimientos!$E$6:$E$505,FALSE,Movimientos!$C$6:$C$505,""&lt;&gt;Fecha inferida*""),flow,SUMIFS(Movimientos!$B$6:$B$505,Movimientos!$D$6:$D$505,""&gt;""&amp;prevDate,Movimientos!$D$6:$D$505,""&lt;=""&amp;A5,Movimientos!$E$6:$E$505,TRUE)+SU"&amp;"MIFS(Movimientos!$B$6:$B$505,Movimientos!$D$6:$D$505,""&gt;""&amp;prevDate,Movimientos!$D$6:$D$505,""&lt;=""&amp;A5,Movimientos!$C$6:$C$505,""Fecha inferida*""),net,B5-flow,IF(OR(gap&lt;1,unknown&gt;0,prevValue&lt;=0,net&lt;=0),"""",(POWER(net/prevValue,1/gap)-1)*100)),""""))"),"")</f>
        <v/>
      </c>
      <c r="E5" s="95" t="str">
        <f t="shared" si="0"/>
        <v/>
      </c>
    </row>
    <row r="6" spans="1:5" x14ac:dyDescent="0.25">
      <c r="A6" s="92">
        <v>46027</v>
      </c>
      <c r="B6" s="93" t="str">
        <f>IF(Diario!B10="","",Diario!B10)</f>
        <v/>
      </c>
      <c r="C6" s="93">
        <f>SUMIFS(Movimientos!$B$6:$B$505,Movimientos!$D$6:$D$505,A6,Movimientos!$E$6:$E$505,TRUE)</f>
        <v>0</v>
      </c>
      <c r="D6" s="94" t="str">
        <f ca="1">IFERROR(__xludf.DUMMYFUNCTION("IF(OR(B6="""",A6&gt;TODAY(),E6=""Histórico mensual"",E6=""Base diaria""),"""",IFERROR(LET(prevDate,MAX(FILTER($A$2:A5,$B$2:B5&lt;&gt;"""",$A$2:A5&lt;A6)),prevValue,XLOOKUP(prevDate,$A$2:A5,$B$2:B5),gap,A6-prevDate,unknown,COUNTIFS(Movimientos!$D$6:$D$505,""&gt;""&amp;prevDa"&amp;"te,Movimientos!$D$6:$D$505,""&lt;=""&amp;A6,Movimientos!$E$6:$E$505,FALSE,Movimientos!$C$6:$C$505,""&lt;&gt;Fecha inferida*""),flow,SUMIFS(Movimientos!$B$6:$B$505,Movimientos!$D$6:$D$505,""&gt;""&amp;prevDate,Movimientos!$D$6:$D$505,""&lt;=""&amp;A6,Movimientos!$E$6:$E$505,TRUE)+SU"&amp;"MIFS(Movimientos!$B$6:$B$505,Movimientos!$D$6:$D$505,""&gt;""&amp;prevDate,Movimientos!$D$6:$D$505,""&lt;=""&amp;A6,Movimientos!$C$6:$C$505,""Fecha inferida*""),net,B6-flow,IF(OR(gap&lt;1,unknown&gt;0,prevValue&lt;=0,net&lt;=0),"""",(POWER(net/prevValue,1/gap)-1)*100)),""""))"),"")</f>
        <v/>
      </c>
      <c r="E6" s="95" t="str">
        <f t="shared" si="0"/>
        <v/>
      </c>
    </row>
    <row r="7" spans="1:5" x14ac:dyDescent="0.25">
      <c r="A7" s="92">
        <v>46028</v>
      </c>
      <c r="B7" s="93" t="str">
        <f>IF(Diario!B11="","",Diario!B11)</f>
        <v/>
      </c>
      <c r="C7" s="93">
        <f>SUMIFS(Movimientos!$B$6:$B$505,Movimientos!$D$6:$D$505,A7,Movimientos!$E$6:$E$505,TRUE)</f>
        <v>0</v>
      </c>
      <c r="D7" s="94" t="str">
        <f ca="1">IFERROR(__xludf.DUMMYFUNCTION("IF(OR(B7="""",A7&gt;TODAY(),E7=""Histórico mensual"",E7=""Base diaria""),"""",IFERROR(LET(prevDate,MAX(FILTER($A$2:A6,$B$2:B6&lt;&gt;"""",$A$2:A6&lt;A7)),prevValue,XLOOKUP(prevDate,$A$2:A6,$B$2:B6),gap,A7-prevDate,unknown,COUNTIFS(Movimientos!$D$6:$D$505,""&gt;""&amp;prevDa"&amp;"te,Movimientos!$D$6:$D$505,""&lt;=""&amp;A7,Movimientos!$E$6:$E$505,FALSE,Movimientos!$C$6:$C$505,""&lt;&gt;Fecha inferida*""),flow,SUMIFS(Movimientos!$B$6:$B$505,Movimientos!$D$6:$D$505,""&gt;""&amp;prevDate,Movimientos!$D$6:$D$505,""&lt;=""&amp;A7,Movimientos!$E$6:$E$505,TRUE)+SU"&amp;"MIFS(Movimientos!$B$6:$B$505,Movimientos!$D$6:$D$505,""&gt;""&amp;prevDate,Movimientos!$D$6:$D$505,""&lt;=""&amp;A7,Movimientos!$C$6:$C$505,""Fecha inferida*""),net,B7-flow,IF(OR(gap&lt;1,unknown&gt;0,prevValue&lt;=0,net&lt;=0),"""",(POWER(net/prevValue,1/gap)-1)*100)),""""))"),"")</f>
        <v/>
      </c>
      <c r="E7" s="95" t="str">
        <f t="shared" si="0"/>
        <v/>
      </c>
    </row>
    <row r="8" spans="1:5" x14ac:dyDescent="0.25">
      <c r="A8" s="92">
        <v>46029</v>
      </c>
      <c r="B8" s="93" t="str">
        <f>IF(Diario!B12="","",Diario!B12)</f>
        <v/>
      </c>
      <c r="C8" s="93">
        <f>SUMIFS(Movimientos!$B$6:$B$505,Movimientos!$D$6:$D$505,A8,Movimientos!$E$6:$E$505,TRUE)</f>
        <v>0</v>
      </c>
      <c r="D8" s="94" t="str">
        <f ca="1">IFERROR(__xludf.DUMMYFUNCTION("IF(OR(B8="""",A8&gt;TODAY(),E8=""Histórico mensual"",E8=""Base diaria""),"""",IFERROR(LET(prevDate,MAX(FILTER($A$2:A7,$B$2:B7&lt;&gt;"""",$A$2:A7&lt;A8)),prevValue,XLOOKUP(prevDate,$A$2:A7,$B$2:B7),gap,A8-prevDate,unknown,COUNTIFS(Movimientos!$D$6:$D$505,""&gt;""&amp;prevDa"&amp;"te,Movimientos!$D$6:$D$505,""&lt;=""&amp;A8,Movimientos!$E$6:$E$505,FALSE,Movimientos!$C$6:$C$505,""&lt;&gt;Fecha inferida*""),flow,SUMIFS(Movimientos!$B$6:$B$505,Movimientos!$D$6:$D$505,""&gt;""&amp;prevDate,Movimientos!$D$6:$D$505,""&lt;=""&amp;A8,Movimientos!$E$6:$E$505,TRUE)+SU"&amp;"MIFS(Movimientos!$B$6:$B$505,Movimientos!$D$6:$D$505,""&gt;""&amp;prevDate,Movimientos!$D$6:$D$505,""&lt;=""&amp;A8,Movimientos!$C$6:$C$505,""Fecha inferida*""),net,B8-flow,IF(OR(gap&lt;1,unknown&gt;0,prevValue&lt;=0,net&lt;=0),"""",(POWER(net/prevValue,1/gap)-1)*100)),""""))"),"")</f>
        <v/>
      </c>
      <c r="E8" s="95" t="str">
        <f t="shared" si="0"/>
        <v/>
      </c>
    </row>
    <row r="9" spans="1:5" x14ac:dyDescent="0.25">
      <c r="A9" s="92">
        <v>46030</v>
      </c>
      <c r="B9" s="93" t="str">
        <f>IF(Diario!B13="","",Diario!B13)</f>
        <v/>
      </c>
      <c r="C9" s="93">
        <f>SUMIFS(Movimientos!$B$6:$B$505,Movimientos!$D$6:$D$505,A9,Movimientos!$E$6:$E$505,TRUE)</f>
        <v>0</v>
      </c>
      <c r="D9" s="94" t="str">
        <f ca="1">IFERROR(__xludf.DUMMYFUNCTION("IF(OR(B9="""",A9&gt;TODAY(),E9=""Histórico mensual"",E9=""Base diaria""),"""",IFERROR(LET(prevDate,MAX(FILTER($A$2:A8,$B$2:B8&lt;&gt;"""",$A$2:A8&lt;A9)),prevValue,XLOOKUP(prevDate,$A$2:A8,$B$2:B8),gap,A9-prevDate,unknown,COUNTIFS(Movimientos!$D$6:$D$505,""&gt;""&amp;prevDa"&amp;"te,Movimientos!$D$6:$D$505,""&lt;=""&amp;A9,Movimientos!$E$6:$E$505,FALSE,Movimientos!$C$6:$C$505,""&lt;&gt;Fecha inferida*""),flow,SUMIFS(Movimientos!$B$6:$B$505,Movimientos!$D$6:$D$505,""&gt;""&amp;prevDate,Movimientos!$D$6:$D$505,""&lt;=""&amp;A9,Movimientos!$E$6:$E$505,TRUE)+SU"&amp;"MIFS(Movimientos!$B$6:$B$505,Movimientos!$D$6:$D$505,""&gt;""&amp;prevDate,Movimientos!$D$6:$D$505,""&lt;=""&amp;A9,Movimientos!$C$6:$C$505,""Fecha inferida*""),net,B9-flow,IF(OR(gap&lt;1,unknown&gt;0,prevValue&lt;=0,net&lt;=0),"""",(POWER(net/prevValue,1/gap)-1)*100)),""""))"),"")</f>
        <v/>
      </c>
      <c r="E9" s="95" t="str">
        <f t="shared" si="0"/>
        <v/>
      </c>
    </row>
    <row r="10" spans="1:5" x14ac:dyDescent="0.25">
      <c r="A10" s="92">
        <v>46031</v>
      </c>
      <c r="B10" s="93" t="str">
        <f>IF(Diario!B14="","",Diario!B14)</f>
        <v/>
      </c>
      <c r="C10" s="93">
        <f>SUMIFS(Movimientos!$B$6:$B$505,Movimientos!$D$6:$D$505,A10,Movimientos!$E$6:$E$505,TRUE)</f>
        <v>0</v>
      </c>
      <c r="D10" s="94" t="str">
        <f ca="1">IFERROR(__xludf.DUMMYFUNCTION("IF(OR(B10="""",A10&gt;TODAY(),E10=""Histórico mensual"",E10=""Base diaria""),"""",IFERROR(LET(prevDate,MAX(FILTER($A$2:A9,$B$2:B9&lt;&gt;"""",$A$2:A9&lt;A10)),prevValue,XLOOKUP(prevDate,$A$2:A9,$B$2:B9),gap,A10-prevDate,unknown,COUNTIFS(Movimientos!$D$6:$D$505,""&gt;""&amp;"&amp;"prevDate,Movimientos!$D$6:$D$505,""&lt;=""&amp;A10,Movimientos!$E$6:$E$505,FALSE,Movimientos!$C$6:$C$505,""&lt;&gt;Fecha inferida*""),flow,SUMIFS(Movimientos!$B$6:$B$505,Movimientos!$D$6:$D$505,""&gt;""&amp;prevDate,Movimientos!$D$6:$D$505,""&lt;=""&amp;A10,Movimientos!$E$6:$E$505,"&amp;"TRUE)+SUMIFS(Movimientos!$B$6:$B$505,Movimientos!$D$6:$D$505,""&gt;""&amp;prevDate,Movimientos!$D$6:$D$505,""&lt;=""&amp;A10,Movimientos!$C$6:$C$505,""Fecha inferida*""),net,B10-flow,IF(OR(gap&lt;1,unknown&gt;0,prevValue&lt;=0,net&lt;=0),"""",(POWER(net/prevValue,1/gap)-1)*100)),"&amp;"""""))"),"")</f>
        <v/>
      </c>
      <c r="E10" s="95" t="str">
        <f t="shared" si="0"/>
        <v/>
      </c>
    </row>
    <row r="11" spans="1:5" x14ac:dyDescent="0.25">
      <c r="A11" s="92">
        <v>46032</v>
      </c>
      <c r="B11" s="93" t="str">
        <f>IF(Diario!B15="","",Diario!B15)</f>
        <v/>
      </c>
      <c r="C11" s="93">
        <f>SUMIFS(Movimientos!$B$6:$B$505,Movimientos!$D$6:$D$505,A11,Movimientos!$E$6:$E$505,TRUE)</f>
        <v>0</v>
      </c>
      <c r="D11" s="94" t="str">
        <f ca="1">IFERROR(__xludf.DUMMYFUNCTION("IF(OR(B11="""",A11&gt;TODAY(),E11=""Histórico mensual"",E11=""Base diaria""),"""",IFERROR(LET(prevDate,MAX(FILTER($A$2:A10,$B$2:B10&lt;&gt;"""",$A$2:A10&lt;A11)),prevValue,XLOOKUP(prevDate,$A$2:A10,$B$2:B10),gap,A11-prevDate,unknown,COUNTIFS(Movimientos!$D$6:$D$505,"&amp;"""&gt;""&amp;prevDate,Movimientos!$D$6:$D$505,""&lt;=""&amp;A11,Movimientos!$E$6:$E$505,FALSE,Movimientos!$C$6:$C$505,""&lt;&gt;Fecha inferida*""),flow,SUMIFS(Movimientos!$B$6:$B$505,Movimientos!$D$6:$D$505,""&gt;""&amp;prevDate,Movimientos!$D$6:$D$505,""&lt;=""&amp;A11,Movimientos!$E$6:$"&amp;"E$505,TRUE)+SUMIFS(Movimientos!$B$6:$B$505,Movimientos!$D$6:$D$505,""&gt;""&amp;prevDate,Movimientos!$D$6:$D$505,""&lt;=""&amp;A11,Movimientos!$C$6:$C$505,""Fecha inferida*""),net,B11-flow,IF(OR(gap&lt;1,unknown&gt;0,prevValue&lt;=0,net&lt;=0),"""",(POWER(net/prevValue,1/gap)-1)*1"&amp;"00)),""""))"),"")</f>
        <v/>
      </c>
      <c r="E11" s="95" t="str">
        <f t="shared" si="0"/>
        <v/>
      </c>
    </row>
    <row r="12" spans="1:5" x14ac:dyDescent="0.25">
      <c r="A12" s="92">
        <v>46033</v>
      </c>
      <c r="B12" s="93" t="str">
        <f>IF(Diario!B16="","",Diario!B16)</f>
        <v/>
      </c>
      <c r="C12" s="93">
        <f>SUMIFS(Movimientos!$B$6:$B$505,Movimientos!$D$6:$D$505,A12,Movimientos!$E$6:$E$505,TRUE)</f>
        <v>0</v>
      </c>
      <c r="D12" s="94" t="str">
        <f ca="1">IFERROR(__xludf.DUMMYFUNCTION("IF(OR(B12="""",A12&gt;TODAY(),E12=""Histórico mensual"",E12=""Base diaria""),"""",IFERROR(LET(prevDate,MAX(FILTER($A$2:A11,$B$2:B11&lt;&gt;"""",$A$2:A11&lt;A12)),prevValue,XLOOKUP(prevDate,$A$2:A11,$B$2:B11),gap,A12-prevDate,unknown,COUNTIFS(Movimientos!$D$6:$D$505,"&amp;"""&gt;""&amp;prevDate,Movimientos!$D$6:$D$505,""&lt;=""&amp;A12,Movimientos!$E$6:$E$505,FALSE,Movimientos!$C$6:$C$505,""&lt;&gt;Fecha inferida*""),flow,SUMIFS(Movimientos!$B$6:$B$505,Movimientos!$D$6:$D$505,""&gt;""&amp;prevDate,Movimientos!$D$6:$D$505,""&lt;=""&amp;A12,Movimientos!$E$6:$"&amp;"E$505,TRUE)+SUMIFS(Movimientos!$B$6:$B$505,Movimientos!$D$6:$D$505,""&gt;""&amp;prevDate,Movimientos!$D$6:$D$505,""&lt;=""&amp;A12,Movimientos!$C$6:$C$505,""Fecha inferida*""),net,B12-flow,IF(OR(gap&lt;1,unknown&gt;0,prevValue&lt;=0,net&lt;=0),"""",(POWER(net/prevValue,1/gap)-1)*1"&amp;"00)),""""))"),"")</f>
        <v/>
      </c>
      <c r="E12" s="95" t="str">
        <f t="shared" si="0"/>
        <v/>
      </c>
    </row>
    <row r="13" spans="1:5" x14ac:dyDescent="0.25">
      <c r="A13" s="92">
        <v>46034</v>
      </c>
      <c r="B13" s="93" t="str">
        <f>IF(Diario!B17="","",Diario!B17)</f>
        <v/>
      </c>
      <c r="C13" s="93">
        <f>SUMIFS(Movimientos!$B$6:$B$505,Movimientos!$D$6:$D$505,A13,Movimientos!$E$6:$E$505,TRUE)</f>
        <v>0</v>
      </c>
      <c r="D13" s="94" t="str">
        <f ca="1">IFERROR(__xludf.DUMMYFUNCTION("IF(OR(B13="""",A13&gt;TODAY(),E13=""Histórico mensual"",E13=""Base diaria""),"""",IFERROR(LET(prevDate,MAX(FILTER($A$2:A12,$B$2:B12&lt;&gt;"""",$A$2:A12&lt;A13)),prevValue,XLOOKUP(prevDate,$A$2:A12,$B$2:B12),gap,A13-prevDate,unknown,COUNTIFS(Movimientos!$D$6:$D$505,"&amp;"""&gt;""&amp;prevDate,Movimientos!$D$6:$D$505,""&lt;=""&amp;A13,Movimientos!$E$6:$E$505,FALSE,Movimientos!$C$6:$C$505,""&lt;&gt;Fecha inferida*""),flow,SUMIFS(Movimientos!$B$6:$B$505,Movimientos!$D$6:$D$505,""&gt;""&amp;prevDate,Movimientos!$D$6:$D$505,""&lt;=""&amp;A13,Movimientos!$E$6:$"&amp;"E$505,TRUE)+SUMIFS(Movimientos!$B$6:$B$505,Movimientos!$D$6:$D$505,""&gt;""&amp;prevDate,Movimientos!$D$6:$D$505,""&lt;=""&amp;A13,Movimientos!$C$6:$C$505,""Fecha inferida*""),net,B13-flow,IF(OR(gap&lt;1,unknown&gt;0,prevValue&lt;=0,net&lt;=0),"""",(POWER(net/prevValue,1/gap)-1)*1"&amp;"00)),""""))"),"")</f>
        <v/>
      </c>
      <c r="E13" s="95" t="str">
        <f t="shared" si="0"/>
        <v/>
      </c>
    </row>
    <row r="14" spans="1:5" x14ac:dyDescent="0.25">
      <c r="A14" s="92">
        <v>46035</v>
      </c>
      <c r="B14" s="93" t="str">
        <f>IF(Diario!B18="","",Diario!B18)</f>
        <v/>
      </c>
      <c r="C14" s="93">
        <f>SUMIFS(Movimientos!$B$6:$B$505,Movimientos!$D$6:$D$505,A14,Movimientos!$E$6:$E$505,TRUE)</f>
        <v>0</v>
      </c>
      <c r="D14" s="94" t="str">
        <f ca="1">IFERROR(__xludf.DUMMYFUNCTION("IF(OR(B14="""",A14&gt;TODAY(),E14=""Histórico mensual"",E14=""Base diaria""),"""",IFERROR(LET(prevDate,MAX(FILTER($A$2:A13,$B$2:B13&lt;&gt;"""",$A$2:A13&lt;A14)),prevValue,XLOOKUP(prevDate,$A$2:A13,$B$2:B13),gap,A14-prevDate,unknown,COUNTIFS(Movimientos!$D$6:$D$505,"&amp;"""&gt;""&amp;prevDate,Movimientos!$D$6:$D$505,""&lt;=""&amp;A14,Movimientos!$E$6:$E$505,FALSE,Movimientos!$C$6:$C$505,""&lt;&gt;Fecha inferida*""),flow,SUMIFS(Movimientos!$B$6:$B$505,Movimientos!$D$6:$D$505,""&gt;""&amp;prevDate,Movimientos!$D$6:$D$505,""&lt;=""&amp;A14,Movimientos!$E$6:$"&amp;"E$505,TRUE)+SUMIFS(Movimientos!$B$6:$B$505,Movimientos!$D$6:$D$505,""&gt;""&amp;prevDate,Movimientos!$D$6:$D$505,""&lt;=""&amp;A14,Movimientos!$C$6:$C$505,""Fecha inferida*""),net,B14-flow,IF(OR(gap&lt;1,unknown&gt;0,prevValue&lt;=0,net&lt;=0),"""",(POWER(net/prevValue,1/gap)-1)*1"&amp;"00)),""""))"),"")</f>
        <v/>
      </c>
      <c r="E14" s="95" t="str">
        <f t="shared" si="0"/>
        <v/>
      </c>
    </row>
    <row r="15" spans="1:5" x14ac:dyDescent="0.25">
      <c r="A15" s="92">
        <v>46036</v>
      </c>
      <c r="B15" s="93" t="str">
        <f>IF(Diario!B19="","",Diario!B19)</f>
        <v/>
      </c>
      <c r="C15" s="93">
        <f>SUMIFS(Movimientos!$B$6:$B$505,Movimientos!$D$6:$D$505,A15,Movimientos!$E$6:$E$505,TRUE)</f>
        <v>0</v>
      </c>
      <c r="D15" s="94" t="str">
        <f ca="1">IFERROR(__xludf.DUMMYFUNCTION("IF(OR(B15="""",A15&gt;TODAY(),E15=""Histórico mensual"",E15=""Base diaria""),"""",IFERROR(LET(prevDate,MAX(FILTER($A$2:A14,$B$2:B14&lt;&gt;"""",$A$2:A14&lt;A15)),prevValue,XLOOKUP(prevDate,$A$2:A14,$B$2:B14),gap,A15-prevDate,unknown,COUNTIFS(Movimientos!$D$6:$D$505,"&amp;"""&gt;""&amp;prevDate,Movimientos!$D$6:$D$505,""&lt;=""&amp;A15,Movimientos!$E$6:$E$505,FALSE,Movimientos!$C$6:$C$505,""&lt;&gt;Fecha inferida*""),flow,SUMIFS(Movimientos!$B$6:$B$505,Movimientos!$D$6:$D$505,""&gt;""&amp;prevDate,Movimientos!$D$6:$D$505,""&lt;=""&amp;A15,Movimientos!$E$6:$"&amp;"E$505,TRUE)+SUMIFS(Movimientos!$B$6:$B$505,Movimientos!$D$6:$D$505,""&gt;""&amp;prevDate,Movimientos!$D$6:$D$505,""&lt;=""&amp;A15,Movimientos!$C$6:$C$505,""Fecha inferida*""),net,B15-flow,IF(OR(gap&lt;1,unknown&gt;0,prevValue&lt;=0,net&lt;=0),"""",(POWER(net/prevValue,1/gap)-1)*1"&amp;"00)),""""))"),"")</f>
        <v/>
      </c>
      <c r="E15" s="95" t="str">
        <f t="shared" si="0"/>
        <v/>
      </c>
    </row>
    <row r="16" spans="1:5" x14ac:dyDescent="0.25">
      <c r="A16" s="92">
        <v>46037</v>
      </c>
      <c r="B16" s="93" t="str">
        <f>IF(Diario!B20="","",Diario!B20)</f>
        <v/>
      </c>
      <c r="C16" s="93">
        <f>SUMIFS(Movimientos!$B$6:$B$505,Movimientos!$D$6:$D$505,A16,Movimientos!$E$6:$E$505,TRUE)</f>
        <v>0</v>
      </c>
      <c r="D16" s="94" t="str">
        <f ca="1">IFERROR(__xludf.DUMMYFUNCTION("IF(OR(B16="""",A16&gt;TODAY(),E16=""Histórico mensual"",E16=""Base diaria""),"""",IFERROR(LET(prevDate,MAX(FILTER($A$2:A15,$B$2:B15&lt;&gt;"""",$A$2:A15&lt;A16)),prevValue,XLOOKUP(prevDate,$A$2:A15,$B$2:B15),gap,A16-prevDate,unknown,COUNTIFS(Movimientos!$D$6:$D$505,"&amp;"""&gt;""&amp;prevDate,Movimientos!$D$6:$D$505,""&lt;=""&amp;A16,Movimientos!$E$6:$E$505,FALSE,Movimientos!$C$6:$C$505,""&lt;&gt;Fecha inferida*""),flow,SUMIFS(Movimientos!$B$6:$B$505,Movimientos!$D$6:$D$505,""&gt;""&amp;prevDate,Movimientos!$D$6:$D$505,""&lt;=""&amp;A16,Movimientos!$E$6:$"&amp;"E$505,TRUE)+SUMIFS(Movimientos!$B$6:$B$505,Movimientos!$D$6:$D$505,""&gt;""&amp;prevDate,Movimientos!$D$6:$D$505,""&lt;=""&amp;A16,Movimientos!$C$6:$C$505,""Fecha inferida*""),net,B16-flow,IF(OR(gap&lt;1,unknown&gt;0,prevValue&lt;=0,net&lt;=0),"""",(POWER(net/prevValue,1/gap)-1)*1"&amp;"00)),""""))"),"")</f>
        <v/>
      </c>
      <c r="E16" s="95" t="str">
        <f t="shared" si="0"/>
        <v/>
      </c>
    </row>
    <row r="17" spans="1:5" x14ac:dyDescent="0.25">
      <c r="A17" s="92">
        <v>46038</v>
      </c>
      <c r="B17" s="93" t="str">
        <f>IF(Diario!B21="","",Diario!B21)</f>
        <v/>
      </c>
      <c r="C17" s="93">
        <f>SUMIFS(Movimientos!$B$6:$B$505,Movimientos!$D$6:$D$505,A17,Movimientos!$E$6:$E$505,TRUE)</f>
        <v>0</v>
      </c>
      <c r="D17" s="94" t="str">
        <f ca="1">IFERROR(__xludf.DUMMYFUNCTION("IF(OR(B17="""",A17&gt;TODAY(),E17=""Histórico mensual"",E17=""Base diaria""),"""",IFERROR(LET(prevDate,MAX(FILTER($A$2:A16,$B$2:B16&lt;&gt;"""",$A$2:A16&lt;A17)),prevValue,XLOOKUP(prevDate,$A$2:A16,$B$2:B16),gap,A17-prevDate,unknown,COUNTIFS(Movimientos!$D$6:$D$505,"&amp;"""&gt;""&amp;prevDate,Movimientos!$D$6:$D$505,""&lt;=""&amp;A17,Movimientos!$E$6:$E$505,FALSE,Movimientos!$C$6:$C$505,""&lt;&gt;Fecha inferida*""),flow,SUMIFS(Movimientos!$B$6:$B$505,Movimientos!$D$6:$D$505,""&gt;""&amp;prevDate,Movimientos!$D$6:$D$505,""&lt;=""&amp;A17,Movimientos!$E$6:$"&amp;"E$505,TRUE)+SUMIFS(Movimientos!$B$6:$B$505,Movimientos!$D$6:$D$505,""&gt;""&amp;prevDate,Movimientos!$D$6:$D$505,""&lt;=""&amp;A17,Movimientos!$C$6:$C$505,""Fecha inferida*""),net,B17-flow,IF(OR(gap&lt;1,unknown&gt;0,prevValue&lt;=0,net&lt;=0),"""",(POWER(net/prevValue,1/gap)-1)*1"&amp;"00)),""""))"),"")</f>
        <v/>
      </c>
      <c r="E17" s="95" t="str">
        <f t="shared" si="0"/>
        <v/>
      </c>
    </row>
    <row r="18" spans="1:5" x14ac:dyDescent="0.25">
      <c r="A18" s="92">
        <v>46039</v>
      </c>
      <c r="B18" s="93" t="str">
        <f>IF(Diario!B22="","",Diario!B22)</f>
        <v/>
      </c>
      <c r="C18" s="93">
        <f>SUMIFS(Movimientos!$B$6:$B$505,Movimientos!$D$6:$D$505,A18,Movimientos!$E$6:$E$505,TRUE)</f>
        <v>0</v>
      </c>
      <c r="D18" s="94" t="str">
        <f ca="1">IFERROR(__xludf.DUMMYFUNCTION("IF(OR(B18="""",A18&gt;TODAY(),E18=""Histórico mensual"",E18=""Base diaria""),"""",IFERROR(LET(prevDate,MAX(FILTER($A$2:A17,$B$2:B17&lt;&gt;"""",$A$2:A17&lt;A18)),prevValue,XLOOKUP(prevDate,$A$2:A17,$B$2:B17),gap,A18-prevDate,unknown,COUNTIFS(Movimientos!$D$6:$D$505,"&amp;"""&gt;""&amp;prevDate,Movimientos!$D$6:$D$505,""&lt;=""&amp;A18,Movimientos!$E$6:$E$505,FALSE,Movimientos!$C$6:$C$505,""&lt;&gt;Fecha inferida*""),flow,SUMIFS(Movimientos!$B$6:$B$505,Movimientos!$D$6:$D$505,""&gt;""&amp;prevDate,Movimientos!$D$6:$D$505,""&lt;=""&amp;A18,Movimientos!$E$6:$"&amp;"E$505,TRUE)+SUMIFS(Movimientos!$B$6:$B$505,Movimientos!$D$6:$D$505,""&gt;""&amp;prevDate,Movimientos!$D$6:$D$505,""&lt;=""&amp;A18,Movimientos!$C$6:$C$505,""Fecha inferida*""),net,B18-flow,IF(OR(gap&lt;1,unknown&gt;0,prevValue&lt;=0,net&lt;=0),"""",(POWER(net/prevValue,1/gap)-1)*1"&amp;"00)),""""))"),"")</f>
        <v/>
      </c>
      <c r="E18" s="95" t="str">
        <f t="shared" si="0"/>
        <v/>
      </c>
    </row>
    <row r="19" spans="1:5" x14ac:dyDescent="0.25">
      <c r="A19" s="92">
        <v>46040</v>
      </c>
      <c r="B19" s="93" t="str">
        <f>IF(Diario!B23="","",Diario!B23)</f>
        <v/>
      </c>
      <c r="C19" s="93">
        <f>SUMIFS(Movimientos!$B$6:$B$505,Movimientos!$D$6:$D$505,A19,Movimientos!$E$6:$E$505,TRUE)</f>
        <v>0</v>
      </c>
      <c r="D19" s="94" t="str">
        <f ca="1">IFERROR(__xludf.DUMMYFUNCTION("IF(OR(B19="""",A19&gt;TODAY(),E19=""Histórico mensual"",E19=""Base diaria""),"""",IFERROR(LET(prevDate,MAX(FILTER($A$2:A18,$B$2:B18&lt;&gt;"""",$A$2:A18&lt;A19)),prevValue,XLOOKUP(prevDate,$A$2:A18,$B$2:B18),gap,A19-prevDate,unknown,COUNTIFS(Movimientos!$D$6:$D$505,"&amp;"""&gt;""&amp;prevDate,Movimientos!$D$6:$D$505,""&lt;=""&amp;A19,Movimientos!$E$6:$E$505,FALSE,Movimientos!$C$6:$C$505,""&lt;&gt;Fecha inferida*""),flow,SUMIFS(Movimientos!$B$6:$B$505,Movimientos!$D$6:$D$505,""&gt;""&amp;prevDate,Movimientos!$D$6:$D$505,""&lt;=""&amp;A19,Movimientos!$E$6:$"&amp;"E$505,TRUE)+SUMIFS(Movimientos!$B$6:$B$505,Movimientos!$D$6:$D$505,""&gt;""&amp;prevDate,Movimientos!$D$6:$D$505,""&lt;=""&amp;A19,Movimientos!$C$6:$C$505,""Fecha inferida*""),net,B19-flow,IF(OR(gap&lt;1,unknown&gt;0,prevValue&lt;=0,net&lt;=0),"""",(POWER(net/prevValue,1/gap)-1)*1"&amp;"00)),""""))"),"")</f>
        <v/>
      </c>
      <c r="E19" s="95" t="str">
        <f t="shared" si="0"/>
        <v/>
      </c>
    </row>
    <row r="20" spans="1:5" x14ac:dyDescent="0.25">
      <c r="A20" s="92">
        <v>46041</v>
      </c>
      <c r="B20" s="93" t="str">
        <f>IF(Diario!B24="","",Diario!B24)</f>
        <v/>
      </c>
      <c r="C20" s="93">
        <f>SUMIFS(Movimientos!$B$6:$B$505,Movimientos!$D$6:$D$505,A20,Movimientos!$E$6:$E$505,TRUE)</f>
        <v>0</v>
      </c>
      <c r="D20" s="94" t="str">
        <f ca="1">IFERROR(__xludf.DUMMYFUNCTION("IF(OR(B20="""",A20&gt;TODAY(),E20=""Histórico mensual"",E20=""Base diaria""),"""",IFERROR(LET(prevDate,MAX(FILTER($A$2:A19,$B$2:B19&lt;&gt;"""",$A$2:A19&lt;A20)),prevValue,XLOOKUP(prevDate,$A$2:A19,$B$2:B19),gap,A20-prevDate,unknown,COUNTIFS(Movimientos!$D$6:$D$505,"&amp;"""&gt;""&amp;prevDate,Movimientos!$D$6:$D$505,""&lt;=""&amp;A20,Movimientos!$E$6:$E$505,FALSE,Movimientos!$C$6:$C$505,""&lt;&gt;Fecha inferida*""),flow,SUMIFS(Movimientos!$B$6:$B$505,Movimientos!$D$6:$D$505,""&gt;""&amp;prevDate,Movimientos!$D$6:$D$505,""&lt;=""&amp;A20,Movimientos!$E$6:$"&amp;"E$505,TRUE)+SUMIFS(Movimientos!$B$6:$B$505,Movimientos!$D$6:$D$505,""&gt;""&amp;prevDate,Movimientos!$D$6:$D$505,""&lt;=""&amp;A20,Movimientos!$C$6:$C$505,""Fecha inferida*""),net,B20-flow,IF(OR(gap&lt;1,unknown&gt;0,prevValue&lt;=0,net&lt;=0),"""",(POWER(net/prevValue,1/gap)-1)*1"&amp;"00)),""""))"),"")</f>
        <v/>
      </c>
      <c r="E20" s="95" t="str">
        <f t="shared" si="0"/>
        <v/>
      </c>
    </row>
    <row r="21" spans="1:5" x14ac:dyDescent="0.25">
      <c r="A21" s="92">
        <v>46042</v>
      </c>
      <c r="B21" s="93" t="str">
        <f>IF(Diario!B25="","",Diario!B25)</f>
        <v/>
      </c>
      <c r="C21" s="93">
        <f>SUMIFS(Movimientos!$B$6:$B$505,Movimientos!$D$6:$D$505,A21,Movimientos!$E$6:$E$505,TRUE)</f>
        <v>0</v>
      </c>
      <c r="D21" s="94" t="str">
        <f ca="1">IFERROR(__xludf.DUMMYFUNCTION("IF(OR(B21="""",A21&gt;TODAY(),E21=""Histórico mensual"",E21=""Base diaria""),"""",IFERROR(LET(prevDate,MAX(FILTER($A$2:A20,$B$2:B20&lt;&gt;"""",$A$2:A20&lt;A21)),prevValue,XLOOKUP(prevDate,$A$2:A20,$B$2:B20),gap,A21-prevDate,unknown,COUNTIFS(Movimientos!$D$6:$D$505,"&amp;"""&gt;""&amp;prevDate,Movimientos!$D$6:$D$505,""&lt;=""&amp;A21,Movimientos!$E$6:$E$505,FALSE,Movimientos!$C$6:$C$505,""&lt;&gt;Fecha inferida*""),flow,SUMIFS(Movimientos!$B$6:$B$505,Movimientos!$D$6:$D$505,""&gt;""&amp;prevDate,Movimientos!$D$6:$D$505,""&lt;=""&amp;A21,Movimientos!$E$6:$"&amp;"E$505,TRUE)+SUMIFS(Movimientos!$B$6:$B$505,Movimientos!$D$6:$D$505,""&gt;""&amp;prevDate,Movimientos!$D$6:$D$505,""&lt;=""&amp;A21,Movimientos!$C$6:$C$505,""Fecha inferida*""),net,B21-flow,IF(OR(gap&lt;1,unknown&gt;0,prevValue&lt;=0,net&lt;=0),"""",(POWER(net/prevValue,1/gap)-1)*1"&amp;"00)),""""))"),"")</f>
        <v/>
      </c>
      <c r="E21" s="95" t="str">
        <f t="shared" si="0"/>
        <v/>
      </c>
    </row>
    <row r="22" spans="1:5" x14ac:dyDescent="0.25">
      <c r="A22" s="92">
        <v>46043</v>
      </c>
      <c r="B22" s="93" t="str">
        <f>IF(Diario!B26="","",Diario!B26)</f>
        <v/>
      </c>
      <c r="C22" s="93">
        <f>SUMIFS(Movimientos!$B$6:$B$505,Movimientos!$D$6:$D$505,A22,Movimientos!$E$6:$E$505,TRUE)</f>
        <v>0</v>
      </c>
      <c r="D22" s="94" t="str">
        <f ca="1">IFERROR(__xludf.DUMMYFUNCTION("IF(OR(B22="""",A22&gt;TODAY(),E22=""Histórico mensual"",E22=""Base diaria""),"""",IFERROR(LET(prevDate,MAX(FILTER($A$2:A21,$B$2:B21&lt;&gt;"""",$A$2:A21&lt;A22)),prevValue,XLOOKUP(prevDate,$A$2:A21,$B$2:B21),gap,A22-prevDate,unknown,COUNTIFS(Movimientos!$D$6:$D$505,"&amp;"""&gt;""&amp;prevDate,Movimientos!$D$6:$D$505,""&lt;=""&amp;A22,Movimientos!$E$6:$E$505,FALSE,Movimientos!$C$6:$C$505,""&lt;&gt;Fecha inferida*""),flow,SUMIFS(Movimientos!$B$6:$B$505,Movimientos!$D$6:$D$505,""&gt;""&amp;prevDate,Movimientos!$D$6:$D$505,""&lt;=""&amp;A22,Movimientos!$E$6:$"&amp;"E$505,TRUE)+SUMIFS(Movimientos!$B$6:$B$505,Movimientos!$D$6:$D$505,""&gt;""&amp;prevDate,Movimientos!$D$6:$D$505,""&lt;=""&amp;A22,Movimientos!$C$6:$C$505,""Fecha inferida*""),net,B22-flow,IF(OR(gap&lt;1,unknown&gt;0,prevValue&lt;=0,net&lt;=0),"""",(POWER(net/prevValue,1/gap)-1)*1"&amp;"00)),""""))"),"")</f>
        <v/>
      </c>
      <c r="E22" s="95" t="str">
        <f t="shared" si="0"/>
        <v/>
      </c>
    </row>
    <row r="23" spans="1:5" x14ac:dyDescent="0.25">
      <c r="A23" s="92">
        <v>46044</v>
      </c>
      <c r="B23" s="93" t="str">
        <f>IF(Diario!B27="","",Diario!B27)</f>
        <v/>
      </c>
      <c r="C23" s="93">
        <f>SUMIFS(Movimientos!$B$6:$B$505,Movimientos!$D$6:$D$505,A23,Movimientos!$E$6:$E$505,TRUE)</f>
        <v>0</v>
      </c>
      <c r="D23" s="94" t="str">
        <f ca="1">IFERROR(__xludf.DUMMYFUNCTION("IF(OR(B23="""",A23&gt;TODAY(),E23=""Histórico mensual"",E23=""Base diaria""),"""",IFERROR(LET(prevDate,MAX(FILTER($A$2:A22,$B$2:B22&lt;&gt;"""",$A$2:A22&lt;A23)),prevValue,XLOOKUP(prevDate,$A$2:A22,$B$2:B22),gap,A23-prevDate,unknown,COUNTIFS(Movimientos!$D$6:$D$505,"&amp;"""&gt;""&amp;prevDate,Movimientos!$D$6:$D$505,""&lt;=""&amp;A23,Movimientos!$E$6:$E$505,FALSE,Movimientos!$C$6:$C$505,""&lt;&gt;Fecha inferida*""),flow,SUMIFS(Movimientos!$B$6:$B$505,Movimientos!$D$6:$D$505,""&gt;""&amp;prevDate,Movimientos!$D$6:$D$505,""&lt;=""&amp;A23,Movimientos!$E$6:$"&amp;"E$505,TRUE)+SUMIFS(Movimientos!$B$6:$B$505,Movimientos!$D$6:$D$505,""&gt;""&amp;prevDate,Movimientos!$D$6:$D$505,""&lt;=""&amp;A23,Movimientos!$C$6:$C$505,""Fecha inferida*""),net,B23-flow,IF(OR(gap&lt;1,unknown&gt;0,prevValue&lt;=0,net&lt;=0),"""",(POWER(net/prevValue,1/gap)-1)*1"&amp;"00)),""""))"),"")</f>
        <v/>
      </c>
      <c r="E23" s="95" t="str">
        <f t="shared" si="0"/>
        <v/>
      </c>
    </row>
    <row r="24" spans="1:5" x14ac:dyDescent="0.25">
      <c r="A24" s="92">
        <v>46045</v>
      </c>
      <c r="B24" s="93" t="str">
        <f>IF(Diario!B28="","",Diario!B28)</f>
        <v/>
      </c>
      <c r="C24" s="93">
        <f>SUMIFS(Movimientos!$B$6:$B$505,Movimientos!$D$6:$D$505,A24,Movimientos!$E$6:$E$505,TRUE)</f>
        <v>0</v>
      </c>
      <c r="D24" s="94" t="str">
        <f ca="1">IFERROR(__xludf.DUMMYFUNCTION("IF(OR(B24="""",A24&gt;TODAY(),E24=""Histórico mensual"",E24=""Base diaria""),"""",IFERROR(LET(prevDate,MAX(FILTER($A$2:A23,$B$2:B23&lt;&gt;"""",$A$2:A23&lt;A24)),prevValue,XLOOKUP(prevDate,$A$2:A23,$B$2:B23),gap,A24-prevDate,unknown,COUNTIFS(Movimientos!$D$6:$D$505,"&amp;"""&gt;""&amp;prevDate,Movimientos!$D$6:$D$505,""&lt;=""&amp;A24,Movimientos!$E$6:$E$505,FALSE,Movimientos!$C$6:$C$505,""&lt;&gt;Fecha inferida*""),flow,SUMIFS(Movimientos!$B$6:$B$505,Movimientos!$D$6:$D$505,""&gt;""&amp;prevDate,Movimientos!$D$6:$D$505,""&lt;=""&amp;A24,Movimientos!$E$6:$"&amp;"E$505,TRUE)+SUMIFS(Movimientos!$B$6:$B$505,Movimientos!$D$6:$D$505,""&gt;""&amp;prevDate,Movimientos!$D$6:$D$505,""&lt;=""&amp;A24,Movimientos!$C$6:$C$505,""Fecha inferida*""),net,B24-flow,IF(OR(gap&lt;1,unknown&gt;0,prevValue&lt;=0,net&lt;=0),"""",(POWER(net/prevValue,1/gap)-1)*1"&amp;"00)),""""))"),"")</f>
        <v/>
      </c>
      <c r="E24" s="95" t="str">
        <f t="shared" si="0"/>
        <v/>
      </c>
    </row>
    <row r="25" spans="1:5" x14ac:dyDescent="0.25">
      <c r="A25" s="92">
        <v>46046</v>
      </c>
      <c r="B25" s="93" t="str">
        <f>IF(Diario!B29="","",Diario!B29)</f>
        <v/>
      </c>
      <c r="C25" s="93">
        <f>SUMIFS(Movimientos!$B$6:$B$505,Movimientos!$D$6:$D$505,A25,Movimientos!$E$6:$E$505,TRUE)</f>
        <v>0</v>
      </c>
      <c r="D25" s="94" t="str">
        <f ca="1">IFERROR(__xludf.DUMMYFUNCTION("IF(OR(B25="""",A25&gt;TODAY(),E25=""Histórico mensual"",E25=""Base diaria""),"""",IFERROR(LET(prevDate,MAX(FILTER($A$2:A24,$B$2:B24&lt;&gt;"""",$A$2:A24&lt;A25)),prevValue,XLOOKUP(prevDate,$A$2:A24,$B$2:B24),gap,A25-prevDate,unknown,COUNTIFS(Movimientos!$D$6:$D$505,"&amp;"""&gt;""&amp;prevDate,Movimientos!$D$6:$D$505,""&lt;=""&amp;A25,Movimientos!$E$6:$E$505,FALSE,Movimientos!$C$6:$C$505,""&lt;&gt;Fecha inferida*""),flow,SUMIFS(Movimientos!$B$6:$B$505,Movimientos!$D$6:$D$505,""&gt;""&amp;prevDate,Movimientos!$D$6:$D$505,""&lt;=""&amp;A25,Movimientos!$E$6:$"&amp;"E$505,TRUE)+SUMIFS(Movimientos!$B$6:$B$505,Movimientos!$D$6:$D$505,""&gt;""&amp;prevDate,Movimientos!$D$6:$D$505,""&lt;=""&amp;A25,Movimientos!$C$6:$C$505,""Fecha inferida*""),net,B25-flow,IF(OR(gap&lt;1,unknown&gt;0,prevValue&lt;=0,net&lt;=0),"""",(POWER(net/prevValue,1/gap)-1)*1"&amp;"00)),""""))"),"")</f>
        <v/>
      </c>
      <c r="E25" s="95" t="str">
        <f t="shared" si="0"/>
        <v/>
      </c>
    </row>
    <row r="26" spans="1:5" x14ac:dyDescent="0.25">
      <c r="A26" s="92">
        <v>46047</v>
      </c>
      <c r="B26" s="93" t="str">
        <f>IF(Diario!B30="","",Diario!B30)</f>
        <v/>
      </c>
      <c r="C26" s="93">
        <f>SUMIFS(Movimientos!$B$6:$B$505,Movimientos!$D$6:$D$505,A26,Movimientos!$E$6:$E$505,TRUE)</f>
        <v>0</v>
      </c>
      <c r="D26" s="94" t="str">
        <f ca="1">IFERROR(__xludf.DUMMYFUNCTION("IF(OR(B26="""",A26&gt;TODAY(),E26=""Histórico mensual"",E26=""Base diaria""),"""",IFERROR(LET(prevDate,MAX(FILTER($A$2:A25,$B$2:B25&lt;&gt;"""",$A$2:A25&lt;A26)),prevValue,XLOOKUP(prevDate,$A$2:A25,$B$2:B25),gap,A26-prevDate,unknown,COUNTIFS(Movimientos!$D$6:$D$505,"&amp;"""&gt;""&amp;prevDate,Movimientos!$D$6:$D$505,""&lt;=""&amp;A26,Movimientos!$E$6:$E$505,FALSE,Movimientos!$C$6:$C$505,""&lt;&gt;Fecha inferida*""),flow,SUMIFS(Movimientos!$B$6:$B$505,Movimientos!$D$6:$D$505,""&gt;""&amp;prevDate,Movimientos!$D$6:$D$505,""&lt;=""&amp;A26,Movimientos!$E$6:$"&amp;"E$505,TRUE)+SUMIFS(Movimientos!$B$6:$B$505,Movimientos!$D$6:$D$505,""&gt;""&amp;prevDate,Movimientos!$D$6:$D$505,""&lt;=""&amp;A26,Movimientos!$C$6:$C$505,""Fecha inferida*""),net,B26-flow,IF(OR(gap&lt;1,unknown&gt;0,prevValue&lt;=0,net&lt;=0),"""",(POWER(net/prevValue,1/gap)-1)*1"&amp;"00)),""""))"),"")</f>
        <v/>
      </c>
      <c r="E26" s="95" t="str">
        <f t="shared" si="0"/>
        <v/>
      </c>
    </row>
    <row r="27" spans="1:5" x14ac:dyDescent="0.25">
      <c r="A27" s="92">
        <v>46048</v>
      </c>
      <c r="B27" s="93" t="str">
        <f>IF(Diario!B31="","",Diario!B31)</f>
        <v/>
      </c>
      <c r="C27" s="93">
        <f>SUMIFS(Movimientos!$B$6:$B$505,Movimientos!$D$6:$D$505,A27,Movimientos!$E$6:$E$505,TRUE)</f>
        <v>0</v>
      </c>
      <c r="D27" s="94" t="str">
        <f ca="1">IFERROR(__xludf.DUMMYFUNCTION("IF(OR(B27="""",A27&gt;TODAY(),E27=""Histórico mensual"",E27=""Base diaria""),"""",IFERROR(LET(prevDate,MAX(FILTER($A$2:A26,$B$2:B26&lt;&gt;"""",$A$2:A26&lt;A27)),prevValue,XLOOKUP(prevDate,$A$2:A26,$B$2:B26),gap,A27-prevDate,unknown,COUNTIFS(Movimientos!$D$6:$D$505,"&amp;"""&gt;""&amp;prevDate,Movimientos!$D$6:$D$505,""&lt;=""&amp;A27,Movimientos!$E$6:$E$505,FALSE,Movimientos!$C$6:$C$505,""&lt;&gt;Fecha inferida*""),flow,SUMIFS(Movimientos!$B$6:$B$505,Movimientos!$D$6:$D$505,""&gt;""&amp;prevDate,Movimientos!$D$6:$D$505,""&lt;=""&amp;A27,Movimientos!$E$6:$"&amp;"E$505,TRUE)+SUMIFS(Movimientos!$B$6:$B$505,Movimientos!$D$6:$D$505,""&gt;""&amp;prevDate,Movimientos!$D$6:$D$505,""&lt;=""&amp;A27,Movimientos!$C$6:$C$505,""Fecha inferida*""),net,B27-flow,IF(OR(gap&lt;1,unknown&gt;0,prevValue&lt;=0,net&lt;=0),"""",(POWER(net/prevValue,1/gap)-1)*1"&amp;"00)),""""))"),"")</f>
        <v/>
      </c>
      <c r="E27" s="95" t="str">
        <f t="shared" si="0"/>
        <v/>
      </c>
    </row>
    <row r="28" spans="1:5" x14ac:dyDescent="0.25">
      <c r="A28" s="92">
        <v>46049</v>
      </c>
      <c r="B28" s="93" t="str">
        <f>IF(Diario!B32="","",Diario!B32)</f>
        <v/>
      </c>
      <c r="C28" s="93">
        <f>SUMIFS(Movimientos!$B$6:$B$505,Movimientos!$D$6:$D$505,A28,Movimientos!$E$6:$E$505,TRUE)</f>
        <v>0</v>
      </c>
      <c r="D28" s="94" t="str">
        <f ca="1">IFERROR(__xludf.DUMMYFUNCTION("IF(OR(B28="""",A28&gt;TODAY(),E28=""Histórico mensual"",E28=""Base diaria""),"""",IFERROR(LET(prevDate,MAX(FILTER($A$2:A27,$B$2:B27&lt;&gt;"""",$A$2:A27&lt;A28)),prevValue,XLOOKUP(prevDate,$A$2:A27,$B$2:B27),gap,A28-prevDate,unknown,COUNTIFS(Movimientos!$D$6:$D$505,"&amp;"""&gt;""&amp;prevDate,Movimientos!$D$6:$D$505,""&lt;=""&amp;A28,Movimientos!$E$6:$E$505,FALSE,Movimientos!$C$6:$C$505,""&lt;&gt;Fecha inferida*""),flow,SUMIFS(Movimientos!$B$6:$B$505,Movimientos!$D$6:$D$505,""&gt;""&amp;prevDate,Movimientos!$D$6:$D$505,""&lt;=""&amp;A28,Movimientos!$E$6:$"&amp;"E$505,TRUE)+SUMIFS(Movimientos!$B$6:$B$505,Movimientos!$D$6:$D$505,""&gt;""&amp;prevDate,Movimientos!$D$6:$D$505,""&lt;=""&amp;A28,Movimientos!$C$6:$C$505,""Fecha inferida*""),net,B28-flow,IF(OR(gap&lt;1,unknown&gt;0,prevValue&lt;=0,net&lt;=0),"""",(POWER(net/prevValue,1/gap)-1)*1"&amp;"00)),""""))"),"")</f>
        <v/>
      </c>
      <c r="E28" s="95" t="str">
        <f t="shared" si="0"/>
        <v/>
      </c>
    </row>
    <row r="29" spans="1:5" x14ac:dyDescent="0.25">
      <c r="A29" s="92">
        <v>46050</v>
      </c>
      <c r="B29" s="93" t="str">
        <f>IF(Diario!B33="","",Diario!B33)</f>
        <v/>
      </c>
      <c r="C29" s="93">
        <f>SUMIFS(Movimientos!$B$6:$B$505,Movimientos!$D$6:$D$505,A29,Movimientos!$E$6:$E$505,TRUE)</f>
        <v>0</v>
      </c>
      <c r="D29" s="94" t="str">
        <f ca="1">IFERROR(__xludf.DUMMYFUNCTION("IF(OR(B29="""",A29&gt;TODAY(),E29=""Histórico mensual"",E29=""Base diaria""),"""",IFERROR(LET(prevDate,MAX(FILTER($A$2:A28,$B$2:B28&lt;&gt;"""",$A$2:A28&lt;A29)),prevValue,XLOOKUP(prevDate,$A$2:A28,$B$2:B28),gap,A29-prevDate,unknown,COUNTIFS(Movimientos!$D$6:$D$505,"&amp;"""&gt;""&amp;prevDate,Movimientos!$D$6:$D$505,""&lt;=""&amp;A29,Movimientos!$E$6:$E$505,FALSE,Movimientos!$C$6:$C$505,""&lt;&gt;Fecha inferida*""),flow,SUMIFS(Movimientos!$B$6:$B$505,Movimientos!$D$6:$D$505,""&gt;""&amp;prevDate,Movimientos!$D$6:$D$505,""&lt;=""&amp;A29,Movimientos!$E$6:$"&amp;"E$505,TRUE)+SUMIFS(Movimientos!$B$6:$B$505,Movimientos!$D$6:$D$505,""&gt;""&amp;prevDate,Movimientos!$D$6:$D$505,""&lt;=""&amp;A29,Movimientos!$C$6:$C$505,""Fecha inferida*""),net,B29-flow,IF(OR(gap&lt;1,unknown&gt;0,prevValue&lt;=0,net&lt;=0),"""",(POWER(net/prevValue,1/gap)-1)*1"&amp;"00)),""""))"),"")</f>
        <v/>
      </c>
      <c r="E29" s="95" t="str">
        <f t="shared" si="0"/>
        <v/>
      </c>
    </row>
    <row r="30" spans="1:5" x14ac:dyDescent="0.25">
      <c r="A30" s="92">
        <v>46051</v>
      </c>
      <c r="B30" s="93" t="str">
        <f>IF(Diario!B34="","",Diario!B34)</f>
        <v/>
      </c>
      <c r="C30" s="93">
        <f>SUMIFS(Movimientos!$B$6:$B$505,Movimientos!$D$6:$D$505,A30,Movimientos!$E$6:$E$505,TRUE)</f>
        <v>0</v>
      </c>
      <c r="D30" s="94" t="str">
        <f ca="1">IFERROR(__xludf.DUMMYFUNCTION("IF(OR(B30="""",A30&gt;TODAY(),E30=""Histórico mensual"",E30=""Base diaria""),"""",IFERROR(LET(prevDate,MAX(FILTER($A$2:A29,$B$2:B29&lt;&gt;"""",$A$2:A29&lt;A30)),prevValue,XLOOKUP(prevDate,$A$2:A29,$B$2:B29),gap,A30-prevDate,unknown,COUNTIFS(Movimientos!$D$6:$D$505,"&amp;"""&gt;""&amp;prevDate,Movimientos!$D$6:$D$505,""&lt;=""&amp;A30,Movimientos!$E$6:$E$505,FALSE,Movimientos!$C$6:$C$505,""&lt;&gt;Fecha inferida*""),flow,SUMIFS(Movimientos!$B$6:$B$505,Movimientos!$D$6:$D$505,""&gt;""&amp;prevDate,Movimientos!$D$6:$D$505,""&lt;=""&amp;A30,Movimientos!$E$6:$"&amp;"E$505,TRUE)+SUMIFS(Movimientos!$B$6:$B$505,Movimientos!$D$6:$D$505,""&gt;""&amp;prevDate,Movimientos!$D$6:$D$505,""&lt;=""&amp;A30,Movimientos!$C$6:$C$505,""Fecha inferida*""),net,B30-flow,IF(OR(gap&lt;1,unknown&gt;0,prevValue&lt;=0,net&lt;=0),"""",(POWER(net/prevValue,1/gap)-1)*1"&amp;"00)),""""))"),"")</f>
        <v/>
      </c>
      <c r="E30" s="95" t="str">
        <f t="shared" si="0"/>
        <v/>
      </c>
    </row>
    <row r="31" spans="1:5" x14ac:dyDescent="0.25">
      <c r="A31" s="92">
        <v>46052</v>
      </c>
      <c r="B31" s="93">
        <f>IF(Diario!B35="","",Diario!B35)</f>
        <v>76000</v>
      </c>
      <c r="C31" s="93">
        <f>SUMIFS(Movimientos!$B$6:$B$505,Movimientos!$D$6:$D$505,A31,Movimientos!$E$6:$E$505,TRUE)</f>
        <v>500</v>
      </c>
      <c r="D31" s="94" t="str">
        <f ca="1">IFERROR(__xludf.DUMMYFUNCTION("IF(OR(B31="""",A31&gt;TODAY(),E31=""Histórico mensual"",E31=""Base diaria""),"""",IFERROR(LET(prevDate,MAX(FILTER($A$2:A30,$B$2:B30&lt;&gt;"""",$A$2:A30&lt;A31)),prevValue,XLOOKUP(prevDate,$A$2:A30,$B$2:B30),gap,A31-prevDate,unknown,COUNTIFS(Movimientos!$D$6:$D$505,"&amp;"""&gt;""&amp;prevDate,Movimientos!$D$6:$D$505,""&lt;=""&amp;A31,Movimientos!$E$6:$E$505,FALSE,Movimientos!$C$6:$C$505,""&lt;&gt;Fecha inferida*""),flow,SUMIFS(Movimientos!$B$6:$B$505,Movimientos!$D$6:$D$505,""&gt;""&amp;prevDate,Movimientos!$D$6:$D$505,""&lt;=""&amp;A31,Movimientos!$E$6:$"&amp;"E$505,TRUE)+SUMIFS(Movimientos!$B$6:$B$505,Movimientos!$D$6:$D$505,""&gt;""&amp;prevDate,Movimientos!$D$6:$D$505,""&lt;=""&amp;A31,Movimientos!$C$6:$C$505,""Fecha inferida*""),net,B31-flow,IF(OR(gap&lt;1,unknown&gt;0,prevValue&lt;=0,net&lt;=0),"""",(POWER(net/prevValue,1/gap)-1)*1"&amp;"00)),""""))"),"")</f>
        <v/>
      </c>
      <c r="E31" s="95" t="str">
        <f t="shared" si="0"/>
        <v>Histórico mensual</v>
      </c>
    </row>
    <row r="32" spans="1:5" x14ac:dyDescent="0.25">
      <c r="A32" s="92">
        <v>46053</v>
      </c>
      <c r="B32" s="93" t="str">
        <f>IF(Diario!B36="","",Diario!B36)</f>
        <v/>
      </c>
      <c r="C32" s="93">
        <f>SUMIFS(Movimientos!$B$6:$B$505,Movimientos!$D$6:$D$505,A32,Movimientos!$E$6:$E$505,TRUE)</f>
        <v>0</v>
      </c>
      <c r="D32" s="94" t="str">
        <f ca="1">IFERROR(__xludf.DUMMYFUNCTION("IF(OR(B32="""",A32&gt;TODAY(),E32=""Histórico mensual"",E32=""Base diaria""),"""",IFERROR(LET(prevDate,MAX(FILTER($A$2:A31,$B$2:B31&lt;&gt;"""",$A$2:A31&lt;A32)),prevValue,XLOOKUP(prevDate,$A$2:A31,$B$2:B31),gap,A32-prevDate,unknown,COUNTIFS(Movimientos!$D$6:$D$505,"&amp;"""&gt;""&amp;prevDate,Movimientos!$D$6:$D$505,""&lt;=""&amp;A32,Movimientos!$E$6:$E$505,FALSE,Movimientos!$C$6:$C$505,""&lt;&gt;Fecha inferida*""),flow,SUMIFS(Movimientos!$B$6:$B$505,Movimientos!$D$6:$D$505,""&gt;""&amp;prevDate,Movimientos!$D$6:$D$505,""&lt;=""&amp;A32,Movimientos!$E$6:$"&amp;"E$505,TRUE)+SUMIFS(Movimientos!$B$6:$B$505,Movimientos!$D$6:$D$505,""&gt;""&amp;prevDate,Movimientos!$D$6:$D$505,""&lt;=""&amp;A32,Movimientos!$C$6:$C$505,""Fecha inferida*""),net,B32-flow,IF(OR(gap&lt;1,unknown&gt;0,prevValue&lt;=0,net&lt;=0),"""",(POWER(net/prevValue,1/gap)-1)*1"&amp;"00)),""""))"),"")</f>
        <v/>
      </c>
      <c r="E32" s="95" t="str">
        <f t="shared" si="0"/>
        <v/>
      </c>
    </row>
    <row r="33" spans="1:5" x14ac:dyDescent="0.25">
      <c r="A33" s="92">
        <v>46054</v>
      </c>
      <c r="B33" s="93" t="str">
        <f>IF(Diario!B37="","",Diario!B37)</f>
        <v/>
      </c>
      <c r="C33" s="93">
        <f>SUMIFS(Movimientos!$B$6:$B$505,Movimientos!$D$6:$D$505,A33,Movimientos!$E$6:$E$505,TRUE)</f>
        <v>0</v>
      </c>
      <c r="D33" s="94" t="str">
        <f ca="1">IFERROR(__xludf.DUMMYFUNCTION("IF(OR(B33="""",A33&gt;TODAY(),E33=""Histórico mensual"",E33=""Base diaria""),"""",IFERROR(LET(prevDate,MAX(FILTER($A$2:A32,$B$2:B32&lt;&gt;"""",$A$2:A32&lt;A33)),prevValue,XLOOKUP(prevDate,$A$2:A32,$B$2:B32),gap,A33-prevDate,unknown,COUNTIFS(Movimientos!$D$6:$D$505,"&amp;"""&gt;""&amp;prevDate,Movimientos!$D$6:$D$505,""&lt;=""&amp;A33,Movimientos!$E$6:$E$505,FALSE,Movimientos!$C$6:$C$505,""&lt;&gt;Fecha inferida*""),flow,SUMIFS(Movimientos!$B$6:$B$505,Movimientos!$D$6:$D$505,""&gt;""&amp;prevDate,Movimientos!$D$6:$D$505,""&lt;=""&amp;A33,Movimientos!$E$6:$"&amp;"E$505,TRUE)+SUMIFS(Movimientos!$B$6:$B$505,Movimientos!$D$6:$D$505,""&gt;""&amp;prevDate,Movimientos!$D$6:$D$505,""&lt;=""&amp;A33,Movimientos!$C$6:$C$505,""Fecha inferida*""),net,B33-flow,IF(OR(gap&lt;1,unknown&gt;0,prevValue&lt;=0,net&lt;=0),"""",(POWER(net/prevValue,1/gap)-1)*1"&amp;"00)),""""))"),"")</f>
        <v/>
      </c>
      <c r="E33" s="95" t="str">
        <f t="shared" si="0"/>
        <v/>
      </c>
    </row>
    <row r="34" spans="1:5" x14ac:dyDescent="0.25">
      <c r="A34" s="92">
        <v>46055</v>
      </c>
      <c r="B34" s="93" t="str">
        <f>IF(Diario!B38="","",Diario!B38)</f>
        <v/>
      </c>
      <c r="C34" s="93">
        <f>SUMIFS(Movimientos!$B$6:$B$505,Movimientos!$D$6:$D$505,A34,Movimientos!$E$6:$E$505,TRUE)</f>
        <v>0</v>
      </c>
      <c r="D34" s="94" t="str">
        <f ca="1">IFERROR(__xludf.DUMMYFUNCTION("IF(OR(B34="""",A34&gt;TODAY(),E34=""Histórico mensual"",E34=""Base diaria""),"""",IFERROR(LET(prevDate,MAX(FILTER($A$2:A33,$B$2:B33&lt;&gt;"""",$A$2:A33&lt;A34)),prevValue,XLOOKUP(prevDate,$A$2:A33,$B$2:B33),gap,A34-prevDate,unknown,COUNTIFS(Movimientos!$D$6:$D$505,"&amp;"""&gt;""&amp;prevDate,Movimientos!$D$6:$D$505,""&lt;=""&amp;A34,Movimientos!$E$6:$E$505,FALSE,Movimientos!$C$6:$C$505,""&lt;&gt;Fecha inferida*""),flow,SUMIFS(Movimientos!$B$6:$B$505,Movimientos!$D$6:$D$505,""&gt;""&amp;prevDate,Movimientos!$D$6:$D$505,""&lt;=""&amp;A34,Movimientos!$E$6:$"&amp;"E$505,TRUE)+SUMIFS(Movimientos!$B$6:$B$505,Movimientos!$D$6:$D$505,""&gt;""&amp;prevDate,Movimientos!$D$6:$D$505,""&lt;=""&amp;A34,Movimientos!$C$6:$C$505,""Fecha inferida*""),net,B34-flow,IF(OR(gap&lt;1,unknown&gt;0,prevValue&lt;=0,net&lt;=0),"""",(POWER(net/prevValue,1/gap)-1)*1"&amp;"00)),""""))"),"")</f>
        <v/>
      </c>
      <c r="E34" s="95" t="str">
        <f t="shared" si="0"/>
        <v/>
      </c>
    </row>
    <row r="35" spans="1:5" x14ac:dyDescent="0.25">
      <c r="A35" s="92">
        <v>46056</v>
      </c>
      <c r="B35" s="93" t="str">
        <f>IF(Diario!B39="","",Diario!B39)</f>
        <v/>
      </c>
      <c r="C35" s="93">
        <f>SUMIFS(Movimientos!$B$6:$B$505,Movimientos!$D$6:$D$505,A35,Movimientos!$E$6:$E$505,TRUE)</f>
        <v>0</v>
      </c>
      <c r="D35" s="94" t="str">
        <f ca="1">IFERROR(__xludf.DUMMYFUNCTION("IF(OR(B35="""",A35&gt;TODAY(),E35=""Histórico mensual"",E35=""Base diaria""),"""",IFERROR(LET(prevDate,MAX(FILTER($A$2:A34,$B$2:B34&lt;&gt;"""",$A$2:A34&lt;A35)),prevValue,XLOOKUP(prevDate,$A$2:A34,$B$2:B34),gap,A35-prevDate,unknown,COUNTIFS(Movimientos!$D$6:$D$505,"&amp;"""&gt;""&amp;prevDate,Movimientos!$D$6:$D$505,""&lt;=""&amp;A35,Movimientos!$E$6:$E$505,FALSE,Movimientos!$C$6:$C$505,""&lt;&gt;Fecha inferida*""),flow,SUMIFS(Movimientos!$B$6:$B$505,Movimientos!$D$6:$D$505,""&gt;""&amp;prevDate,Movimientos!$D$6:$D$505,""&lt;=""&amp;A35,Movimientos!$E$6:$"&amp;"E$505,TRUE)+SUMIFS(Movimientos!$B$6:$B$505,Movimientos!$D$6:$D$505,""&gt;""&amp;prevDate,Movimientos!$D$6:$D$505,""&lt;=""&amp;A35,Movimientos!$C$6:$C$505,""Fecha inferida*""),net,B35-flow,IF(OR(gap&lt;1,unknown&gt;0,prevValue&lt;=0,net&lt;=0),"""",(POWER(net/prevValue,1/gap)-1)*1"&amp;"00)),""""))"),"")</f>
        <v/>
      </c>
      <c r="E35" s="95" t="str">
        <f t="shared" si="0"/>
        <v/>
      </c>
    </row>
    <row r="36" spans="1:5" x14ac:dyDescent="0.25">
      <c r="A36" s="92">
        <v>46057</v>
      </c>
      <c r="B36" s="93" t="str">
        <f>IF(Diario!B40="","",Diario!B40)</f>
        <v/>
      </c>
      <c r="C36" s="93">
        <f>SUMIFS(Movimientos!$B$6:$B$505,Movimientos!$D$6:$D$505,A36,Movimientos!$E$6:$E$505,TRUE)</f>
        <v>0</v>
      </c>
      <c r="D36" s="94" t="str">
        <f ca="1">IFERROR(__xludf.DUMMYFUNCTION("IF(OR(B36="""",A36&gt;TODAY(),E36=""Histórico mensual"",E36=""Base diaria""),"""",IFERROR(LET(prevDate,MAX(FILTER($A$2:A35,$B$2:B35&lt;&gt;"""",$A$2:A35&lt;A36)),prevValue,XLOOKUP(prevDate,$A$2:A35,$B$2:B35),gap,A36-prevDate,unknown,COUNTIFS(Movimientos!$D$6:$D$505,"&amp;"""&gt;""&amp;prevDate,Movimientos!$D$6:$D$505,""&lt;=""&amp;A36,Movimientos!$E$6:$E$505,FALSE,Movimientos!$C$6:$C$505,""&lt;&gt;Fecha inferida*""),flow,SUMIFS(Movimientos!$B$6:$B$505,Movimientos!$D$6:$D$505,""&gt;""&amp;prevDate,Movimientos!$D$6:$D$505,""&lt;=""&amp;A36,Movimientos!$E$6:$"&amp;"E$505,TRUE)+SUMIFS(Movimientos!$B$6:$B$505,Movimientos!$D$6:$D$505,""&gt;""&amp;prevDate,Movimientos!$D$6:$D$505,""&lt;=""&amp;A36,Movimientos!$C$6:$C$505,""Fecha inferida*""),net,B36-flow,IF(OR(gap&lt;1,unknown&gt;0,prevValue&lt;=0,net&lt;=0),"""",(POWER(net/prevValue,1/gap)-1)*1"&amp;"00)),""""))"),"")</f>
        <v/>
      </c>
      <c r="E36" s="95" t="str">
        <f t="shared" si="0"/>
        <v/>
      </c>
    </row>
    <row r="37" spans="1:5" x14ac:dyDescent="0.25">
      <c r="A37" s="92">
        <v>46058</v>
      </c>
      <c r="B37" s="93" t="str">
        <f>IF(Diario!B41="","",Diario!B41)</f>
        <v/>
      </c>
      <c r="C37" s="93">
        <f>SUMIFS(Movimientos!$B$6:$B$505,Movimientos!$D$6:$D$505,A37,Movimientos!$E$6:$E$505,TRUE)</f>
        <v>0</v>
      </c>
      <c r="D37" s="94" t="str">
        <f ca="1">IFERROR(__xludf.DUMMYFUNCTION("IF(OR(B37="""",A37&gt;TODAY(),E37=""Histórico mensual"",E37=""Base diaria""),"""",IFERROR(LET(prevDate,MAX(FILTER($A$2:A36,$B$2:B36&lt;&gt;"""",$A$2:A36&lt;A37)),prevValue,XLOOKUP(prevDate,$A$2:A36,$B$2:B36),gap,A37-prevDate,unknown,COUNTIFS(Movimientos!$D$6:$D$505,"&amp;"""&gt;""&amp;prevDate,Movimientos!$D$6:$D$505,""&lt;=""&amp;A37,Movimientos!$E$6:$E$505,FALSE,Movimientos!$C$6:$C$505,""&lt;&gt;Fecha inferida*""),flow,SUMIFS(Movimientos!$B$6:$B$505,Movimientos!$D$6:$D$505,""&gt;""&amp;prevDate,Movimientos!$D$6:$D$505,""&lt;=""&amp;A37,Movimientos!$E$6:$"&amp;"E$505,TRUE)+SUMIFS(Movimientos!$B$6:$B$505,Movimientos!$D$6:$D$505,""&gt;""&amp;prevDate,Movimientos!$D$6:$D$505,""&lt;=""&amp;A37,Movimientos!$C$6:$C$505,""Fecha inferida*""),net,B37-flow,IF(OR(gap&lt;1,unknown&gt;0,prevValue&lt;=0,net&lt;=0),"""",(POWER(net/prevValue,1/gap)-1)*1"&amp;"00)),""""))"),"")</f>
        <v/>
      </c>
      <c r="E37" s="95" t="str">
        <f t="shared" si="0"/>
        <v/>
      </c>
    </row>
    <row r="38" spans="1:5" x14ac:dyDescent="0.25">
      <c r="A38" s="92">
        <v>46059</v>
      </c>
      <c r="B38" s="93" t="str">
        <f>IF(Diario!B42="","",Diario!B42)</f>
        <v/>
      </c>
      <c r="C38" s="93">
        <f>SUMIFS(Movimientos!$B$6:$B$505,Movimientos!$D$6:$D$505,A38,Movimientos!$E$6:$E$505,TRUE)</f>
        <v>0</v>
      </c>
      <c r="D38" s="94" t="str">
        <f ca="1">IFERROR(__xludf.DUMMYFUNCTION("IF(OR(B38="""",A38&gt;TODAY(),E38=""Histórico mensual"",E38=""Base diaria""),"""",IFERROR(LET(prevDate,MAX(FILTER($A$2:A37,$B$2:B37&lt;&gt;"""",$A$2:A37&lt;A38)),prevValue,XLOOKUP(prevDate,$A$2:A37,$B$2:B37),gap,A38-prevDate,unknown,COUNTIFS(Movimientos!$D$6:$D$505,"&amp;"""&gt;""&amp;prevDate,Movimientos!$D$6:$D$505,""&lt;=""&amp;A38,Movimientos!$E$6:$E$505,FALSE,Movimientos!$C$6:$C$505,""&lt;&gt;Fecha inferida*""),flow,SUMIFS(Movimientos!$B$6:$B$505,Movimientos!$D$6:$D$505,""&gt;""&amp;prevDate,Movimientos!$D$6:$D$505,""&lt;=""&amp;A38,Movimientos!$E$6:$"&amp;"E$505,TRUE)+SUMIFS(Movimientos!$B$6:$B$505,Movimientos!$D$6:$D$505,""&gt;""&amp;prevDate,Movimientos!$D$6:$D$505,""&lt;=""&amp;A38,Movimientos!$C$6:$C$505,""Fecha inferida*""),net,B38-flow,IF(OR(gap&lt;1,unknown&gt;0,prevValue&lt;=0,net&lt;=0),"""",(POWER(net/prevValue,1/gap)-1)*1"&amp;"00)),""""))"),"")</f>
        <v/>
      </c>
      <c r="E38" s="95" t="str">
        <f t="shared" si="0"/>
        <v/>
      </c>
    </row>
    <row r="39" spans="1:5" x14ac:dyDescent="0.25">
      <c r="A39" s="92">
        <v>46060</v>
      </c>
      <c r="B39" s="93" t="str">
        <f>IF(Diario!B43="","",Diario!B43)</f>
        <v/>
      </c>
      <c r="C39" s="93">
        <f>SUMIFS(Movimientos!$B$6:$B$505,Movimientos!$D$6:$D$505,A39,Movimientos!$E$6:$E$505,TRUE)</f>
        <v>0</v>
      </c>
      <c r="D39" s="94" t="str">
        <f ca="1">IFERROR(__xludf.DUMMYFUNCTION("IF(OR(B39="""",A39&gt;TODAY(),E39=""Histórico mensual"",E39=""Base diaria""),"""",IFERROR(LET(prevDate,MAX(FILTER($A$2:A38,$B$2:B38&lt;&gt;"""",$A$2:A38&lt;A39)),prevValue,XLOOKUP(prevDate,$A$2:A38,$B$2:B38),gap,A39-prevDate,unknown,COUNTIFS(Movimientos!$D$6:$D$505,"&amp;"""&gt;""&amp;prevDate,Movimientos!$D$6:$D$505,""&lt;=""&amp;A39,Movimientos!$E$6:$E$505,FALSE,Movimientos!$C$6:$C$505,""&lt;&gt;Fecha inferida*""),flow,SUMIFS(Movimientos!$B$6:$B$505,Movimientos!$D$6:$D$505,""&gt;""&amp;prevDate,Movimientos!$D$6:$D$505,""&lt;=""&amp;A39,Movimientos!$E$6:$"&amp;"E$505,TRUE)+SUMIFS(Movimientos!$B$6:$B$505,Movimientos!$D$6:$D$505,""&gt;""&amp;prevDate,Movimientos!$D$6:$D$505,""&lt;=""&amp;A39,Movimientos!$C$6:$C$505,""Fecha inferida*""),net,B39-flow,IF(OR(gap&lt;1,unknown&gt;0,prevValue&lt;=0,net&lt;=0),"""",(POWER(net/prevValue,1/gap)-1)*1"&amp;"00)),""""))"),"")</f>
        <v/>
      </c>
      <c r="E39" s="95" t="str">
        <f t="shared" si="0"/>
        <v/>
      </c>
    </row>
    <row r="40" spans="1:5" x14ac:dyDescent="0.25">
      <c r="A40" s="92">
        <v>46061</v>
      </c>
      <c r="B40" s="93" t="str">
        <f>IF(Diario!B44="","",Diario!B44)</f>
        <v/>
      </c>
      <c r="C40" s="93">
        <f>SUMIFS(Movimientos!$B$6:$B$505,Movimientos!$D$6:$D$505,A40,Movimientos!$E$6:$E$505,TRUE)</f>
        <v>0</v>
      </c>
      <c r="D40" s="94" t="str">
        <f ca="1">IFERROR(__xludf.DUMMYFUNCTION("IF(OR(B40="""",A40&gt;TODAY(),E40=""Histórico mensual"",E40=""Base diaria""),"""",IFERROR(LET(prevDate,MAX(FILTER($A$2:A39,$B$2:B39&lt;&gt;"""",$A$2:A39&lt;A40)),prevValue,XLOOKUP(prevDate,$A$2:A39,$B$2:B39),gap,A40-prevDate,unknown,COUNTIFS(Movimientos!$D$6:$D$505,"&amp;"""&gt;""&amp;prevDate,Movimientos!$D$6:$D$505,""&lt;=""&amp;A40,Movimientos!$E$6:$E$505,FALSE,Movimientos!$C$6:$C$505,""&lt;&gt;Fecha inferida*""),flow,SUMIFS(Movimientos!$B$6:$B$505,Movimientos!$D$6:$D$505,""&gt;""&amp;prevDate,Movimientos!$D$6:$D$505,""&lt;=""&amp;A40,Movimientos!$E$6:$"&amp;"E$505,TRUE)+SUMIFS(Movimientos!$B$6:$B$505,Movimientos!$D$6:$D$505,""&gt;""&amp;prevDate,Movimientos!$D$6:$D$505,""&lt;=""&amp;A40,Movimientos!$C$6:$C$505,""Fecha inferida*""),net,B40-flow,IF(OR(gap&lt;1,unknown&gt;0,prevValue&lt;=0,net&lt;=0),"""",(POWER(net/prevValue,1/gap)-1)*1"&amp;"00)),""""))"),"")</f>
        <v/>
      </c>
      <c r="E40" s="95" t="str">
        <f t="shared" si="0"/>
        <v/>
      </c>
    </row>
    <row r="41" spans="1:5" x14ac:dyDescent="0.25">
      <c r="A41" s="92">
        <v>46062</v>
      </c>
      <c r="B41" s="93" t="str">
        <f>IF(Diario!B45="","",Diario!B45)</f>
        <v/>
      </c>
      <c r="C41" s="93">
        <f>SUMIFS(Movimientos!$B$6:$B$505,Movimientos!$D$6:$D$505,A41,Movimientos!$E$6:$E$505,TRUE)</f>
        <v>0</v>
      </c>
      <c r="D41" s="94" t="str">
        <f ca="1">IFERROR(__xludf.DUMMYFUNCTION("IF(OR(B41="""",A41&gt;TODAY(),E41=""Histórico mensual"",E41=""Base diaria""),"""",IFERROR(LET(prevDate,MAX(FILTER($A$2:A40,$B$2:B40&lt;&gt;"""",$A$2:A40&lt;A41)),prevValue,XLOOKUP(prevDate,$A$2:A40,$B$2:B40),gap,A41-prevDate,unknown,COUNTIFS(Movimientos!$D$6:$D$505,"&amp;"""&gt;""&amp;prevDate,Movimientos!$D$6:$D$505,""&lt;=""&amp;A41,Movimientos!$E$6:$E$505,FALSE,Movimientos!$C$6:$C$505,""&lt;&gt;Fecha inferida*""),flow,SUMIFS(Movimientos!$B$6:$B$505,Movimientos!$D$6:$D$505,""&gt;""&amp;prevDate,Movimientos!$D$6:$D$505,""&lt;=""&amp;A41,Movimientos!$E$6:$"&amp;"E$505,TRUE)+SUMIFS(Movimientos!$B$6:$B$505,Movimientos!$D$6:$D$505,""&gt;""&amp;prevDate,Movimientos!$D$6:$D$505,""&lt;=""&amp;A41,Movimientos!$C$6:$C$505,""Fecha inferida*""),net,B41-flow,IF(OR(gap&lt;1,unknown&gt;0,prevValue&lt;=0,net&lt;=0),"""",(POWER(net/prevValue,1/gap)-1)*1"&amp;"00)),""""))"),"")</f>
        <v/>
      </c>
      <c r="E41" s="95" t="str">
        <f t="shared" si="0"/>
        <v/>
      </c>
    </row>
    <row r="42" spans="1:5" x14ac:dyDescent="0.25">
      <c r="A42" s="92">
        <v>46063</v>
      </c>
      <c r="B42" s="93" t="str">
        <f>IF(Diario!B46="","",Diario!B46)</f>
        <v/>
      </c>
      <c r="C42" s="93">
        <f>SUMIFS(Movimientos!$B$6:$B$505,Movimientos!$D$6:$D$505,A42,Movimientos!$E$6:$E$505,TRUE)</f>
        <v>0</v>
      </c>
      <c r="D42" s="94" t="str">
        <f ca="1">IFERROR(__xludf.DUMMYFUNCTION("IF(OR(B42="""",A42&gt;TODAY(),E42=""Histórico mensual"",E42=""Base diaria""),"""",IFERROR(LET(prevDate,MAX(FILTER($A$2:A41,$B$2:B41&lt;&gt;"""",$A$2:A41&lt;A42)),prevValue,XLOOKUP(prevDate,$A$2:A41,$B$2:B41),gap,A42-prevDate,unknown,COUNTIFS(Movimientos!$D$6:$D$505,"&amp;"""&gt;""&amp;prevDate,Movimientos!$D$6:$D$505,""&lt;=""&amp;A42,Movimientos!$E$6:$E$505,FALSE,Movimientos!$C$6:$C$505,""&lt;&gt;Fecha inferida*""),flow,SUMIFS(Movimientos!$B$6:$B$505,Movimientos!$D$6:$D$505,""&gt;""&amp;prevDate,Movimientos!$D$6:$D$505,""&lt;=""&amp;A42,Movimientos!$E$6:$"&amp;"E$505,TRUE)+SUMIFS(Movimientos!$B$6:$B$505,Movimientos!$D$6:$D$505,""&gt;""&amp;prevDate,Movimientos!$D$6:$D$505,""&lt;=""&amp;A42,Movimientos!$C$6:$C$505,""Fecha inferida*""),net,B42-flow,IF(OR(gap&lt;1,unknown&gt;0,prevValue&lt;=0,net&lt;=0),"""",(POWER(net/prevValue,1/gap)-1)*1"&amp;"00)),""""))"),"")</f>
        <v/>
      </c>
      <c r="E42" s="95" t="str">
        <f t="shared" si="0"/>
        <v/>
      </c>
    </row>
    <row r="43" spans="1:5" x14ac:dyDescent="0.25">
      <c r="A43" s="92">
        <v>46064</v>
      </c>
      <c r="B43" s="93" t="str">
        <f>IF(Diario!B47="","",Diario!B47)</f>
        <v/>
      </c>
      <c r="C43" s="93">
        <f>SUMIFS(Movimientos!$B$6:$B$505,Movimientos!$D$6:$D$505,A43,Movimientos!$E$6:$E$505,TRUE)</f>
        <v>0</v>
      </c>
      <c r="D43" s="94" t="str">
        <f ca="1">IFERROR(__xludf.DUMMYFUNCTION("IF(OR(B43="""",A43&gt;TODAY(),E43=""Histórico mensual"",E43=""Base diaria""),"""",IFERROR(LET(prevDate,MAX(FILTER($A$2:A42,$B$2:B42&lt;&gt;"""",$A$2:A42&lt;A43)),prevValue,XLOOKUP(prevDate,$A$2:A42,$B$2:B42),gap,A43-prevDate,unknown,COUNTIFS(Movimientos!$D$6:$D$505,"&amp;"""&gt;""&amp;prevDate,Movimientos!$D$6:$D$505,""&lt;=""&amp;A43,Movimientos!$E$6:$E$505,FALSE,Movimientos!$C$6:$C$505,""&lt;&gt;Fecha inferida*""),flow,SUMIFS(Movimientos!$B$6:$B$505,Movimientos!$D$6:$D$505,""&gt;""&amp;prevDate,Movimientos!$D$6:$D$505,""&lt;=""&amp;A43,Movimientos!$E$6:$"&amp;"E$505,TRUE)+SUMIFS(Movimientos!$B$6:$B$505,Movimientos!$D$6:$D$505,""&gt;""&amp;prevDate,Movimientos!$D$6:$D$505,""&lt;=""&amp;A43,Movimientos!$C$6:$C$505,""Fecha inferida*""),net,B43-flow,IF(OR(gap&lt;1,unknown&gt;0,prevValue&lt;=0,net&lt;=0),"""",(POWER(net/prevValue,1/gap)-1)*1"&amp;"00)),""""))"),"")</f>
        <v/>
      </c>
      <c r="E43" s="95" t="str">
        <f t="shared" si="0"/>
        <v/>
      </c>
    </row>
    <row r="44" spans="1:5" x14ac:dyDescent="0.25">
      <c r="A44" s="92">
        <v>46065</v>
      </c>
      <c r="B44" s="93" t="str">
        <f>IF(Diario!B48="","",Diario!B48)</f>
        <v/>
      </c>
      <c r="C44" s="93">
        <f>SUMIFS(Movimientos!$B$6:$B$505,Movimientos!$D$6:$D$505,A44,Movimientos!$E$6:$E$505,TRUE)</f>
        <v>0</v>
      </c>
      <c r="D44" s="94" t="str">
        <f ca="1">IFERROR(__xludf.DUMMYFUNCTION("IF(OR(B44="""",A44&gt;TODAY(),E44=""Histórico mensual"",E44=""Base diaria""),"""",IFERROR(LET(prevDate,MAX(FILTER($A$2:A43,$B$2:B43&lt;&gt;"""",$A$2:A43&lt;A44)),prevValue,XLOOKUP(prevDate,$A$2:A43,$B$2:B43),gap,A44-prevDate,unknown,COUNTIFS(Movimientos!$D$6:$D$505,"&amp;"""&gt;""&amp;prevDate,Movimientos!$D$6:$D$505,""&lt;=""&amp;A44,Movimientos!$E$6:$E$505,FALSE,Movimientos!$C$6:$C$505,""&lt;&gt;Fecha inferida*""),flow,SUMIFS(Movimientos!$B$6:$B$505,Movimientos!$D$6:$D$505,""&gt;""&amp;prevDate,Movimientos!$D$6:$D$505,""&lt;=""&amp;A44,Movimientos!$E$6:$"&amp;"E$505,TRUE)+SUMIFS(Movimientos!$B$6:$B$505,Movimientos!$D$6:$D$505,""&gt;""&amp;prevDate,Movimientos!$D$6:$D$505,""&lt;=""&amp;A44,Movimientos!$C$6:$C$505,""Fecha inferida*""),net,B44-flow,IF(OR(gap&lt;1,unknown&gt;0,prevValue&lt;=0,net&lt;=0),"""",(POWER(net/prevValue,1/gap)-1)*1"&amp;"00)),""""))"),"")</f>
        <v/>
      </c>
      <c r="E44" s="95" t="str">
        <f t="shared" si="0"/>
        <v/>
      </c>
    </row>
    <row r="45" spans="1:5" x14ac:dyDescent="0.25">
      <c r="A45" s="92">
        <v>46066</v>
      </c>
      <c r="B45" s="93" t="str">
        <f>IF(Diario!B49="","",Diario!B49)</f>
        <v/>
      </c>
      <c r="C45" s="93">
        <f>SUMIFS(Movimientos!$B$6:$B$505,Movimientos!$D$6:$D$505,A45,Movimientos!$E$6:$E$505,TRUE)</f>
        <v>0</v>
      </c>
      <c r="D45" s="94" t="str">
        <f ca="1">IFERROR(__xludf.DUMMYFUNCTION("IF(OR(B45="""",A45&gt;TODAY(),E45=""Histórico mensual"",E45=""Base diaria""),"""",IFERROR(LET(prevDate,MAX(FILTER($A$2:A44,$B$2:B44&lt;&gt;"""",$A$2:A44&lt;A45)),prevValue,XLOOKUP(prevDate,$A$2:A44,$B$2:B44),gap,A45-prevDate,unknown,COUNTIFS(Movimientos!$D$6:$D$505,"&amp;"""&gt;""&amp;prevDate,Movimientos!$D$6:$D$505,""&lt;=""&amp;A45,Movimientos!$E$6:$E$505,FALSE,Movimientos!$C$6:$C$505,""&lt;&gt;Fecha inferida*""),flow,SUMIFS(Movimientos!$B$6:$B$505,Movimientos!$D$6:$D$505,""&gt;""&amp;prevDate,Movimientos!$D$6:$D$505,""&lt;=""&amp;A45,Movimientos!$E$6:$"&amp;"E$505,TRUE)+SUMIFS(Movimientos!$B$6:$B$505,Movimientos!$D$6:$D$505,""&gt;""&amp;prevDate,Movimientos!$D$6:$D$505,""&lt;=""&amp;A45,Movimientos!$C$6:$C$505,""Fecha inferida*""),net,B45-flow,IF(OR(gap&lt;1,unknown&gt;0,prevValue&lt;=0,net&lt;=0),"""",(POWER(net/prevValue,1/gap)-1)*1"&amp;"00)),""""))"),"")</f>
        <v/>
      </c>
      <c r="E45" s="95" t="str">
        <f t="shared" si="0"/>
        <v/>
      </c>
    </row>
    <row r="46" spans="1:5" x14ac:dyDescent="0.25">
      <c r="A46" s="92">
        <v>46067</v>
      </c>
      <c r="B46" s="93" t="str">
        <f>IF(Diario!B50="","",Diario!B50)</f>
        <v/>
      </c>
      <c r="C46" s="93">
        <f>SUMIFS(Movimientos!$B$6:$B$505,Movimientos!$D$6:$D$505,A46,Movimientos!$E$6:$E$505,TRUE)</f>
        <v>0</v>
      </c>
      <c r="D46" s="94" t="str">
        <f ca="1">IFERROR(__xludf.DUMMYFUNCTION("IF(OR(B46="""",A46&gt;TODAY(),E46=""Histórico mensual"",E46=""Base diaria""),"""",IFERROR(LET(prevDate,MAX(FILTER($A$2:A45,$B$2:B45&lt;&gt;"""",$A$2:A45&lt;A46)),prevValue,XLOOKUP(prevDate,$A$2:A45,$B$2:B45),gap,A46-prevDate,unknown,COUNTIFS(Movimientos!$D$6:$D$505,"&amp;"""&gt;""&amp;prevDate,Movimientos!$D$6:$D$505,""&lt;=""&amp;A46,Movimientos!$E$6:$E$505,FALSE,Movimientos!$C$6:$C$505,""&lt;&gt;Fecha inferida*""),flow,SUMIFS(Movimientos!$B$6:$B$505,Movimientos!$D$6:$D$505,""&gt;""&amp;prevDate,Movimientos!$D$6:$D$505,""&lt;=""&amp;A46,Movimientos!$E$6:$"&amp;"E$505,TRUE)+SUMIFS(Movimientos!$B$6:$B$505,Movimientos!$D$6:$D$505,""&gt;""&amp;prevDate,Movimientos!$D$6:$D$505,""&lt;=""&amp;A46,Movimientos!$C$6:$C$505,""Fecha inferida*""),net,B46-flow,IF(OR(gap&lt;1,unknown&gt;0,prevValue&lt;=0,net&lt;=0),"""",(POWER(net/prevValue,1/gap)-1)*1"&amp;"00)),""""))"),"")</f>
        <v/>
      </c>
      <c r="E46" s="95" t="str">
        <f t="shared" si="0"/>
        <v/>
      </c>
    </row>
    <row r="47" spans="1:5" x14ac:dyDescent="0.25">
      <c r="A47" s="92">
        <v>46068</v>
      </c>
      <c r="B47" s="93" t="str">
        <f>IF(Diario!B51="","",Diario!B51)</f>
        <v/>
      </c>
      <c r="C47" s="93">
        <f>SUMIFS(Movimientos!$B$6:$B$505,Movimientos!$D$6:$D$505,A47,Movimientos!$E$6:$E$505,TRUE)</f>
        <v>0</v>
      </c>
      <c r="D47" s="94" t="str">
        <f ca="1">IFERROR(__xludf.DUMMYFUNCTION("IF(OR(B47="""",A47&gt;TODAY(),E47=""Histórico mensual"",E47=""Base diaria""),"""",IFERROR(LET(prevDate,MAX(FILTER($A$2:A46,$B$2:B46&lt;&gt;"""",$A$2:A46&lt;A47)),prevValue,XLOOKUP(prevDate,$A$2:A46,$B$2:B46),gap,A47-prevDate,unknown,COUNTIFS(Movimientos!$D$6:$D$505,"&amp;"""&gt;""&amp;prevDate,Movimientos!$D$6:$D$505,""&lt;=""&amp;A47,Movimientos!$E$6:$E$505,FALSE,Movimientos!$C$6:$C$505,""&lt;&gt;Fecha inferida*""),flow,SUMIFS(Movimientos!$B$6:$B$505,Movimientos!$D$6:$D$505,""&gt;""&amp;prevDate,Movimientos!$D$6:$D$505,""&lt;=""&amp;A47,Movimientos!$E$6:$"&amp;"E$505,TRUE)+SUMIFS(Movimientos!$B$6:$B$505,Movimientos!$D$6:$D$505,""&gt;""&amp;prevDate,Movimientos!$D$6:$D$505,""&lt;=""&amp;A47,Movimientos!$C$6:$C$505,""Fecha inferida*""),net,B47-flow,IF(OR(gap&lt;1,unknown&gt;0,prevValue&lt;=0,net&lt;=0),"""",(POWER(net/prevValue,1/gap)-1)*1"&amp;"00)),""""))"),"")</f>
        <v/>
      </c>
      <c r="E47" s="95" t="str">
        <f t="shared" si="0"/>
        <v/>
      </c>
    </row>
    <row r="48" spans="1:5" x14ac:dyDescent="0.25">
      <c r="A48" s="92">
        <v>46069</v>
      </c>
      <c r="B48" s="93" t="str">
        <f>IF(Diario!B52="","",Diario!B52)</f>
        <v/>
      </c>
      <c r="C48" s="93">
        <f>SUMIFS(Movimientos!$B$6:$B$505,Movimientos!$D$6:$D$505,A48,Movimientos!$E$6:$E$505,TRUE)</f>
        <v>0</v>
      </c>
      <c r="D48" s="94" t="str">
        <f ca="1">IFERROR(__xludf.DUMMYFUNCTION("IF(OR(B48="""",A48&gt;TODAY(),E48=""Histórico mensual"",E48=""Base diaria""),"""",IFERROR(LET(prevDate,MAX(FILTER($A$2:A47,$B$2:B47&lt;&gt;"""",$A$2:A47&lt;A48)),prevValue,XLOOKUP(prevDate,$A$2:A47,$B$2:B47),gap,A48-prevDate,unknown,COUNTIFS(Movimientos!$D$6:$D$505,"&amp;"""&gt;""&amp;prevDate,Movimientos!$D$6:$D$505,""&lt;=""&amp;A48,Movimientos!$E$6:$E$505,FALSE,Movimientos!$C$6:$C$505,""&lt;&gt;Fecha inferida*""),flow,SUMIFS(Movimientos!$B$6:$B$505,Movimientos!$D$6:$D$505,""&gt;""&amp;prevDate,Movimientos!$D$6:$D$505,""&lt;=""&amp;A48,Movimientos!$E$6:$"&amp;"E$505,TRUE)+SUMIFS(Movimientos!$B$6:$B$505,Movimientos!$D$6:$D$505,""&gt;""&amp;prevDate,Movimientos!$D$6:$D$505,""&lt;=""&amp;A48,Movimientos!$C$6:$C$505,""Fecha inferida*""),net,B48-flow,IF(OR(gap&lt;1,unknown&gt;0,prevValue&lt;=0,net&lt;=0),"""",(POWER(net/prevValue,1/gap)-1)*1"&amp;"00)),""""))"),"")</f>
        <v/>
      </c>
      <c r="E48" s="95" t="str">
        <f t="shared" si="0"/>
        <v/>
      </c>
    </row>
    <row r="49" spans="1:5" x14ac:dyDescent="0.25">
      <c r="A49" s="92">
        <v>46070</v>
      </c>
      <c r="B49" s="93" t="str">
        <f>IF(Diario!B53="","",Diario!B53)</f>
        <v/>
      </c>
      <c r="C49" s="93">
        <f>SUMIFS(Movimientos!$B$6:$B$505,Movimientos!$D$6:$D$505,A49,Movimientos!$E$6:$E$505,TRUE)</f>
        <v>0</v>
      </c>
      <c r="D49" s="94" t="str">
        <f ca="1">IFERROR(__xludf.DUMMYFUNCTION("IF(OR(B49="""",A49&gt;TODAY(),E49=""Histórico mensual"",E49=""Base diaria""),"""",IFERROR(LET(prevDate,MAX(FILTER($A$2:A48,$B$2:B48&lt;&gt;"""",$A$2:A48&lt;A49)),prevValue,XLOOKUP(prevDate,$A$2:A48,$B$2:B48),gap,A49-prevDate,unknown,COUNTIFS(Movimientos!$D$6:$D$505,"&amp;"""&gt;""&amp;prevDate,Movimientos!$D$6:$D$505,""&lt;=""&amp;A49,Movimientos!$E$6:$E$505,FALSE,Movimientos!$C$6:$C$505,""&lt;&gt;Fecha inferida*""),flow,SUMIFS(Movimientos!$B$6:$B$505,Movimientos!$D$6:$D$505,""&gt;""&amp;prevDate,Movimientos!$D$6:$D$505,""&lt;=""&amp;A49,Movimientos!$E$6:$"&amp;"E$505,TRUE)+SUMIFS(Movimientos!$B$6:$B$505,Movimientos!$D$6:$D$505,""&gt;""&amp;prevDate,Movimientos!$D$6:$D$505,""&lt;=""&amp;A49,Movimientos!$C$6:$C$505,""Fecha inferida*""),net,B49-flow,IF(OR(gap&lt;1,unknown&gt;0,prevValue&lt;=0,net&lt;=0),"""",(POWER(net/prevValue,1/gap)-1)*1"&amp;"00)),""""))"),"")</f>
        <v/>
      </c>
      <c r="E49" s="95" t="str">
        <f t="shared" si="0"/>
        <v/>
      </c>
    </row>
    <row r="50" spans="1:5" x14ac:dyDescent="0.25">
      <c r="A50" s="92">
        <v>46071</v>
      </c>
      <c r="B50" s="93" t="str">
        <f>IF(Diario!B54="","",Diario!B54)</f>
        <v/>
      </c>
      <c r="C50" s="93">
        <f>SUMIFS(Movimientos!$B$6:$B$505,Movimientos!$D$6:$D$505,A50,Movimientos!$E$6:$E$505,TRUE)</f>
        <v>0</v>
      </c>
      <c r="D50" s="94" t="str">
        <f ca="1">IFERROR(__xludf.DUMMYFUNCTION("IF(OR(B50="""",A50&gt;TODAY(),E50=""Histórico mensual"",E50=""Base diaria""),"""",IFERROR(LET(prevDate,MAX(FILTER($A$2:A49,$B$2:B49&lt;&gt;"""",$A$2:A49&lt;A50)),prevValue,XLOOKUP(prevDate,$A$2:A49,$B$2:B49),gap,A50-prevDate,unknown,COUNTIFS(Movimientos!$D$6:$D$505,"&amp;"""&gt;""&amp;prevDate,Movimientos!$D$6:$D$505,""&lt;=""&amp;A50,Movimientos!$E$6:$E$505,FALSE,Movimientos!$C$6:$C$505,""&lt;&gt;Fecha inferida*""),flow,SUMIFS(Movimientos!$B$6:$B$505,Movimientos!$D$6:$D$505,""&gt;""&amp;prevDate,Movimientos!$D$6:$D$505,""&lt;=""&amp;A50,Movimientos!$E$6:$"&amp;"E$505,TRUE)+SUMIFS(Movimientos!$B$6:$B$505,Movimientos!$D$6:$D$505,""&gt;""&amp;prevDate,Movimientos!$D$6:$D$505,""&lt;=""&amp;A50,Movimientos!$C$6:$C$505,""Fecha inferida*""),net,B50-flow,IF(OR(gap&lt;1,unknown&gt;0,prevValue&lt;=0,net&lt;=0),"""",(POWER(net/prevValue,1/gap)-1)*1"&amp;"00)),""""))"),"")</f>
        <v/>
      </c>
      <c r="E50" s="95" t="str">
        <f t="shared" si="0"/>
        <v/>
      </c>
    </row>
    <row r="51" spans="1:5" x14ac:dyDescent="0.25">
      <c r="A51" s="92">
        <v>46072</v>
      </c>
      <c r="B51" s="93" t="str">
        <f>IF(Diario!B55="","",Diario!B55)</f>
        <v/>
      </c>
      <c r="C51" s="93">
        <f>SUMIFS(Movimientos!$B$6:$B$505,Movimientos!$D$6:$D$505,A51,Movimientos!$E$6:$E$505,TRUE)</f>
        <v>0</v>
      </c>
      <c r="D51" s="94" t="str">
        <f ca="1">IFERROR(__xludf.DUMMYFUNCTION("IF(OR(B51="""",A51&gt;TODAY(),E51=""Histórico mensual"",E51=""Base diaria""),"""",IFERROR(LET(prevDate,MAX(FILTER($A$2:A50,$B$2:B50&lt;&gt;"""",$A$2:A50&lt;A51)),prevValue,XLOOKUP(prevDate,$A$2:A50,$B$2:B50),gap,A51-prevDate,unknown,COUNTIFS(Movimientos!$D$6:$D$505,"&amp;"""&gt;""&amp;prevDate,Movimientos!$D$6:$D$505,""&lt;=""&amp;A51,Movimientos!$E$6:$E$505,FALSE,Movimientos!$C$6:$C$505,""&lt;&gt;Fecha inferida*""),flow,SUMIFS(Movimientos!$B$6:$B$505,Movimientos!$D$6:$D$505,""&gt;""&amp;prevDate,Movimientos!$D$6:$D$505,""&lt;=""&amp;A51,Movimientos!$E$6:$"&amp;"E$505,TRUE)+SUMIFS(Movimientos!$B$6:$B$505,Movimientos!$D$6:$D$505,""&gt;""&amp;prevDate,Movimientos!$D$6:$D$505,""&lt;=""&amp;A51,Movimientos!$C$6:$C$505,""Fecha inferida*""),net,B51-flow,IF(OR(gap&lt;1,unknown&gt;0,prevValue&lt;=0,net&lt;=0),"""",(POWER(net/prevValue,1/gap)-1)*1"&amp;"00)),""""))"),"")</f>
        <v/>
      </c>
      <c r="E51" s="95" t="str">
        <f t="shared" si="0"/>
        <v/>
      </c>
    </row>
    <row r="52" spans="1:5" x14ac:dyDescent="0.25">
      <c r="A52" s="92">
        <v>46073</v>
      </c>
      <c r="B52" s="93" t="str">
        <f>IF(Diario!B56="","",Diario!B56)</f>
        <v/>
      </c>
      <c r="C52" s="93">
        <f>SUMIFS(Movimientos!$B$6:$B$505,Movimientos!$D$6:$D$505,A52,Movimientos!$E$6:$E$505,TRUE)</f>
        <v>0</v>
      </c>
      <c r="D52" s="94" t="str">
        <f ca="1">IFERROR(__xludf.DUMMYFUNCTION("IF(OR(B52="""",A52&gt;TODAY(),E52=""Histórico mensual"",E52=""Base diaria""),"""",IFERROR(LET(prevDate,MAX(FILTER($A$2:A51,$B$2:B51&lt;&gt;"""",$A$2:A51&lt;A52)),prevValue,XLOOKUP(prevDate,$A$2:A51,$B$2:B51),gap,A52-prevDate,unknown,COUNTIFS(Movimientos!$D$6:$D$505,"&amp;"""&gt;""&amp;prevDate,Movimientos!$D$6:$D$505,""&lt;=""&amp;A52,Movimientos!$E$6:$E$505,FALSE,Movimientos!$C$6:$C$505,""&lt;&gt;Fecha inferida*""),flow,SUMIFS(Movimientos!$B$6:$B$505,Movimientos!$D$6:$D$505,""&gt;""&amp;prevDate,Movimientos!$D$6:$D$505,""&lt;=""&amp;A52,Movimientos!$E$6:$"&amp;"E$505,TRUE)+SUMIFS(Movimientos!$B$6:$B$505,Movimientos!$D$6:$D$505,""&gt;""&amp;prevDate,Movimientos!$D$6:$D$505,""&lt;=""&amp;A52,Movimientos!$C$6:$C$505,""Fecha inferida*""),net,B52-flow,IF(OR(gap&lt;1,unknown&gt;0,prevValue&lt;=0,net&lt;=0),"""",(POWER(net/prevValue,1/gap)-1)*1"&amp;"00)),""""))"),"")</f>
        <v/>
      </c>
      <c r="E52" s="95" t="str">
        <f t="shared" si="0"/>
        <v/>
      </c>
    </row>
    <row r="53" spans="1:5" x14ac:dyDescent="0.25">
      <c r="A53" s="92">
        <v>46074</v>
      </c>
      <c r="B53" s="93" t="str">
        <f>IF(Diario!B57="","",Diario!B57)</f>
        <v/>
      </c>
      <c r="C53" s="93">
        <f>SUMIFS(Movimientos!$B$6:$B$505,Movimientos!$D$6:$D$505,A53,Movimientos!$E$6:$E$505,TRUE)</f>
        <v>0</v>
      </c>
      <c r="D53" s="94" t="str">
        <f ca="1">IFERROR(__xludf.DUMMYFUNCTION("IF(OR(B53="""",A53&gt;TODAY(),E53=""Histórico mensual"",E53=""Base diaria""),"""",IFERROR(LET(prevDate,MAX(FILTER($A$2:A52,$B$2:B52&lt;&gt;"""",$A$2:A52&lt;A53)),prevValue,XLOOKUP(prevDate,$A$2:A52,$B$2:B52),gap,A53-prevDate,unknown,COUNTIFS(Movimientos!$D$6:$D$505,"&amp;"""&gt;""&amp;prevDate,Movimientos!$D$6:$D$505,""&lt;=""&amp;A53,Movimientos!$E$6:$E$505,FALSE,Movimientos!$C$6:$C$505,""&lt;&gt;Fecha inferida*""),flow,SUMIFS(Movimientos!$B$6:$B$505,Movimientos!$D$6:$D$505,""&gt;""&amp;prevDate,Movimientos!$D$6:$D$505,""&lt;=""&amp;A53,Movimientos!$E$6:$"&amp;"E$505,TRUE)+SUMIFS(Movimientos!$B$6:$B$505,Movimientos!$D$6:$D$505,""&gt;""&amp;prevDate,Movimientos!$D$6:$D$505,""&lt;=""&amp;A53,Movimientos!$C$6:$C$505,""Fecha inferida*""),net,B53-flow,IF(OR(gap&lt;1,unknown&gt;0,prevValue&lt;=0,net&lt;=0),"""",(POWER(net/prevValue,1/gap)-1)*1"&amp;"00)),""""))"),"")</f>
        <v/>
      </c>
      <c r="E53" s="95" t="str">
        <f t="shared" si="0"/>
        <v/>
      </c>
    </row>
    <row r="54" spans="1:5" x14ac:dyDescent="0.25">
      <c r="A54" s="92">
        <v>46075</v>
      </c>
      <c r="B54" s="93" t="str">
        <f>IF(Diario!B58="","",Diario!B58)</f>
        <v/>
      </c>
      <c r="C54" s="93">
        <f>SUMIFS(Movimientos!$B$6:$B$505,Movimientos!$D$6:$D$505,A54,Movimientos!$E$6:$E$505,TRUE)</f>
        <v>0</v>
      </c>
      <c r="D54" s="94" t="str">
        <f ca="1">IFERROR(__xludf.DUMMYFUNCTION("IF(OR(B54="""",A54&gt;TODAY(),E54=""Histórico mensual"",E54=""Base diaria""),"""",IFERROR(LET(prevDate,MAX(FILTER($A$2:A53,$B$2:B53&lt;&gt;"""",$A$2:A53&lt;A54)),prevValue,XLOOKUP(prevDate,$A$2:A53,$B$2:B53),gap,A54-prevDate,unknown,COUNTIFS(Movimientos!$D$6:$D$505,"&amp;"""&gt;""&amp;prevDate,Movimientos!$D$6:$D$505,""&lt;=""&amp;A54,Movimientos!$E$6:$E$505,FALSE,Movimientos!$C$6:$C$505,""&lt;&gt;Fecha inferida*""),flow,SUMIFS(Movimientos!$B$6:$B$505,Movimientos!$D$6:$D$505,""&gt;""&amp;prevDate,Movimientos!$D$6:$D$505,""&lt;=""&amp;A54,Movimientos!$E$6:$"&amp;"E$505,TRUE)+SUMIFS(Movimientos!$B$6:$B$505,Movimientos!$D$6:$D$505,""&gt;""&amp;prevDate,Movimientos!$D$6:$D$505,""&lt;=""&amp;A54,Movimientos!$C$6:$C$505,""Fecha inferida*""),net,B54-flow,IF(OR(gap&lt;1,unknown&gt;0,prevValue&lt;=0,net&lt;=0),"""",(POWER(net/prevValue,1/gap)-1)*1"&amp;"00)),""""))"),"")</f>
        <v/>
      </c>
      <c r="E54" s="95" t="str">
        <f t="shared" si="0"/>
        <v/>
      </c>
    </row>
    <row r="55" spans="1:5" x14ac:dyDescent="0.25">
      <c r="A55" s="92">
        <v>46076</v>
      </c>
      <c r="B55" s="93" t="str">
        <f>IF(Diario!B59="","",Diario!B59)</f>
        <v/>
      </c>
      <c r="C55" s="93">
        <f>SUMIFS(Movimientos!$B$6:$B$505,Movimientos!$D$6:$D$505,A55,Movimientos!$E$6:$E$505,TRUE)</f>
        <v>0</v>
      </c>
      <c r="D55" s="94" t="str">
        <f ca="1">IFERROR(__xludf.DUMMYFUNCTION("IF(OR(B55="""",A55&gt;TODAY(),E55=""Histórico mensual"",E55=""Base diaria""),"""",IFERROR(LET(prevDate,MAX(FILTER($A$2:A54,$B$2:B54&lt;&gt;"""",$A$2:A54&lt;A55)),prevValue,XLOOKUP(prevDate,$A$2:A54,$B$2:B54),gap,A55-prevDate,unknown,COUNTIFS(Movimientos!$D$6:$D$505,"&amp;"""&gt;""&amp;prevDate,Movimientos!$D$6:$D$505,""&lt;=""&amp;A55,Movimientos!$E$6:$E$505,FALSE,Movimientos!$C$6:$C$505,""&lt;&gt;Fecha inferida*""),flow,SUMIFS(Movimientos!$B$6:$B$505,Movimientos!$D$6:$D$505,""&gt;""&amp;prevDate,Movimientos!$D$6:$D$505,""&lt;=""&amp;A55,Movimientos!$E$6:$"&amp;"E$505,TRUE)+SUMIFS(Movimientos!$B$6:$B$505,Movimientos!$D$6:$D$505,""&gt;""&amp;prevDate,Movimientos!$D$6:$D$505,""&lt;=""&amp;A55,Movimientos!$C$6:$C$505,""Fecha inferida*""),net,B55-flow,IF(OR(gap&lt;1,unknown&gt;0,prevValue&lt;=0,net&lt;=0),"""",(POWER(net/prevValue,1/gap)-1)*1"&amp;"00)),""""))"),"")</f>
        <v/>
      </c>
      <c r="E55" s="95" t="str">
        <f t="shared" si="0"/>
        <v/>
      </c>
    </row>
    <row r="56" spans="1:5" x14ac:dyDescent="0.25">
      <c r="A56" s="92">
        <v>46077</v>
      </c>
      <c r="B56" s="93" t="str">
        <f>IF(Diario!B60="","",Diario!B60)</f>
        <v/>
      </c>
      <c r="C56" s="93">
        <f>SUMIFS(Movimientos!$B$6:$B$505,Movimientos!$D$6:$D$505,A56,Movimientos!$E$6:$E$505,TRUE)</f>
        <v>0</v>
      </c>
      <c r="D56" s="94" t="str">
        <f ca="1">IFERROR(__xludf.DUMMYFUNCTION("IF(OR(B56="""",A56&gt;TODAY(),E56=""Histórico mensual"",E56=""Base diaria""),"""",IFERROR(LET(prevDate,MAX(FILTER($A$2:A55,$B$2:B55&lt;&gt;"""",$A$2:A55&lt;A56)),prevValue,XLOOKUP(prevDate,$A$2:A55,$B$2:B55),gap,A56-prevDate,unknown,COUNTIFS(Movimientos!$D$6:$D$505,"&amp;"""&gt;""&amp;prevDate,Movimientos!$D$6:$D$505,""&lt;=""&amp;A56,Movimientos!$E$6:$E$505,FALSE,Movimientos!$C$6:$C$505,""&lt;&gt;Fecha inferida*""),flow,SUMIFS(Movimientos!$B$6:$B$505,Movimientos!$D$6:$D$505,""&gt;""&amp;prevDate,Movimientos!$D$6:$D$505,""&lt;=""&amp;A56,Movimientos!$E$6:$"&amp;"E$505,TRUE)+SUMIFS(Movimientos!$B$6:$B$505,Movimientos!$D$6:$D$505,""&gt;""&amp;prevDate,Movimientos!$D$6:$D$505,""&lt;=""&amp;A56,Movimientos!$C$6:$C$505,""Fecha inferida*""),net,B56-flow,IF(OR(gap&lt;1,unknown&gt;0,prevValue&lt;=0,net&lt;=0),"""",(POWER(net/prevValue,1/gap)-1)*1"&amp;"00)),""""))"),"")</f>
        <v/>
      </c>
      <c r="E56" s="95" t="str">
        <f t="shared" si="0"/>
        <v/>
      </c>
    </row>
    <row r="57" spans="1:5" x14ac:dyDescent="0.25">
      <c r="A57" s="92">
        <v>46078</v>
      </c>
      <c r="B57" s="93" t="str">
        <f>IF(Diario!B61="","",Diario!B61)</f>
        <v/>
      </c>
      <c r="C57" s="93">
        <f>SUMIFS(Movimientos!$B$6:$B$505,Movimientos!$D$6:$D$505,A57,Movimientos!$E$6:$E$505,TRUE)</f>
        <v>0</v>
      </c>
      <c r="D57" s="94" t="str">
        <f ca="1">IFERROR(__xludf.DUMMYFUNCTION("IF(OR(B57="""",A57&gt;TODAY(),E57=""Histórico mensual"",E57=""Base diaria""),"""",IFERROR(LET(prevDate,MAX(FILTER($A$2:A56,$B$2:B56&lt;&gt;"""",$A$2:A56&lt;A57)),prevValue,XLOOKUP(prevDate,$A$2:A56,$B$2:B56),gap,A57-prevDate,unknown,COUNTIFS(Movimientos!$D$6:$D$505,"&amp;"""&gt;""&amp;prevDate,Movimientos!$D$6:$D$505,""&lt;=""&amp;A57,Movimientos!$E$6:$E$505,FALSE,Movimientos!$C$6:$C$505,""&lt;&gt;Fecha inferida*""),flow,SUMIFS(Movimientos!$B$6:$B$505,Movimientos!$D$6:$D$505,""&gt;""&amp;prevDate,Movimientos!$D$6:$D$505,""&lt;=""&amp;A57,Movimientos!$E$6:$"&amp;"E$505,TRUE)+SUMIFS(Movimientos!$B$6:$B$505,Movimientos!$D$6:$D$505,""&gt;""&amp;prevDate,Movimientos!$D$6:$D$505,""&lt;=""&amp;A57,Movimientos!$C$6:$C$505,""Fecha inferida*""),net,B57-flow,IF(OR(gap&lt;1,unknown&gt;0,prevValue&lt;=0,net&lt;=0),"""",(POWER(net/prevValue,1/gap)-1)*1"&amp;"00)),""""))"),"")</f>
        <v/>
      </c>
      <c r="E57" s="95" t="str">
        <f t="shared" si="0"/>
        <v/>
      </c>
    </row>
    <row r="58" spans="1:5" x14ac:dyDescent="0.25">
      <c r="A58" s="92">
        <v>46079</v>
      </c>
      <c r="B58" s="93" t="str">
        <f>IF(Diario!B62="","",Diario!B62)</f>
        <v/>
      </c>
      <c r="C58" s="93">
        <f>SUMIFS(Movimientos!$B$6:$B$505,Movimientos!$D$6:$D$505,A58,Movimientos!$E$6:$E$505,TRUE)</f>
        <v>0</v>
      </c>
      <c r="D58" s="94" t="str">
        <f ca="1">IFERROR(__xludf.DUMMYFUNCTION("IF(OR(B58="""",A58&gt;TODAY(),E58=""Histórico mensual"",E58=""Base diaria""),"""",IFERROR(LET(prevDate,MAX(FILTER($A$2:A57,$B$2:B57&lt;&gt;"""",$A$2:A57&lt;A58)),prevValue,XLOOKUP(prevDate,$A$2:A57,$B$2:B57),gap,A58-prevDate,unknown,COUNTIFS(Movimientos!$D$6:$D$505,"&amp;"""&gt;""&amp;prevDate,Movimientos!$D$6:$D$505,""&lt;=""&amp;A58,Movimientos!$E$6:$E$505,FALSE,Movimientos!$C$6:$C$505,""&lt;&gt;Fecha inferida*""),flow,SUMIFS(Movimientos!$B$6:$B$505,Movimientos!$D$6:$D$505,""&gt;""&amp;prevDate,Movimientos!$D$6:$D$505,""&lt;=""&amp;A58,Movimientos!$E$6:$"&amp;"E$505,TRUE)+SUMIFS(Movimientos!$B$6:$B$505,Movimientos!$D$6:$D$505,""&gt;""&amp;prevDate,Movimientos!$D$6:$D$505,""&lt;=""&amp;A58,Movimientos!$C$6:$C$505,""Fecha inferida*""),net,B58-flow,IF(OR(gap&lt;1,unknown&gt;0,prevValue&lt;=0,net&lt;=0),"""",(POWER(net/prevValue,1/gap)-1)*1"&amp;"00)),""""))"),"")</f>
        <v/>
      </c>
      <c r="E58" s="95" t="str">
        <f t="shared" si="0"/>
        <v/>
      </c>
    </row>
    <row r="59" spans="1:5" x14ac:dyDescent="0.25">
      <c r="A59" s="92">
        <v>46080</v>
      </c>
      <c r="B59" s="93">
        <f>IF(Diario!B63="","",Diario!B63)</f>
        <v>76422</v>
      </c>
      <c r="C59" s="93">
        <f>SUMIFS(Movimientos!$B$6:$B$505,Movimientos!$D$6:$D$505,A59,Movimientos!$E$6:$E$505,TRUE)</f>
        <v>700</v>
      </c>
      <c r="D59" s="94" t="str">
        <f ca="1">IFERROR(__xludf.DUMMYFUNCTION("IF(OR(B59="""",A59&gt;TODAY(),E59=""Histórico mensual"",E59=""Base diaria""),"""",IFERROR(LET(prevDate,MAX(FILTER($A$2:A58,$B$2:B58&lt;&gt;"""",$A$2:A58&lt;A59)),prevValue,XLOOKUP(prevDate,$A$2:A58,$B$2:B58),gap,A59-prevDate,unknown,COUNTIFS(Movimientos!$D$6:$D$505,"&amp;"""&gt;""&amp;prevDate,Movimientos!$D$6:$D$505,""&lt;=""&amp;A59,Movimientos!$E$6:$E$505,FALSE,Movimientos!$C$6:$C$505,""&lt;&gt;Fecha inferida*""),flow,SUMIFS(Movimientos!$B$6:$B$505,Movimientos!$D$6:$D$505,""&gt;""&amp;prevDate,Movimientos!$D$6:$D$505,""&lt;=""&amp;A59,Movimientos!$E$6:$"&amp;"E$505,TRUE)+SUMIFS(Movimientos!$B$6:$B$505,Movimientos!$D$6:$D$505,""&gt;""&amp;prevDate,Movimientos!$D$6:$D$505,""&lt;=""&amp;A59,Movimientos!$C$6:$C$505,""Fecha inferida*""),net,B59-flow,IF(OR(gap&lt;1,unknown&gt;0,prevValue&lt;=0,net&lt;=0),"""",(POWER(net/prevValue,1/gap)-1)*1"&amp;"00)),""""))"),"")</f>
        <v/>
      </c>
      <c r="E59" s="95" t="str">
        <f t="shared" si="0"/>
        <v>Histórico mensual</v>
      </c>
    </row>
    <row r="60" spans="1:5" x14ac:dyDescent="0.25">
      <c r="A60" s="92">
        <v>46081</v>
      </c>
      <c r="B60" s="93" t="str">
        <f>IF(Diario!B64="","",Diario!B64)</f>
        <v/>
      </c>
      <c r="C60" s="93">
        <f>SUMIFS(Movimientos!$B$6:$B$505,Movimientos!$D$6:$D$505,A60,Movimientos!$E$6:$E$505,TRUE)</f>
        <v>0</v>
      </c>
      <c r="D60" s="94" t="str">
        <f ca="1">IFERROR(__xludf.DUMMYFUNCTION("IF(OR(B60="""",A60&gt;TODAY(),E60=""Histórico mensual"",E60=""Base diaria""),"""",IFERROR(LET(prevDate,MAX(FILTER($A$2:A59,$B$2:B59&lt;&gt;"""",$A$2:A59&lt;A60)),prevValue,XLOOKUP(prevDate,$A$2:A59,$B$2:B59),gap,A60-prevDate,unknown,COUNTIFS(Movimientos!$D$6:$D$505,"&amp;"""&gt;""&amp;prevDate,Movimientos!$D$6:$D$505,""&lt;=""&amp;A60,Movimientos!$E$6:$E$505,FALSE,Movimientos!$C$6:$C$505,""&lt;&gt;Fecha inferida*""),flow,SUMIFS(Movimientos!$B$6:$B$505,Movimientos!$D$6:$D$505,""&gt;""&amp;prevDate,Movimientos!$D$6:$D$505,""&lt;=""&amp;A60,Movimientos!$E$6:$"&amp;"E$505,TRUE)+SUMIFS(Movimientos!$B$6:$B$505,Movimientos!$D$6:$D$505,""&gt;""&amp;prevDate,Movimientos!$D$6:$D$505,""&lt;=""&amp;A60,Movimientos!$C$6:$C$505,""Fecha inferida*""),net,B60-flow,IF(OR(gap&lt;1,unknown&gt;0,prevValue&lt;=0,net&lt;=0),"""",(POWER(net/prevValue,1/gap)-1)*1"&amp;"00)),""""))"),"")</f>
        <v/>
      </c>
      <c r="E60" s="95" t="str">
        <f t="shared" si="0"/>
        <v/>
      </c>
    </row>
    <row r="61" spans="1:5" x14ac:dyDescent="0.25">
      <c r="A61" s="92">
        <v>46082</v>
      </c>
      <c r="B61" s="93" t="str">
        <f>IF(Diario!B65="","",Diario!B65)</f>
        <v/>
      </c>
      <c r="C61" s="93">
        <f>SUMIFS(Movimientos!$B$6:$B$505,Movimientos!$D$6:$D$505,A61,Movimientos!$E$6:$E$505,TRUE)</f>
        <v>0</v>
      </c>
      <c r="D61" s="94" t="str">
        <f ca="1">IFERROR(__xludf.DUMMYFUNCTION("IF(OR(B61="""",A61&gt;TODAY(),E61=""Histórico mensual"",E61=""Base diaria""),"""",IFERROR(LET(prevDate,MAX(FILTER($A$2:A60,$B$2:B60&lt;&gt;"""",$A$2:A60&lt;A61)),prevValue,XLOOKUP(prevDate,$A$2:A60,$B$2:B60),gap,A61-prevDate,unknown,COUNTIFS(Movimientos!$D$6:$D$505,"&amp;"""&gt;""&amp;prevDate,Movimientos!$D$6:$D$505,""&lt;=""&amp;A61,Movimientos!$E$6:$E$505,FALSE,Movimientos!$C$6:$C$505,""&lt;&gt;Fecha inferida*""),flow,SUMIFS(Movimientos!$B$6:$B$505,Movimientos!$D$6:$D$505,""&gt;""&amp;prevDate,Movimientos!$D$6:$D$505,""&lt;=""&amp;A61,Movimientos!$E$6:$"&amp;"E$505,TRUE)+SUMIFS(Movimientos!$B$6:$B$505,Movimientos!$D$6:$D$505,""&gt;""&amp;prevDate,Movimientos!$D$6:$D$505,""&lt;=""&amp;A61,Movimientos!$C$6:$C$505,""Fecha inferida*""),net,B61-flow,IF(OR(gap&lt;1,unknown&gt;0,prevValue&lt;=0,net&lt;=0),"""",(POWER(net/prevValue,1/gap)-1)*1"&amp;"00)),""""))"),"")</f>
        <v/>
      </c>
      <c r="E61" s="95" t="str">
        <f t="shared" si="0"/>
        <v/>
      </c>
    </row>
    <row r="62" spans="1:5" x14ac:dyDescent="0.25">
      <c r="A62" s="92">
        <v>46083</v>
      </c>
      <c r="B62" s="93" t="str">
        <f>IF(Diario!B66="","",Diario!B66)</f>
        <v/>
      </c>
      <c r="C62" s="93">
        <f>SUMIFS(Movimientos!$B$6:$B$505,Movimientos!$D$6:$D$505,A62,Movimientos!$E$6:$E$505,TRUE)</f>
        <v>0</v>
      </c>
      <c r="D62" s="94" t="str">
        <f ca="1">IFERROR(__xludf.DUMMYFUNCTION("IF(OR(B62="""",A62&gt;TODAY(),E62=""Histórico mensual"",E62=""Base diaria""),"""",IFERROR(LET(prevDate,MAX(FILTER($A$2:A61,$B$2:B61&lt;&gt;"""",$A$2:A61&lt;A62)),prevValue,XLOOKUP(prevDate,$A$2:A61,$B$2:B61),gap,A62-prevDate,unknown,COUNTIFS(Movimientos!$D$6:$D$505,"&amp;"""&gt;""&amp;prevDate,Movimientos!$D$6:$D$505,""&lt;=""&amp;A62,Movimientos!$E$6:$E$505,FALSE,Movimientos!$C$6:$C$505,""&lt;&gt;Fecha inferida*""),flow,SUMIFS(Movimientos!$B$6:$B$505,Movimientos!$D$6:$D$505,""&gt;""&amp;prevDate,Movimientos!$D$6:$D$505,""&lt;=""&amp;A62,Movimientos!$E$6:$"&amp;"E$505,TRUE)+SUMIFS(Movimientos!$B$6:$B$505,Movimientos!$D$6:$D$505,""&gt;""&amp;prevDate,Movimientos!$D$6:$D$505,""&lt;=""&amp;A62,Movimientos!$C$6:$C$505,""Fecha inferida*""),net,B62-flow,IF(OR(gap&lt;1,unknown&gt;0,prevValue&lt;=0,net&lt;=0),"""",(POWER(net/prevValue,1/gap)-1)*1"&amp;"00)),""""))"),"")</f>
        <v/>
      </c>
      <c r="E62" s="95" t="str">
        <f t="shared" si="0"/>
        <v/>
      </c>
    </row>
    <row r="63" spans="1:5" x14ac:dyDescent="0.25">
      <c r="A63" s="92">
        <v>46084</v>
      </c>
      <c r="B63" s="93" t="str">
        <f>IF(Diario!B67="","",Diario!B67)</f>
        <v/>
      </c>
      <c r="C63" s="93">
        <f>SUMIFS(Movimientos!$B$6:$B$505,Movimientos!$D$6:$D$505,A63,Movimientos!$E$6:$E$505,TRUE)</f>
        <v>0</v>
      </c>
      <c r="D63" s="94" t="str">
        <f ca="1">IFERROR(__xludf.DUMMYFUNCTION("IF(OR(B63="""",A63&gt;TODAY(),E63=""Histórico mensual"",E63=""Base diaria""),"""",IFERROR(LET(prevDate,MAX(FILTER($A$2:A62,$B$2:B62&lt;&gt;"""",$A$2:A62&lt;A63)),prevValue,XLOOKUP(prevDate,$A$2:A62,$B$2:B62),gap,A63-prevDate,unknown,COUNTIFS(Movimientos!$D$6:$D$505,"&amp;"""&gt;""&amp;prevDate,Movimientos!$D$6:$D$505,""&lt;=""&amp;A63,Movimientos!$E$6:$E$505,FALSE,Movimientos!$C$6:$C$505,""&lt;&gt;Fecha inferida*""),flow,SUMIFS(Movimientos!$B$6:$B$505,Movimientos!$D$6:$D$505,""&gt;""&amp;prevDate,Movimientos!$D$6:$D$505,""&lt;=""&amp;A63,Movimientos!$E$6:$"&amp;"E$505,TRUE)+SUMIFS(Movimientos!$B$6:$B$505,Movimientos!$D$6:$D$505,""&gt;""&amp;prevDate,Movimientos!$D$6:$D$505,""&lt;=""&amp;A63,Movimientos!$C$6:$C$505,""Fecha inferida*""),net,B63-flow,IF(OR(gap&lt;1,unknown&gt;0,prevValue&lt;=0,net&lt;=0),"""",(POWER(net/prevValue,1/gap)-1)*1"&amp;"00)),""""))"),"")</f>
        <v/>
      </c>
      <c r="E63" s="95" t="str">
        <f t="shared" si="0"/>
        <v/>
      </c>
    </row>
    <row r="64" spans="1:5" x14ac:dyDescent="0.25">
      <c r="A64" s="92">
        <v>46085</v>
      </c>
      <c r="B64" s="93" t="str">
        <f>IF(Diario!B68="","",Diario!B68)</f>
        <v/>
      </c>
      <c r="C64" s="93">
        <f>SUMIFS(Movimientos!$B$6:$B$505,Movimientos!$D$6:$D$505,A64,Movimientos!$E$6:$E$505,TRUE)</f>
        <v>0</v>
      </c>
      <c r="D64" s="94" t="str">
        <f ca="1">IFERROR(__xludf.DUMMYFUNCTION("IF(OR(B64="""",A64&gt;TODAY(),E64=""Histórico mensual"",E64=""Base diaria""),"""",IFERROR(LET(prevDate,MAX(FILTER($A$2:A63,$B$2:B63&lt;&gt;"""",$A$2:A63&lt;A64)),prevValue,XLOOKUP(prevDate,$A$2:A63,$B$2:B63),gap,A64-prevDate,unknown,COUNTIFS(Movimientos!$D$6:$D$505,"&amp;"""&gt;""&amp;prevDate,Movimientos!$D$6:$D$505,""&lt;=""&amp;A64,Movimientos!$E$6:$E$505,FALSE,Movimientos!$C$6:$C$505,""&lt;&gt;Fecha inferida*""),flow,SUMIFS(Movimientos!$B$6:$B$505,Movimientos!$D$6:$D$505,""&gt;""&amp;prevDate,Movimientos!$D$6:$D$505,""&lt;=""&amp;A64,Movimientos!$E$6:$"&amp;"E$505,TRUE)+SUMIFS(Movimientos!$B$6:$B$505,Movimientos!$D$6:$D$505,""&gt;""&amp;prevDate,Movimientos!$D$6:$D$505,""&lt;=""&amp;A64,Movimientos!$C$6:$C$505,""Fecha inferida*""),net,B64-flow,IF(OR(gap&lt;1,unknown&gt;0,prevValue&lt;=0,net&lt;=0),"""",(POWER(net/prevValue,1/gap)-1)*1"&amp;"00)),""""))"),"")</f>
        <v/>
      </c>
      <c r="E64" s="95" t="str">
        <f t="shared" si="0"/>
        <v/>
      </c>
    </row>
    <row r="65" spans="1:5" x14ac:dyDescent="0.25">
      <c r="A65" s="92">
        <v>46086</v>
      </c>
      <c r="B65" s="93" t="str">
        <f>IF(Diario!B69="","",Diario!B69)</f>
        <v/>
      </c>
      <c r="C65" s="93">
        <f>SUMIFS(Movimientos!$B$6:$B$505,Movimientos!$D$6:$D$505,A65,Movimientos!$E$6:$E$505,TRUE)</f>
        <v>0</v>
      </c>
      <c r="D65" s="94" t="str">
        <f ca="1">IFERROR(__xludf.DUMMYFUNCTION("IF(OR(B65="""",A65&gt;TODAY(),E65=""Histórico mensual"",E65=""Base diaria""),"""",IFERROR(LET(prevDate,MAX(FILTER($A$2:A64,$B$2:B64&lt;&gt;"""",$A$2:A64&lt;A65)),prevValue,XLOOKUP(prevDate,$A$2:A64,$B$2:B64),gap,A65-prevDate,unknown,COUNTIFS(Movimientos!$D$6:$D$505,"&amp;"""&gt;""&amp;prevDate,Movimientos!$D$6:$D$505,""&lt;=""&amp;A65,Movimientos!$E$6:$E$505,FALSE,Movimientos!$C$6:$C$505,""&lt;&gt;Fecha inferida*""),flow,SUMIFS(Movimientos!$B$6:$B$505,Movimientos!$D$6:$D$505,""&gt;""&amp;prevDate,Movimientos!$D$6:$D$505,""&lt;=""&amp;A65,Movimientos!$E$6:$"&amp;"E$505,TRUE)+SUMIFS(Movimientos!$B$6:$B$505,Movimientos!$D$6:$D$505,""&gt;""&amp;prevDate,Movimientos!$D$6:$D$505,""&lt;=""&amp;A65,Movimientos!$C$6:$C$505,""Fecha inferida*""),net,B65-flow,IF(OR(gap&lt;1,unknown&gt;0,prevValue&lt;=0,net&lt;=0),"""",(POWER(net/prevValue,1/gap)-1)*1"&amp;"00)),""""))"),"")</f>
        <v/>
      </c>
      <c r="E65" s="95" t="str">
        <f t="shared" si="0"/>
        <v/>
      </c>
    </row>
    <row r="66" spans="1:5" x14ac:dyDescent="0.25">
      <c r="A66" s="92">
        <v>46087</v>
      </c>
      <c r="B66" s="93" t="str">
        <f>IF(Diario!B70="","",Diario!B70)</f>
        <v/>
      </c>
      <c r="C66" s="93">
        <f>SUMIFS(Movimientos!$B$6:$B$505,Movimientos!$D$6:$D$505,A66,Movimientos!$E$6:$E$505,TRUE)</f>
        <v>0</v>
      </c>
      <c r="D66" s="94" t="str">
        <f ca="1">IFERROR(__xludf.DUMMYFUNCTION("IF(OR(B66="""",A66&gt;TODAY(),E66=""Histórico mensual"",E66=""Base diaria""),"""",IFERROR(LET(prevDate,MAX(FILTER($A$2:A65,$B$2:B65&lt;&gt;"""",$A$2:A65&lt;A66)),prevValue,XLOOKUP(prevDate,$A$2:A65,$B$2:B65),gap,A66-prevDate,unknown,COUNTIFS(Movimientos!$D$6:$D$505,"&amp;"""&gt;""&amp;prevDate,Movimientos!$D$6:$D$505,""&lt;=""&amp;A66,Movimientos!$E$6:$E$505,FALSE,Movimientos!$C$6:$C$505,""&lt;&gt;Fecha inferida*""),flow,SUMIFS(Movimientos!$B$6:$B$505,Movimientos!$D$6:$D$505,""&gt;""&amp;prevDate,Movimientos!$D$6:$D$505,""&lt;=""&amp;A66,Movimientos!$E$6:$"&amp;"E$505,TRUE)+SUMIFS(Movimientos!$B$6:$B$505,Movimientos!$D$6:$D$505,""&gt;""&amp;prevDate,Movimientos!$D$6:$D$505,""&lt;=""&amp;A66,Movimientos!$C$6:$C$505,""Fecha inferida*""),net,B66-flow,IF(OR(gap&lt;1,unknown&gt;0,prevValue&lt;=0,net&lt;=0),"""",(POWER(net/prevValue,1/gap)-1)*1"&amp;"00)),""""))"),"")</f>
        <v/>
      </c>
      <c r="E66" s="95" t="str">
        <f t="shared" si="0"/>
        <v/>
      </c>
    </row>
    <row r="67" spans="1:5" x14ac:dyDescent="0.25">
      <c r="A67" s="92">
        <v>46088</v>
      </c>
      <c r="B67" s="93" t="str">
        <f>IF(Diario!B71="","",Diario!B71)</f>
        <v/>
      </c>
      <c r="C67" s="93">
        <f>SUMIFS(Movimientos!$B$6:$B$505,Movimientos!$D$6:$D$505,A67,Movimientos!$E$6:$E$505,TRUE)</f>
        <v>0</v>
      </c>
      <c r="D67" s="94" t="str">
        <f ca="1">IFERROR(__xludf.DUMMYFUNCTION("IF(OR(B67="""",A67&gt;TODAY(),E67=""Histórico mensual"",E67=""Base diaria""),"""",IFERROR(LET(prevDate,MAX(FILTER($A$2:A66,$B$2:B66&lt;&gt;"""",$A$2:A66&lt;A67)),prevValue,XLOOKUP(prevDate,$A$2:A66,$B$2:B66),gap,A67-prevDate,unknown,COUNTIFS(Movimientos!$D$6:$D$505,"&amp;"""&gt;""&amp;prevDate,Movimientos!$D$6:$D$505,""&lt;=""&amp;A67,Movimientos!$E$6:$E$505,FALSE,Movimientos!$C$6:$C$505,""&lt;&gt;Fecha inferida*""),flow,SUMIFS(Movimientos!$B$6:$B$505,Movimientos!$D$6:$D$505,""&gt;""&amp;prevDate,Movimientos!$D$6:$D$505,""&lt;=""&amp;A67,Movimientos!$E$6:$"&amp;"E$505,TRUE)+SUMIFS(Movimientos!$B$6:$B$505,Movimientos!$D$6:$D$505,""&gt;""&amp;prevDate,Movimientos!$D$6:$D$505,""&lt;=""&amp;A67,Movimientos!$C$6:$C$505,""Fecha inferida*""),net,B67-flow,IF(OR(gap&lt;1,unknown&gt;0,prevValue&lt;=0,net&lt;=0),"""",(POWER(net/prevValue,1/gap)-1)*1"&amp;"00)),""""))"),"")</f>
        <v/>
      </c>
      <c r="E67" s="95" t="str">
        <f t="shared" si="0"/>
        <v/>
      </c>
    </row>
    <row r="68" spans="1:5" x14ac:dyDescent="0.25">
      <c r="A68" s="92">
        <v>46089</v>
      </c>
      <c r="B68" s="93" t="str">
        <f>IF(Diario!B72="","",Diario!B72)</f>
        <v/>
      </c>
      <c r="C68" s="93">
        <f>SUMIFS(Movimientos!$B$6:$B$505,Movimientos!$D$6:$D$505,A68,Movimientos!$E$6:$E$505,TRUE)</f>
        <v>0</v>
      </c>
      <c r="D68" s="94" t="str">
        <f ca="1">IFERROR(__xludf.DUMMYFUNCTION("IF(OR(B68="""",A68&gt;TODAY(),E68=""Histórico mensual"",E68=""Base diaria""),"""",IFERROR(LET(prevDate,MAX(FILTER($A$2:A67,$B$2:B67&lt;&gt;"""",$A$2:A67&lt;A68)),prevValue,XLOOKUP(prevDate,$A$2:A67,$B$2:B67),gap,A68-prevDate,unknown,COUNTIFS(Movimientos!$D$6:$D$505,"&amp;"""&gt;""&amp;prevDate,Movimientos!$D$6:$D$505,""&lt;=""&amp;A68,Movimientos!$E$6:$E$505,FALSE,Movimientos!$C$6:$C$505,""&lt;&gt;Fecha inferida*""),flow,SUMIFS(Movimientos!$B$6:$B$505,Movimientos!$D$6:$D$505,""&gt;""&amp;prevDate,Movimientos!$D$6:$D$505,""&lt;=""&amp;A68,Movimientos!$E$6:$"&amp;"E$505,TRUE)+SUMIFS(Movimientos!$B$6:$B$505,Movimientos!$D$6:$D$505,""&gt;""&amp;prevDate,Movimientos!$D$6:$D$505,""&lt;=""&amp;A68,Movimientos!$C$6:$C$505,""Fecha inferida*""),net,B68-flow,IF(OR(gap&lt;1,unknown&gt;0,prevValue&lt;=0,net&lt;=0),"""",(POWER(net/prevValue,1/gap)-1)*1"&amp;"00)),""""))"),"")</f>
        <v/>
      </c>
      <c r="E68" s="95" t="str">
        <f t="shared" si="0"/>
        <v/>
      </c>
    </row>
    <row r="69" spans="1:5" x14ac:dyDescent="0.25">
      <c r="A69" s="92">
        <v>46090</v>
      </c>
      <c r="B69" s="93" t="str">
        <f>IF(Diario!B73="","",Diario!B73)</f>
        <v/>
      </c>
      <c r="C69" s="93">
        <f>SUMIFS(Movimientos!$B$6:$B$505,Movimientos!$D$6:$D$505,A69,Movimientos!$E$6:$E$505,TRUE)</f>
        <v>0</v>
      </c>
      <c r="D69" s="94" t="str">
        <f ca="1">IFERROR(__xludf.DUMMYFUNCTION("IF(OR(B69="""",A69&gt;TODAY(),E69=""Histórico mensual"",E69=""Base diaria""),"""",IFERROR(LET(prevDate,MAX(FILTER($A$2:A68,$B$2:B68&lt;&gt;"""",$A$2:A68&lt;A69)),prevValue,XLOOKUP(prevDate,$A$2:A68,$B$2:B68),gap,A69-prevDate,unknown,COUNTIFS(Movimientos!$D$6:$D$505,"&amp;"""&gt;""&amp;prevDate,Movimientos!$D$6:$D$505,""&lt;=""&amp;A69,Movimientos!$E$6:$E$505,FALSE,Movimientos!$C$6:$C$505,""&lt;&gt;Fecha inferida*""),flow,SUMIFS(Movimientos!$B$6:$B$505,Movimientos!$D$6:$D$505,""&gt;""&amp;prevDate,Movimientos!$D$6:$D$505,""&lt;=""&amp;A69,Movimientos!$E$6:$"&amp;"E$505,TRUE)+SUMIFS(Movimientos!$B$6:$B$505,Movimientos!$D$6:$D$505,""&gt;""&amp;prevDate,Movimientos!$D$6:$D$505,""&lt;=""&amp;A69,Movimientos!$C$6:$C$505,""Fecha inferida*""),net,B69-flow,IF(OR(gap&lt;1,unknown&gt;0,prevValue&lt;=0,net&lt;=0),"""",(POWER(net/prevValue,1/gap)-1)*1"&amp;"00)),""""))"),"")</f>
        <v/>
      </c>
      <c r="E69" s="95" t="str">
        <f t="shared" si="0"/>
        <v/>
      </c>
    </row>
    <row r="70" spans="1:5" x14ac:dyDescent="0.25">
      <c r="A70" s="92">
        <v>46091</v>
      </c>
      <c r="B70" s="93" t="str">
        <f>IF(Diario!B74="","",Diario!B74)</f>
        <v/>
      </c>
      <c r="C70" s="93">
        <f>SUMIFS(Movimientos!$B$6:$B$505,Movimientos!$D$6:$D$505,A70,Movimientos!$E$6:$E$505,TRUE)</f>
        <v>0</v>
      </c>
      <c r="D70" s="94" t="str">
        <f ca="1">IFERROR(__xludf.DUMMYFUNCTION("IF(OR(B70="""",A70&gt;TODAY(),E70=""Histórico mensual"",E70=""Base diaria""),"""",IFERROR(LET(prevDate,MAX(FILTER($A$2:A69,$B$2:B69&lt;&gt;"""",$A$2:A69&lt;A70)),prevValue,XLOOKUP(prevDate,$A$2:A69,$B$2:B69),gap,A70-prevDate,unknown,COUNTIFS(Movimientos!$D$6:$D$505,"&amp;"""&gt;""&amp;prevDate,Movimientos!$D$6:$D$505,""&lt;=""&amp;A70,Movimientos!$E$6:$E$505,FALSE,Movimientos!$C$6:$C$505,""&lt;&gt;Fecha inferida*""),flow,SUMIFS(Movimientos!$B$6:$B$505,Movimientos!$D$6:$D$505,""&gt;""&amp;prevDate,Movimientos!$D$6:$D$505,""&lt;=""&amp;A70,Movimientos!$E$6:$"&amp;"E$505,TRUE)+SUMIFS(Movimientos!$B$6:$B$505,Movimientos!$D$6:$D$505,""&gt;""&amp;prevDate,Movimientos!$D$6:$D$505,""&lt;=""&amp;A70,Movimientos!$C$6:$C$505,""Fecha inferida*""),net,B70-flow,IF(OR(gap&lt;1,unknown&gt;0,prevValue&lt;=0,net&lt;=0),"""",(POWER(net/prevValue,1/gap)-1)*1"&amp;"00)),""""))"),"")</f>
        <v/>
      </c>
      <c r="E70" s="95" t="str">
        <f t="shared" si="0"/>
        <v/>
      </c>
    </row>
    <row r="71" spans="1:5" x14ac:dyDescent="0.25">
      <c r="A71" s="92">
        <v>46092</v>
      </c>
      <c r="B71" s="93" t="str">
        <f>IF(Diario!B75="","",Diario!B75)</f>
        <v/>
      </c>
      <c r="C71" s="93">
        <f>SUMIFS(Movimientos!$B$6:$B$505,Movimientos!$D$6:$D$505,A71,Movimientos!$E$6:$E$505,TRUE)</f>
        <v>0</v>
      </c>
      <c r="D71" s="94" t="str">
        <f ca="1">IFERROR(__xludf.DUMMYFUNCTION("IF(OR(B71="""",A71&gt;TODAY(),E71=""Histórico mensual"",E71=""Base diaria""),"""",IFERROR(LET(prevDate,MAX(FILTER($A$2:A70,$B$2:B70&lt;&gt;"""",$A$2:A70&lt;A71)),prevValue,XLOOKUP(prevDate,$A$2:A70,$B$2:B70),gap,A71-prevDate,unknown,COUNTIFS(Movimientos!$D$6:$D$505,"&amp;"""&gt;""&amp;prevDate,Movimientos!$D$6:$D$505,""&lt;=""&amp;A71,Movimientos!$E$6:$E$505,FALSE,Movimientos!$C$6:$C$505,""&lt;&gt;Fecha inferida*""),flow,SUMIFS(Movimientos!$B$6:$B$505,Movimientos!$D$6:$D$505,""&gt;""&amp;prevDate,Movimientos!$D$6:$D$505,""&lt;=""&amp;A71,Movimientos!$E$6:$"&amp;"E$505,TRUE)+SUMIFS(Movimientos!$B$6:$B$505,Movimientos!$D$6:$D$505,""&gt;""&amp;prevDate,Movimientos!$D$6:$D$505,""&lt;=""&amp;A71,Movimientos!$C$6:$C$505,""Fecha inferida*""),net,B71-flow,IF(OR(gap&lt;1,unknown&gt;0,prevValue&lt;=0,net&lt;=0),"""",(POWER(net/prevValue,1/gap)-1)*1"&amp;"00)),""""))"),"")</f>
        <v/>
      </c>
      <c r="E71" s="95" t="str">
        <f t="shared" si="0"/>
        <v/>
      </c>
    </row>
    <row r="72" spans="1:5" x14ac:dyDescent="0.25">
      <c r="A72" s="92">
        <v>46093</v>
      </c>
      <c r="B72" s="93" t="str">
        <f>IF(Diario!B76="","",Diario!B76)</f>
        <v/>
      </c>
      <c r="C72" s="93">
        <f>SUMIFS(Movimientos!$B$6:$B$505,Movimientos!$D$6:$D$505,A72,Movimientos!$E$6:$E$505,TRUE)</f>
        <v>0</v>
      </c>
      <c r="D72" s="94" t="str">
        <f ca="1">IFERROR(__xludf.DUMMYFUNCTION("IF(OR(B72="""",A72&gt;TODAY(),E72=""Histórico mensual"",E72=""Base diaria""),"""",IFERROR(LET(prevDate,MAX(FILTER($A$2:A71,$B$2:B71&lt;&gt;"""",$A$2:A71&lt;A72)),prevValue,XLOOKUP(prevDate,$A$2:A71,$B$2:B71),gap,A72-prevDate,unknown,COUNTIFS(Movimientos!$D$6:$D$505,"&amp;"""&gt;""&amp;prevDate,Movimientos!$D$6:$D$505,""&lt;=""&amp;A72,Movimientos!$E$6:$E$505,FALSE,Movimientos!$C$6:$C$505,""&lt;&gt;Fecha inferida*""),flow,SUMIFS(Movimientos!$B$6:$B$505,Movimientos!$D$6:$D$505,""&gt;""&amp;prevDate,Movimientos!$D$6:$D$505,""&lt;=""&amp;A72,Movimientos!$E$6:$"&amp;"E$505,TRUE)+SUMIFS(Movimientos!$B$6:$B$505,Movimientos!$D$6:$D$505,""&gt;""&amp;prevDate,Movimientos!$D$6:$D$505,""&lt;=""&amp;A72,Movimientos!$C$6:$C$505,""Fecha inferida*""),net,B72-flow,IF(OR(gap&lt;1,unknown&gt;0,prevValue&lt;=0,net&lt;=0),"""",(POWER(net/prevValue,1/gap)-1)*1"&amp;"00)),""""))"),"")</f>
        <v/>
      </c>
      <c r="E72" s="95" t="str">
        <f t="shared" si="0"/>
        <v/>
      </c>
    </row>
    <row r="73" spans="1:5" x14ac:dyDescent="0.25">
      <c r="A73" s="92">
        <v>46094</v>
      </c>
      <c r="B73" s="93" t="str">
        <f>IF(Diario!B77="","",Diario!B77)</f>
        <v/>
      </c>
      <c r="C73" s="93">
        <f>SUMIFS(Movimientos!$B$6:$B$505,Movimientos!$D$6:$D$505,A73,Movimientos!$E$6:$E$505,TRUE)</f>
        <v>0</v>
      </c>
      <c r="D73" s="94" t="str">
        <f ca="1">IFERROR(__xludf.DUMMYFUNCTION("IF(OR(B73="""",A73&gt;TODAY(),E73=""Histórico mensual"",E73=""Base diaria""),"""",IFERROR(LET(prevDate,MAX(FILTER($A$2:A72,$B$2:B72&lt;&gt;"""",$A$2:A72&lt;A73)),prevValue,XLOOKUP(prevDate,$A$2:A72,$B$2:B72),gap,A73-prevDate,unknown,COUNTIFS(Movimientos!$D$6:$D$505,"&amp;"""&gt;""&amp;prevDate,Movimientos!$D$6:$D$505,""&lt;=""&amp;A73,Movimientos!$E$6:$E$505,FALSE,Movimientos!$C$6:$C$505,""&lt;&gt;Fecha inferida*""),flow,SUMIFS(Movimientos!$B$6:$B$505,Movimientos!$D$6:$D$505,""&gt;""&amp;prevDate,Movimientos!$D$6:$D$505,""&lt;=""&amp;A73,Movimientos!$E$6:$"&amp;"E$505,TRUE)+SUMIFS(Movimientos!$B$6:$B$505,Movimientos!$D$6:$D$505,""&gt;""&amp;prevDate,Movimientos!$D$6:$D$505,""&lt;=""&amp;A73,Movimientos!$C$6:$C$505,""Fecha inferida*""),net,B73-flow,IF(OR(gap&lt;1,unknown&gt;0,prevValue&lt;=0,net&lt;=0),"""",(POWER(net/prevValue,1/gap)-1)*1"&amp;"00)),""""))"),"")</f>
        <v/>
      </c>
      <c r="E73" s="95" t="str">
        <f t="shared" si="0"/>
        <v/>
      </c>
    </row>
    <row r="74" spans="1:5" x14ac:dyDescent="0.25">
      <c r="A74" s="92">
        <v>46095</v>
      </c>
      <c r="B74" s="93" t="str">
        <f>IF(Diario!B78="","",Diario!B78)</f>
        <v/>
      </c>
      <c r="C74" s="93">
        <f>SUMIFS(Movimientos!$B$6:$B$505,Movimientos!$D$6:$D$505,A74,Movimientos!$E$6:$E$505,TRUE)</f>
        <v>0</v>
      </c>
      <c r="D74" s="94" t="str">
        <f ca="1">IFERROR(__xludf.DUMMYFUNCTION("IF(OR(B74="""",A74&gt;TODAY(),E74=""Histórico mensual"",E74=""Base diaria""),"""",IFERROR(LET(prevDate,MAX(FILTER($A$2:A73,$B$2:B73&lt;&gt;"""",$A$2:A73&lt;A74)),prevValue,XLOOKUP(prevDate,$A$2:A73,$B$2:B73),gap,A74-prevDate,unknown,COUNTIFS(Movimientos!$D$6:$D$505,"&amp;"""&gt;""&amp;prevDate,Movimientos!$D$6:$D$505,""&lt;=""&amp;A74,Movimientos!$E$6:$E$505,FALSE,Movimientos!$C$6:$C$505,""&lt;&gt;Fecha inferida*""),flow,SUMIFS(Movimientos!$B$6:$B$505,Movimientos!$D$6:$D$505,""&gt;""&amp;prevDate,Movimientos!$D$6:$D$505,""&lt;=""&amp;A74,Movimientos!$E$6:$"&amp;"E$505,TRUE)+SUMIFS(Movimientos!$B$6:$B$505,Movimientos!$D$6:$D$505,""&gt;""&amp;prevDate,Movimientos!$D$6:$D$505,""&lt;=""&amp;A74,Movimientos!$C$6:$C$505,""Fecha inferida*""),net,B74-flow,IF(OR(gap&lt;1,unknown&gt;0,prevValue&lt;=0,net&lt;=0),"""",(POWER(net/prevValue,1/gap)-1)*1"&amp;"00)),""""))"),"")</f>
        <v/>
      </c>
      <c r="E74" s="95" t="str">
        <f t="shared" si="0"/>
        <v/>
      </c>
    </row>
    <row r="75" spans="1:5" x14ac:dyDescent="0.25">
      <c r="A75" s="92">
        <v>46096</v>
      </c>
      <c r="B75" s="93" t="str">
        <f>IF(Diario!B79="","",Diario!B79)</f>
        <v/>
      </c>
      <c r="C75" s="93">
        <f>SUMIFS(Movimientos!$B$6:$B$505,Movimientos!$D$6:$D$505,A75,Movimientos!$E$6:$E$505,TRUE)</f>
        <v>0</v>
      </c>
      <c r="D75" s="94" t="str">
        <f ca="1">IFERROR(__xludf.DUMMYFUNCTION("IF(OR(B75="""",A75&gt;TODAY(),E75=""Histórico mensual"",E75=""Base diaria""),"""",IFERROR(LET(prevDate,MAX(FILTER($A$2:A74,$B$2:B74&lt;&gt;"""",$A$2:A74&lt;A75)),prevValue,XLOOKUP(prevDate,$A$2:A74,$B$2:B74),gap,A75-prevDate,unknown,COUNTIFS(Movimientos!$D$6:$D$505,"&amp;"""&gt;""&amp;prevDate,Movimientos!$D$6:$D$505,""&lt;=""&amp;A75,Movimientos!$E$6:$E$505,FALSE,Movimientos!$C$6:$C$505,""&lt;&gt;Fecha inferida*""),flow,SUMIFS(Movimientos!$B$6:$B$505,Movimientos!$D$6:$D$505,""&gt;""&amp;prevDate,Movimientos!$D$6:$D$505,""&lt;=""&amp;A75,Movimientos!$E$6:$"&amp;"E$505,TRUE)+SUMIFS(Movimientos!$B$6:$B$505,Movimientos!$D$6:$D$505,""&gt;""&amp;prevDate,Movimientos!$D$6:$D$505,""&lt;=""&amp;A75,Movimientos!$C$6:$C$505,""Fecha inferida*""),net,B75-flow,IF(OR(gap&lt;1,unknown&gt;0,prevValue&lt;=0,net&lt;=0),"""",(POWER(net/prevValue,1/gap)-1)*1"&amp;"00)),""""))"),"")</f>
        <v/>
      </c>
      <c r="E75" s="95" t="str">
        <f t="shared" si="0"/>
        <v/>
      </c>
    </row>
    <row r="76" spans="1:5" x14ac:dyDescent="0.25">
      <c r="A76" s="92">
        <v>46097</v>
      </c>
      <c r="B76" s="93" t="str">
        <f>IF(Diario!B80="","",Diario!B80)</f>
        <v/>
      </c>
      <c r="C76" s="93">
        <f>SUMIFS(Movimientos!$B$6:$B$505,Movimientos!$D$6:$D$505,A76,Movimientos!$E$6:$E$505,TRUE)</f>
        <v>0</v>
      </c>
      <c r="D76" s="94" t="str">
        <f ca="1">IFERROR(__xludf.DUMMYFUNCTION("IF(OR(B76="""",A76&gt;TODAY(),E76=""Histórico mensual"",E76=""Base diaria""),"""",IFERROR(LET(prevDate,MAX(FILTER($A$2:A75,$B$2:B75&lt;&gt;"""",$A$2:A75&lt;A76)),prevValue,XLOOKUP(prevDate,$A$2:A75,$B$2:B75),gap,A76-prevDate,unknown,COUNTIFS(Movimientos!$D$6:$D$505,"&amp;"""&gt;""&amp;prevDate,Movimientos!$D$6:$D$505,""&lt;=""&amp;A76,Movimientos!$E$6:$E$505,FALSE,Movimientos!$C$6:$C$505,""&lt;&gt;Fecha inferida*""),flow,SUMIFS(Movimientos!$B$6:$B$505,Movimientos!$D$6:$D$505,""&gt;""&amp;prevDate,Movimientos!$D$6:$D$505,""&lt;=""&amp;A76,Movimientos!$E$6:$"&amp;"E$505,TRUE)+SUMIFS(Movimientos!$B$6:$B$505,Movimientos!$D$6:$D$505,""&gt;""&amp;prevDate,Movimientos!$D$6:$D$505,""&lt;=""&amp;A76,Movimientos!$C$6:$C$505,""Fecha inferida*""),net,B76-flow,IF(OR(gap&lt;1,unknown&gt;0,prevValue&lt;=0,net&lt;=0),"""",(POWER(net/prevValue,1/gap)-1)*1"&amp;"00)),""""))"),"")</f>
        <v/>
      </c>
      <c r="E76" s="95" t="str">
        <f t="shared" si="0"/>
        <v/>
      </c>
    </row>
    <row r="77" spans="1:5" x14ac:dyDescent="0.25">
      <c r="A77" s="92">
        <v>46098</v>
      </c>
      <c r="B77" s="93" t="str">
        <f>IF(Diario!B81="","",Diario!B81)</f>
        <v/>
      </c>
      <c r="C77" s="93">
        <f>SUMIFS(Movimientos!$B$6:$B$505,Movimientos!$D$6:$D$505,A77,Movimientos!$E$6:$E$505,TRUE)</f>
        <v>0</v>
      </c>
      <c r="D77" s="94" t="str">
        <f ca="1">IFERROR(__xludf.DUMMYFUNCTION("IF(OR(B77="""",A77&gt;TODAY(),E77=""Histórico mensual"",E77=""Base diaria""),"""",IFERROR(LET(prevDate,MAX(FILTER($A$2:A76,$B$2:B76&lt;&gt;"""",$A$2:A76&lt;A77)),prevValue,XLOOKUP(prevDate,$A$2:A76,$B$2:B76),gap,A77-prevDate,unknown,COUNTIFS(Movimientos!$D$6:$D$505,"&amp;"""&gt;""&amp;prevDate,Movimientos!$D$6:$D$505,""&lt;=""&amp;A77,Movimientos!$E$6:$E$505,FALSE,Movimientos!$C$6:$C$505,""&lt;&gt;Fecha inferida*""),flow,SUMIFS(Movimientos!$B$6:$B$505,Movimientos!$D$6:$D$505,""&gt;""&amp;prevDate,Movimientos!$D$6:$D$505,""&lt;=""&amp;A77,Movimientos!$E$6:$"&amp;"E$505,TRUE)+SUMIFS(Movimientos!$B$6:$B$505,Movimientos!$D$6:$D$505,""&gt;""&amp;prevDate,Movimientos!$D$6:$D$505,""&lt;=""&amp;A77,Movimientos!$C$6:$C$505,""Fecha inferida*""),net,B77-flow,IF(OR(gap&lt;1,unknown&gt;0,prevValue&lt;=0,net&lt;=0),"""",(POWER(net/prevValue,1/gap)-1)*1"&amp;"00)),""""))"),"")</f>
        <v/>
      </c>
      <c r="E77" s="95" t="str">
        <f t="shared" si="0"/>
        <v/>
      </c>
    </row>
    <row r="78" spans="1:5" x14ac:dyDescent="0.25">
      <c r="A78" s="92">
        <v>46099</v>
      </c>
      <c r="B78" s="93" t="str">
        <f>IF(Diario!B82="","",Diario!B82)</f>
        <v/>
      </c>
      <c r="C78" s="93">
        <f>SUMIFS(Movimientos!$B$6:$B$505,Movimientos!$D$6:$D$505,A78,Movimientos!$E$6:$E$505,TRUE)</f>
        <v>0</v>
      </c>
      <c r="D78" s="94" t="str">
        <f ca="1">IFERROR(__xludf.DUMMYFUNCTION("IF(OR(B78="""",A78&gt;TODAY(),E78=""Histórico mensual"",E78=""Base diaria""),"""",IFERROR(LET(prevDate,MAX(FILTER($A$2:A77,$B$2:B77&lt;&gt;"""",$A$2:A77&lt;A78)),prevValue,XLOOKUP(prevDate,$A$2:A77,$B$2:B77),gap,A78-prevDate,unknown,COUNTIFS(Movimientos!$D$6:$D$505,"&amp;"""&gt;""&amp;prevDate,Movimientos!$D$6:$D$505,""&lt;=""&amp;A78,Movimientos!$E$6:$E$505,FALSE,Movimientos!$C$6:$C$505,""&lt;&gt;Fecha inferida*""),flow,SUMIFS(Movimientos!$B$6:$B$505,Movimientos!$D$6:$D$505,""&gt;""&amp;prevDate,Movimientos!$D$6:$D$505,""&lt;=""&amp;A78,Movimientos!$E$6:$"&amp;"E$505,TRUE)+SUMIFS(Movimientos!$B$6:$B$505,Movimientos!$D$6:$D$505,""&gt;""&amp;prevDate,Movimientos!$D$6:$D$505,""&lt;=""&amp;A78,Movimientos!$C$6:$C$505,""Fecha inferida*""),net,B78-flow,IF(OR(gap&lt;1,unknown&gt;0,prevValue&lt;=0,net&lt;=0),"""",(POWER(net/prevValue,1/gap)-1)*1"&amp;"00)),""""))"),"")</f>
        <v/>
      </c>
      <c r="E78" s="95" t="str">
        <f t="shared" si="0"/>
        <v/>
      </c>
    </row>
    <row r="79" spans="1:5" x14ac:dyDescent="0.25">
      <c r="A79" s="92">
        <v>46100</v>
      </c>
      <c r="B79" s="93" t="str">
        <f>IF(Diario!B83="","",Diario!B83)</f>
        <v/>
      </c>
      <c r="C79" s="93">
        <f>SUMIFS(Movimientos!$B$6:$B$505,Movimientos!$D$6:$D$505,A79,Movimientos!$E$6:$E$505,TRUE)</f>
        <v>0</v>
      </c>
      <c r="D79" s="94" t="str">
        <f ca="1">IFERROR(__xludf.DUMMYFUNCTION("IF(OR(B79="""",A79&gt;TODAY(),E79=""Histórico mensual"",E79=""Base diaria""),"""",IFERROR(LET(prevDate,MAX(FILTER($A$2:A78,$B$2:B78&lt;&gt;"""",$A$2:A78&lt;A79)),prevValue,XLOOKUP(prevDate,$A$2:A78,$B$2:B78),gap,A79-prevDate,unknown,COUNTIFS(Movimientos!$D$6:$D$505,"&amp;"""&gt;""&amp;prevDate,Movimientos!$D$6:$D$505,""&lt;=""&amp;A79,Movimientos!$E$6:$E$505,FALSE,Movimientos!$C$6:$C$505,""&lt;&gt;Fecha inferida*""),flow,SUMIFS(Movimientos!$B$6:$B$505,Movimientos!$D$6:$D$505,""&gt;""&amp;prevDate,Movimientos!$D$6:$D$505,""&lt;=""&amp;A79,Movimientos!$E$6:$"&amp;"E$505,TRUE)+SUMIFS(Movimientos!$B$6:$B$505,Movimientos!$D$6:$D$505,""&gt;""&amp;prevDate,Movimientos!$D$6:$D$505,""&lt;=""&amp;A79,Movimientos!$C$6:$C$505,""Fecha inferida*""),net,B79-flow,IF(OR(gap&lt;1,unknown&gt;0,prevValue&lt;=0,net&lt;=0),"""",(POWER(net/prevValue,1/gap)-1)*1"&amp;"00)),""""))"),"")</f>
        <v/>
      </c>
      <c r="E79" s="95" t="str">
        <f t="shared" si="0"/>
        <v/>
      </c>
    </row>
    <row r="80" spans="1:5" x14ac:dyDescent="0.25">
      <c r="A80" s="92">
        <v>46101</v>
      </c>
      <c r="B80" s="93" t="str">
        <f>IF(Diario!B84="","",Diario!B84)</f>
        <v/>
      </c>
      <c r="C80" s="93">
        <f>SUMIFS(Movimientos!$B$6:$B$505,Movimientos!$D$6:$D$505,A80,Movimientos!$E$6:$E$505,TRUE)</f>
        <v>0</v>
      </c>
      <c r="D80" s="94" t="str">
        <f ca="1">IFERROR(__xludf.DUMMYFUNCTION("IF(OR(B80="""",A80&gt;TODAY(),E80=""Histórico mensual"",E80=""Base diaria""),"""",IFERROR(LET(prevDate,MAX(FILTER($A$2:A79,$B$2:B79&lt;&gt;"""",$A$2:A79&lt;A80)),prevValue,XLOOKUP(prevDate,$A$2:A79,$B$2:B79),gap,A80-prevDate,unknown,COUNTIFS(Movimientos!$D$6:$D$505,"&amp;"""&gt;""&amp;prevDate,Movimientos!$D$6:$D$505,""&lt;=""&amp;A80,Movimientos!$E$6:$E$505,FALSE,Movimientos!$C$6:$C$505,""&lt;&gt;Fecha inferida*""),flow,SUMIFS(Movimientos!$B$6:$B$505,Movimientos!$D$6:$D$505,""&gt;""&amp;prevDate,Movimientos!$D$6:$D$505,""&lt;=""&amp;A80,Movimientos!$E$6:$"&amp;"E$505,TRUE)+SUMIFS(Movimientos!$B$6:$B$505,Movimientos!$D$6:$D$505,""&gt;""&amp;prevDate,Movimientos!$D$6:$D$505,""&lt;=""&amp;A80,Movimientos!$C$6:$C$505,""Fecha inferida*""),net,B80-flow,IF(OR(gap&lt;1,unknown&gt;0,prevValue&lt;=0,net&lt;=0),"""",(POWER(net/prevValue,1/gap)-1)*1"&amp;"00)),""""))"),"")</f>
        <v/>
      </c>
      <c r="E80" s="95" t="str">
        <f t="shared" si="0"/>
        <v/>
      </c>
    </row>
    <row r="81" spans="1:5" x14ac:dyDescent="0.25">
      <c r="A81" s="92">
        <v>46102</v>
      </c>
      <c r="B81" s="93" t="str">
        <f>IF(Diario!B85="","",Diario!B85)</f>
        <v/>
      </c>
      <c r="C81" s="93">
        <f>SUMIFS(Movimientos!$B$6:$B$505,Movimientos!$D$6:$D$505,A81,Movimientos!$E$6:$E$505,TRUE)</f>
        <v>0</v>
      </c>
      <c r="D81" s="94" t="str">
        <f ca="1">IFERROR(__xludf.DUMMYFUNCTION("IF(OR(B81="""",A81&gt;TODAY(),E81=""Histórico mensual"",E81=""Base diaria""),"""",IFERROR(LET(prevDate,MAX(FILTER($A$2:A80,$B$2:B80&lt;&gt;"""",$A$2:A80&lt;A81)),prevValue,XLOOKUP(prevDate,$A$2:A80,$B$2:B80),gap,A81-prevDate,unknown,COUNTIFS(Movimientos!$D$6:$D$505,"&amp;"""&gt;""&amp;prevDate,Movimientos!$D$6:$D$505,""&lt;=""&amp;A81,Movimientos!$E$6:$E$505,FALSE,Movimientos!$C$6:$C$505,""&lt;&gt;Fecha inferida*""),flow,SUMIFS(Movimientos!$B$6:$B$505,Movimientos!$D$6:$D$505,""&gt;""&amp;prevDate,Movimientos!$D$6:$D$505,""&lt;=""&amp;A81,Movimientos!$E$6:$"&amp;"E$505,TRUE)+SUMIFS(Movimientos!$B$6:$B$505,Movimientos!$D$6:$D$505,""&gt;""&amp;prevDate,Movimientos!$D$6:$D$505,""&lt;=""&amp;A81,Movimientos!$C$6:$C$505,""Fecha inferida*""),net,B81-flow,IF(OR(gap&lt;1,unknown&gt;0,prevValue&lt;=0,net&lt;=0),"""",(POWER(net/prevValue,1/gap)-1)*1"&amp;"00)),""""))"),"")</f>
        <v/>
      </c>
      <c r="E81" s="95" t="str">
        <f t="shared" si="0"/>
        <v/>
      </c>
    </row>
    <row r="82" spans="1:5" x14ac:dyDescent="0.25">
      <c r="A82" s="92">
        <v>46103</v>
      </c>
      <c r="B82" s="93" t="str">
        <f>IF(Diario!B86="","",Diario!B86)</f>
        <v/>
      </c>
      <c r="C82" s="93">
        <f>SUMIFS(Movimientos!$B$6:$B$505,Movimientos!$D$6:$D$505,A82,Movimientos!$E$6:$E$505,TRUE)</f>
        <v>0</v>
      </c>
      <c r="D82" s="94" t="str">
        <f ca="1">IFERROR(__xludf.DUMMYFUNCTION("IF(OR(B82="""",A82&gt;TODAY(),E82=""Histórico mensual"",E82=""Base diaria""),"""",IFERROR(LET(prevDate,MAX(FILTER($A$2:A81,$B$2:B81&lt;&gt;"""",$A$2:A81&lt;A82)),prevValue,XLOOKUP(prevDate,$A$2:A81,$B$2:B81),gap,A82-prevDate,unknown,COUNTIFS(Movimientos!$D$6:$D$505,"&amp;"""&gt;""&amp;prevDate,Movimientos!$D$6:$D$505,""&lt;=""&amp;A82,Movimientos!$E$6:$E$505,FALSE,Movimientos!$C$6:$C$505,""&lt;&gt;Fecha inferida*""),flow,SUMIFS(Movimientos!$B$6:$B$505,Movimientos!$D$6:$D$505,""&gt;""&amp;prevDate,Movimientos!$D$6:$D$505,""&lt;=""&amp;A82,Movimientos!$E$6:$"&amp;"E$505,TRUE)+SUMIFS(Movimientos!$B$6:$B$505,Movimientos!$D$6:$D$505,""&gt;""&amp;prevDate,Movimientos!$D$6:$D$505,""&lt;=""&amp;A82,Movimientos!$C$6:$C$505,""Fecha inferida*""),net,B82-flow,IF(OR(gap&lt;1,unknown&gt;0,prevValue&lt;=0,net&lt;=0),"""",(POWER(net/prevValue,1/gap)-1)*1"&amp;"00)),""""))"),"")</f>
        <v/>
      </c>
      <c r="E82" s="95" t="str">
        <f t="shared" si="0"/>
        <v/>
      </c>
    </row>
    <row r="83" spans="1:5" x14ac:dyDescent="0.25">
      <c r="A83" s="92">
        <v>46104</v>
      </c>
      <c r="B83" s="93" t="str">
        <f>IF(Diario!B87="","",Diario!B87)</f>
        <v/>
      </c>
      <c r="C83" s="93">
        <f>SUMIFS(Movimientos!$B$6:$B$505,Movimientos!$D$6:$D$505,A83,Movimientos!$E$6:$E$505,TRUE)</f>
        <v>0</v>
      </c>
      <c r="D83" s="94" t="str">
        <f ca="1">IFERROR(__xludf.DUMMYFUNCTION("IF(OR(B83="""",A83&gt;TODAY(),E83=""Histórico mensual"",E83=""Base diaria""),"""",IFERROR(LET(prevDate,MAX(FILTER($A$2:A82,$B$2:B82&lt;&gt;"""",$A$2:A82&lt;A83)),prevValue,XLOOKUP(prevDate,$A$2:A82,$B$2:B82),gap,A83-prevDate,unknown,COUNTIFS(Movimientos!$D$6:$D$505,"&amp;"""&gt;""&amp;prevDate,Movimientos!$D$6:$D$505,""&lt;=""&amp;A83,Movimientos!$E$6:$E$505,FALSE,Movimientos!$C$6:$C$505,""&lt;&gt;Fecha inferida*""),flow,SUMIFS(Movimientos!$B$6:$B$505,Movimientos!$D$6:$D$505,""&gt;""&amp;prevDate,Movimientos!$D$6:$D$505,""&lt;=""&amp;A83,Movimientos!$E$6:$"&amp;"E$505,TRUE)+SUMIFS(Movimientos!$B$6:$B$505,Movimientos!$D$6:$D$505,""&gt;""&amp;prevDate,Movimientos!$D$6:$D$505,""&lt;=""&amp;A83,Movimientos!$C$6:$C$505,""Fecha inferida*""),net,B83-flow,IF(OR(gap&lt;1,unknown&gt;0,prevValue&lt;=0,net&lt;=0),"""",(POWER(net/prevValue,1/gap)-1)*1"&amp;"00)),""""))"),"")</f>
        <v/>
      </c>
      <c r="E83" s="95" t="str">
        <f t="shared" si="0"/>
        <v/>
      </c>
    </row>
    <row r="84" spans="1:5" x14ac:dyDescent="0.25">
      <c r="A84" s="92">
        <v>46105</v>
      </c>
      <c r="B84" s="93" t="str">
        <f>IF(Diario!B88="","",Diario!B88)</f>
        <v/>
      </c>
      <c r="C84" s="93">
        <f>SUMIFS(Movimientos!$B$6:$B$505,Movimientos!$D$6:$D$505,A84,Movimientos!$E$6:$E$505,TRUE)</f>
        <v>0</v>
      </c>
      <c r="D84" s="94" t="str">
        <f ca="1">IFERROR(__xludf.DUMMYFUNCTION("IF(OR(B84="""",A84&gt;TODAY(),E84=""Histórico mensual"",E84=""Base diaria""),"""",IFERROR(LET(prevDate,MAX(FILTER($A$2:A83,$B$2:B83&lt;&gt;"""",$A$2:A83&lt;A84)),prevValue,XLOOKUP(prevDate,$A$2:A83,$B$2:B83),gap,A84-prevDate,unknown,COUNTIFS(Movimientos!$D$6:$D$505,"&amp;"""&gt;""&amp;prevDate,Movimientos!$D$6:$D$505,""&lt;=""&amp;A84,Movimientos!$E$6:$E$505,FALSE,Movimientos!$C$6:$C$505,""&lt;&gt;Fecha inferida*""),flow,SUMIFS(Movimientos!$B$6:$B$505,Movimientos!$D$6:$D$505,""&gt;""&amp;prevDate,Movimientos!$D$6:$D$505,""&lt;=""&amp;A84,Movimientos!$E$6:$"&amp;"E$505,TRUE)+SUMIFS(Movimientos!$B$6:$B$505,Movimientos!$D$6:$D$505,""&gt;""&amp;prevDate,Movimientos!$D$6:$D$505,""&lt;=""&amp;A84,Movimientos!$C$6:$C$505,""Fecha inferida*""),net,B84-flow,IF(OR(gap&lt;1,unknown&gt;0,prevValue&lt;=0,net&lt;=0),"""",(POWER(net/prevValue,1/gap)-1)*1"&amp;"00)),""""))"),"")</f>
        <v/>
      </c>
      <c r="E84" s="95" t="str">
        <f t="shared" si="0"/>
        <v/>
      </c>
    </row>
    <row r="85" spans="1:5" x14ac:dyDescent="0.25">
      <c r="A85" s="92">
        <v>46106</v>
      </c>
      <c r="B85" s="93" t="str">
        <f>IF(Diario!B89="","",Diario!B89)</f>
        <v/>
      </c>
      <c r="C85" s="93">
        <f>SUMIFS(Movimientos!$B$6:$B$505,Movimientos!$D$6:$D$505,A85,Movimientos!$E$6:$E$505,TRUE)</f>
        <v>0</v>
      </c>
      <c r="D85" s="94" t="str">
        <f ca="1">IFERROR(__xludf.DUMMYFUNCTION("IF(OR(B85="""",A85&gt;TODAY(),E85=""Histórico mensual"",E85=""Base diaria""),"""",IFERROR(LET(prevDate,MAX(FILTER($A$2:A84,$B$2:B84&lt;&gt;"""",$A$2:A84&lt;A85)),prevValue,XLOOKUP(prevDate,$A$2:A84,$B$2:B84),gap,A85-prevDate,unknown,COUNTIFS(Movimientos!$D$6:$D$505,"&amp;"""&gt;""&amp;prevDate,Movimientos!$D$6:$D$505,""&lt;=""&amp;A85,Movimientos!$E$6:$E$505,FALSE,Movimientos!$C$6:$C$505,""&lt;&gt;Fecha inferida*""),flow,SUMIFS(Movimientos!$B$6:$B$505,Movimientos!$D$6:$D$505,""&gt;""&amp;prevDate,Movimientos!$D$6:$D$505,""&lt;=""&amp;A85,Movimientos!$E$6:$"&amp;"E$505,TRUE)+SUMIFS(Movimientos!$B$6:$B$505,Movimientos!$D$6:$D$505,""&gt;""&amp;prevDate,Movimientos!$D$6:$D$505,""&lt;=""&amp;A85,Movimientos!$C$6:$C$505,""Fecha inferida*""),net,B85-flow,IF(OR(gap&lt;1,unknown&gt;0,prevValue&lt;=0,net&lt;=0),"""",(POWER(net/prevValue,1/gap)-1)*1"&amp;"00)),""""))"),"")</f>
        <v/>
      </c>
      <c r="E85" s="95" t="str">
        <f t="shared" si="0"/>
        <v/>
      </c>
    </row>
    <row r="86" spans="1:5" x14ac:dyDescent="0.25">
      <c r="A86" s="92">
        <v>46107</v>
      </c>
      <c r="B86" s="93" t="str">
        <f>IF(Diario!B90="","",Diario!B90)</f>
        <v/>
      </c>
      <c r="C86" s="93">
        <f>SUMIFS(Movimientos!$B$6:$B$505,Movimientos!$D$6:$D$505,A86,Movimientos!$E$6:$E$505,TRUE)</f>
        <v>0</v>
      </c>
      <c r="D86" s="94" t="str">
        <f ca="1">IFERROR(__xludf.DUMMYFUNCTION("IF(OR(B86="""",A86&gt;TODAY(),E86=""Histórico mensual"",E86=""Base diaria""),"""",IFERROR(LET(prevDate,MAX(FILTER($A$2:A85,$B$2:B85&lt;&gt;"""",$A$2:A85&lt;A86)),prevValue,XLOOKUP(prevDate,$A$2:A85,$B$2:B85),gap,A86-prevDate,unknown,COUNTIFS(Movimientos!$D$6:$D$505,"&amp;"""&gt;""&amp;prevDate,Movimientos!$D$6:$D$505,""&lt;=""&amp;A86,Movimientos!$E$6:$E$505,FALSE,Movimientos!$C$6:$C$505,""&lt;&gt;Fecha inferida*""),flow,SUMIFS(Movimientos!$B$6:$B$505,Movimientos!$D$6:$D$505,""&gt;""&amp;prevDate,Movimientos!$D$6:$D$505,""&lt;=""&amp;A86,Movimientos!$E$6:$"&amp;"E$505,TRUE)+SUMIFS(Movimientos!$B$6:$B$505,Movimientos!$D$6:$D$505,""&gt;""&amp;prevDate,Movimientos!$D$6:$D$505,""&lt;=""&amp;A86,Movimientos!$C$6:$C$505,""Fecha inferida*""),net,B86-flow,IF(OR(gap&lt;1,unknown&gt;0,prevValue&lt;=0,net&lt;=0),"""",(POWER(net/prevValue,1/gap)-1)*1"&amp;"00)),""""))"),"")</f>
        <v/>
      </c>
      <c r="E86" s="95" t="str">
        <f t="shared" si="0"/>
        <v/>
      </c>
    </row>
    <row r="87" spans="1:5" x14ac:dyDescent="0.25">
      <c r="A87" s="92">
        <v>46108</v>
      </c>
      <c r="B87" s="93" t="str">
        <f>IF(Diario!B91="","",Diario!B91)</f>
        <v/>
      </c>
      <c r="C87" s="93">
        <f>SUMIFS(Movimientos!$B$6:$B$505,Movimientos!$D$6:$D$505,A87,Movimientos!$E$6:$E$505,TRUE)</f>
        <v>0</v>
      </c>
      <c r="D87" s="94" t="str">
        <f ca="1">IFERROR(__xludf.DUMMYFUNCTION("IF(OR(B87="""",A87&gt;TODAY(),E87=""Histórico mensual"",E87=""Base diaria""),"""",IFERROR(LET(prevDate,MAX(FILTER($A$2:A86,$B$2:B86&lt;&gt;"""",$A$2:A86&lt;A87)),prevValue,XLOOKUP(prevDate,$A$2:A86,$B$2:B86),gap,A87-prevDate,unknown,COUNTIFS(Movimientos!$D$6:$D$505,"&amp;"""&gt;""&amp;prevDate,Movimientos!$D$6:$D$505,""&lt;=""&amp;A87,Movimientos!$E$6:$E$505,FALSE,Movimientos!$C$6:$C$505,""&lt;&gt;Fecha inferida*""),flow,SUMIFS(Movimientos!$B$6:$B$505,Movimientos!$D$6:$D$505,""&gt;""&amp;prevDate,Movimientos!$D$6:$D$505,""&lt;=""&amp;A87,Movimientos!$E$6:$"&amp;"E$505,TRUE)+SUMIFS(Movimientos!$B$6:$B$505,Movimientos!$D$6:$D$505,""&gt;""&amp;prevDate,Movimientos!$D$6:$D$505,""&lt;=""&amp;A87,Movimientos!$C$6:$C$505,""Fecha inferida*""),net,B87-flow,IF(OR(gap&lt;1,unknown&gt;0,prevValue&lt;=0,net&lt;=0),"""",(POWER(net/prevValue,1/gap)-1)*1"&amp;"00)),""""))"),"")</f>
        <v/>
      </c>
      <c r="E87" s="95" t="str">
        <f t="shared" si="0"/>
        <v/>
      </c>
    </row>
    <row r="88" spans="1:5" x14ac:dyDescent="0.25">
      <c r="A88" s="92">
        <v>46109</v>
      </c>
      <c r="B88" s="93" t="str">
        <f>IF(Diario!B92="","",Diario!B92)</f>
        <v/>
      </c>
      <c r="C88" s="93">
        <f>SUMIFS(Movimientos!$B$6:$B$505,Movimientos!$D$6:$D$505,A88,Movimientos!$E$6:$E$505,TRUE)</f>
        <v>0</v>
      </c>
      <c r="D88" s="94" t="str">
        <f ca="1">IFERROR(__xludf.DUMMYFUNCTION("IF(OR(B88="""",A88&gt;TODAY(),E88=""Histórico mensual"",E88=""Base diaria""),"""",IFERROR(LET(prevDate,MAX(FILTER($A$2:A87,$B$2:B87&lt;&gt;"""",$A$2:A87&lt;A88)),prevValue,XLOOKUP(prevDate,$A$2:A87,$B$2:B87),gap,A88-prevDate,unknown,COUNTIFS(Movimientos!$D$6:$D$505,"&amp;"""&gt;""&amp;prevDate,Movimientos!$D$6:$D$505,""&lt;=""&amp;A88,Movimientos!$E$6:$E$505,FALSE,Movimientos!$C$6:$C$505,""&lt;&gt;Fecha inferida*""),flow,SUMIFS(Movimientos!$B$6:$B$505,Movimientos!$D$6:$D$505,""&gt;""&amp;prevDate,Movimientos!$D$6:$D$505,""&lt;=""&amp;A88,Movimientos!$E$6:$"&amp;"E$505,TRUE)+SUMIFS(Movimientos!$B$6:$B$505,Movimientos!$D$6:$D$505,""&gt;""&amp;prevDate,Movimientos!$D$6:$D$505,""&lt;=""&amp;A88,Movimientos!$C$6:$C$505,""Fecha inferida*""),net,B88-flow,IF(OR(gap&lt;1,unknown&gt;0,prevValue&lt;=0,net&lt;=0),"""",(POWER(net/prevValue,1/gap)-1)*1"&amp;"00)),""""))"),"")</f>
        <v/>
      </c>
      <c r="E88" s="95" t="str">
        <f t="shared" si="0"/>
        <v/>
      </c>
    </row>
    <row r="89" spans="1:5" x14ac:dyDescent="0.25">
      <c r="A89" s="92">
        <v>46110</v>
      </c>
      <c r="B89" s="93" t="str">
        <f>IF(Diario!B93="","",Diario!B93)</f>
        <v/>
      </c>
      <c r="C89" s="93">
        <f>SUMIFS(Movimientos!$B$6:$B$505,Movimientos!$D$6:$D$505,A89,Movimientos!$E$6:$E$505,TRUE)</f>
        <v>0</v>
      </c>
      <c r="D89" s="94" t="str">
        <f ca="1">IFERROR(__xludf.DUMMYFUNCTION("IF(OR(B89="""",A89&gt;TODAY(),E89=""Histórico mensual"",E89=""Base diaria""),"""",IFERROR(LET(prevDate,MAX(FILTER($A$2:A88,$B$2:B88&lt;&gt;"""",$A$2:A88&lt;A89)),prevValue,XLOOKUP(prevDate,$A$2:A88,$B$2:B88),gap,A89-prevDate,unknown,COUNTIFS(Movimientos!$D$6:$D$505,"&amp;"""&gt;""&amp;prevDate,Movimientos!$D$6:$D$505,""&lt;=""&amp;A89,Movimientos!$E$6:$E$505,FALSE,Movimientos!$C$6:$C$505,""&lt;&gt;Fecha inferida*""),flow,SUMIFS(Movimientos!$B$6:$B$505,Movimientos!$D$6:$D$505,""&gt;""&amp;prevDate,Movimientos!$D$6:$D$505,""&lt;=""&amp;A89,Movimientos!$E$6:$"&amp;"E$505,TRUE)+SUMIFS(Movimientos!$B$6:$B$505,Movimientos!$D$6:$D$505,""&gt;""&amp;prevDate,Movimientos!$D$6:$D$505,""&lt;=""&amp;A89,Movimientos!$C$6:$C$505,""Fecha inferida*""),net,B89-flow,IF(OR(gap&lt;1,unknown&gt;0,prevValue&lt;=0,net&lt;=0),"""",(POWER(net/prevValue,1/gap)-1)*1"&amp;"00)),""""))"),"")</f>
        <v/>
      </c>
      <c r="E89" s="95" t="str">
        <f t="shared" si="0"/>
        <v/>
      </c>
    </row>
    <row r="90" spans="1:5" x14ac:dyDescent="0.25">
      <c r="A90" s="92">
        <v>46111</v>
      </c>
      <c r="B90" s="93" t="str">
        <f>IF(Diario!B94="","",Diario!B94)</f>
        <v/>
      </c>
      <c r="C90" s="93">
        <f>SUMIFS(Movimientos!$B$6:$B$505,Movimientos!$D$6:$D$505,A90,Movimientos!$E$6:$E$505,TRUE)</f>
        <v>0</v>
      </c>
      <c r="D90" s="94" t="str">
        <f ca="1">IFERROR(__xludf.DUMMYFUNCTION("IF(OR(B90="""",A90&gt;TODAY(),E90=""Histórico mensual"",E90=""Base diaria""),"""",IFERROR(LET(prevDate,MAX(FILTER($A$2:A89,$B$2:B89&lt;&gt;"""",$A$2:A89&lt;A90)),prevValue,XLOOKUP(prevDate,$A$2:A89,$B$2:B89),gap,A90-prevDate,unknown,COUNTIFS(Movimientos!$D$6:$D$505,"&amp;"""&gt;""&amp;prevDate,Movimientos!$D$6:$D$505,""&lt;=""&amp;A90,Movimientos!$E$6:$E$505,FALSE,Movimientos!$C$6:$C$505,""&lt;&gt;Fecha inferida*""),flow,SUMIFS(Movimientos!$B$6:$B$505,Movimientos!$D$6:$D$505,""&gt;""&amp;prevDate,Movimientos!$D$6:$D$505,""&lt;=""&amp;A90,Movimientos!$E$6:$"&amp;"E$505,TRUE)+SUMIFS(Movimientos!$B$6:$B$505,Movimientos!$D$6:$D$505,""&gt;""&amp;prevDate,Movimientos!$D$6:$D$505,""&lt;=""&amp;A90,Movimientos!$C$6:$C$505,""Fecha inferida*""),net,B90-flow,IF(OR(gap&lt;1,unknown&gt;0,prevValue&lt;=0,net&lt;=0),"""",(POWER(net/prevValue,1/gap)-1)*1"&amp;"00)),""""))"),"")</f>
        <v/>
      </c>
      <c r="E90" s="95" t="str">
        <f t="shared" si="0"/>
        <v/>
      </c>
    </row>
    <row r="91" spans="1:5" x14ac:dyDescent="0.25">
      <c r="A91" s="92">
        <v>46112</v>
      </c>
      <c r="B91" s="93">
        <f>IF(Diario!B95="","",Diario!B95)</f>
        <v>72950</v>
      </c>
      <c r="C91" s="93">
        <f>SUMIFS(Movimientos!$B$6:$B$505,Movimientos!$D$6:$D$505,A91,Movimientos!$E$6:$E$505,TRUE)</f>
        <v>600</v>
      </c>
      <c r="D91" s="94" t="str">
        <f ca="1">IFERROR(__xludf.DUMMYFUNCTION("IF(OR(B91="""",A91&gt;TODAY(),E91=""Histórico mensual"",E91=""Base diaria""),"""",IFERROR(LET(prevDate,MAX(FILTER($A$2:A90,$B$2:B90&lt;&gt;"""",$A$2:A90&lt;A91)),prevValue,XLOOKUP(prevDate,$A$2:A90,$B$2:B90),gap,A91-prevDate,unknown,COUNTIFS(Movimientos!$D$6:$D$505,"&amp;"""&gt;""&amp;prevDate,Movimientos!$D$6:$D$505,""&lt;=""&amp;A91,Movimientos!$E$6:$E$505,FALSE,Movimientos!$C$6:$C$505,""&lt;&gt;Fecha inferida*""),flow,SUMIFS(Movimientos!$B$6:$B$505,Movimientos!$D$6:$D$505,""&gt;""&amp;prevDate,Movimientos!$D$6:$D$505,""&lt;=""&amp;A91,Movimientos!$E$6:$"&amp;"E$505,TRUE)+SUMIFS(Movimientos!$B$6:$B$505,Movimientos!$D$6:$D$505,""&gt;""&amp;prevDate,Movimientos!$D$6:$D$505,""&lt;=""&amp;A91,Movimientos!$C$6:$C$505,""Fecha inferida*""),net,B91-flow,IF(OR(gap&lt;1,unknown&gt;0,prevValue&lt;=0,net&lt;=0),"""",(POWER(net/prevValue,1/gap)-1)*1"&amp;"00)),""""))"),"")</f>
        <v/>
      </c>
      <c r="E91" s="95" t="str">
        <f t="shared" si="0"/>
        <v>Histórico mensual</v>
      </c>
    </row>
    <row r="92" spans="1:5" x14ac:dyDescent="0.25">
      <c r="A92" s="92">
        <v>46113</v>
      </c>
      <c r="B92" s="93" t="str">
        <f>IF(Diario!B96="","",Diario!B96)</f>
        <v/>
      </c>
      <c r="C92" s="93">
        <f>SUMIFS(Movimientos!$B$6:$B$505,Movimientos!$D$6:$D$505,A92,Movimientos!$E$6:$E$505,TRUE)</f>
        <v>0</v>
      </c>
      <c r="D92" s="94" t="str">
        <f ca="1">IFERROR(__xludf.DUMMYFUNCTION("IF(OR(B92="""",A92&gt;TODAY(),E92=""Histórico mensual"",E92=""Base diaria""),"""",IFERROR(LET(prevDate,MAX(FILTER($A$2:A91,$B$2:B91&lt;&gt;"""",$A$2:A91&lt;A92)),prevValue,XLOOKUP(prevDate,$A$2:A91,$B$2:B91),gap,A92-prevDate,unknown,COUNTIFS(Movimientos!$D$6:$D$505,"&amp;"""&gt;""&amp;prevDate,Movimientos!$D$6:$D$505,""&lt;=""&amp;A92,Movimientos!$E$6:$E$505,FALSE,Movimientos!$C$6:$C$505,""&lt;&gt;Fecha inferida*""),flow,SUMIFS(Movimientos!$B$6:$B$505,Movimientos!$D$6:$D$505,""&gt;""&amp;prevDate,Movimientos!$D$6:$D$505,""&lt;=""&amp;A92,Movimientos!$E$6:$"&amp;"E$505,TRUE)+SUMIFS(Movimientos!$B$6:$B$505,Movimientos!$D$6:$D$505,""&gt;""&amp;prevDate,Movimientos!$D$6:$D$505,""&lt;=""&amp;A92,Movimientos!$C$6:$C$505,""Fecha inferida*""),net,B92-flow,IF(OR(gap&lt;1,unknown&gt;0,prevValue&lt;=0,net&lt;=0),"""",(POWER(net/prevValue,1/gap)-1)*1"&amp;"00)),""""))"),"")</f>
        <v/>
      </c>
      <c r="E92" s="95" t="str">
        <f t="shared" si="0"/>
        <v/>
      </c>
    </row>
    <row r="93" spans="1:5" x14ac:dyDescent="0.25">
      <c r="A93" s="92">
        <v>46114</v>
      </c>
      <c r="B93" s="93" t="str">
        <f>IF(Diario!B97="","",Diario!B97)</f>
        <v/>
      </c>
      <c r="C93" s="93">
        <f>SUMIFS(Movimientos!$B$6:$B$505,Movimientos!$D$6:$D$505,A93,Movimientos!$E$6:$E$505,TRUE)</f>
        <v>0</v>
      </c>
      <c r="D93" s="94" t="str">
        <f ca="1">IFERROR(__xludf.DUMMYFUNCTION("IF(OR(B93="""",A93&gt;TODAY(),E93=""Histórico mensual"",E93=""Base diaria""),"""",IFERROR(LET(prevDate,MAX(FILTER($A$2:A92,$B$2:B92&lt;&gt;"""",$A$2:A92&lt;A93)),prevValue,XLOOKUP(prevDate,$A$2:A92,$B$2:B92),gap,A93-prevDate,unknown,COUNTIFS(Movimientos!$D$6:$D$505,"&amp;"""&gt;""&amp;prevDate,Movimientos!$D$6:$D$505,""&lt;=""&amp;A93,Movimientos!$E$6:$E$505,FALSE,Movimientos!$C$6:$C$505,""&lt;&gt;Fecha inferida*""),flow,SUMIFS(Movimientos!$B$6:$B$505,Movimientos!$D$6:$D$505,""&gt;""&amp;prevDate,Movimientos!$D$6:$D$505,""&lt;=""&amp;A93,Movimientos!$E$6:$"&amp;"E$505,TRUE)+SUMIFS(Movimientos!$B$6:$B$505,Movimientos!$D$6:$D$505,""&gt;""&amp;prevDate,Movimientos!$D$6:$D$505,""&lt;=""&amp;A93,Movimientos!$C$6:$C$505,""Fecha inferida*""),net,B93-flow,IF(OR(gap&lt;1,unknown&gt;0,prevValue&lt;=0,net&lt;=0),"""",(POWER(net/prevValue,1/gap)-1)*1"&amp;"00)),""""))"),"")</f>
        <v/>
      </c>
      <c r="E93" s="95" t="str">
        <f t="shared" si="0"/>
        <v/>
      </c>
    </row>
    <row r="94" spans="1:5" x14ac:dyDescent="0.25">
      <c r="A94" s="92">
        <v>46115</v>
      </c>
      <c r="B94" s="93" t="str">
        <f>IF(Diario!B98="","",Diario!B98)</f>
        <v/>
      </c>
      <c r="C94" s="93">
        <f>SUMIFS(Movimientos!$B$6:$B$505,Movimientos!$D$6:$D$505,A94,Movimientos!$E$6:$E$505,TRUE)</f>
        <v>0</v>
      </c>
      <c r="D94" s="94" t="str">
        <f ca="1">IFERROR(__xludf.DUMMYFUNCTION("IF(OR(B94="""",A94&gt;TODAY(),E94=""Histórico mensual"",E94=""Base diaria""),"""",IFERROR(LET(prevDate,MAX(FILTER($A$2:A93,$B$2:B93&lt;&gt;"""",$A$2:A93&lt;A94)),prevValue,XLOOKUP(prevDate,$A$2:A93,$B$2:B93),gap,A94-prevDate,unknown,COUNTIFS(Movimientos!$D$6:$D$505,"&amp;"""&gt;""&amp;prevDate,Movimientos!$D$6:$D$505,""&lt;=""&amp;A94,Movimientos!$E$6:$E$505,FALSE,Movimientos!$C$6:$C$505,""&lt;&gt;Fecha inferida*""),flow,SUMIFS(Movimientos!$B$6:$B$505,Movimientos!$D$6:$D$505,""&gt;""&amp;prevDate,Movimientos!$D$6:$D$505,""&lt;=""&amp;A94,Movimientos!$E$6:$"&amp;"E$505,TRUE)+SUMIFS(Movimientos!$B$6:$B$505,Movimientos!$D$6:$D$505,""&gt;""&amp;prevDate,Movimientos!$D$6:$D$505,""&lt;=""&amp;A94,Movimientos!$C$6:$C$505,""Fecha inferida*""),net,B94-flow,IF(OR(gap&lt;1,unknown&gt;0,prevValue&lt;=0,net&lt;=0),"""",(POWER(net/prevValue,1/gap)-1)*1"&amp;"00)),""""))"),"")</f>
        <v/>
      </c>
      <c r="E94" s="95" t="str">
        <f t="shared" si="0"/>
        <v/>
      </c>
    </row>
    <row r="95" spans="1:5" x14ac:dyDescent="0.25">
      <c r="A95" s="92">
        <v>46116</v>
      </c>
      <c r="B95" s="93" t="str">
        <f>IF(Diario!B99="","",Diario!B99)</f>
        <v/>
      </c>
      <c r="C95" s="93">
        <f>SUMIFS(Movimientos!$B$6:$B$505,Movimientos!$D$6:$D$505,A95,Movimientos!$E$6:$E$505,TRUE)</f>
        <v>0</v>
      </c>
      <c r="D95" s="94" t="str">
        <f ca="1">IFERROR(__xludf.DUMMYFUNCTION("IF(OR(B95="""",A95&gt;TODAY(),E95=""Histórico mensual"",E95=""Base diaria""),"""",IFERROR(LET(prevDate,MAX(FILTER($A$2:A94,$B$2:B94&lt;&gt;"""",$A$2:A94&lt;A95)),prevValue,XLOOKUP(prevDate,$A$2:A94,$B$2:B94),gap,A95-prevDate,unknown,COUNTIFS(Movimientos!$D$6:$D$505,"&amp;"""&gt;""&amp;prevDate,Movimientos!$D$6:$D$505,""&lt;=""&amp;A95,Movimientos!$E$6:$E$505,FALSE,Movimientos!$C$6:$C$505,""&lt;&gt;Fecha inferida*""),flow,SUMIFS(Movimientos!$B$6:$B$505,Movimientos!$D$6:$D$505,""&gt;""&amp;prevDate,Movimientos!$D$6:$D$505,""&lt;=""&amp;A95,Movimientos!$E$6:$"&amp;"E$505,TRUE)+SUMIFS(Movimientos!$B$6:$B$505,Movimientos!$D$6:$D$505,""&gt;""&amp;prevDate,Movimientos!$D$6:$D$505,""&lt;=""&amp;A95,Movimientos!$C$6:$C$505,""Fecha inferida*""),net,B95-flow,IF(OR(gap&lt;1,unknown&gt;0,prevValue&lt;=0,net&lt;=0),"""",(POWER(net/prevValue,1/gap)-1)*1"&amp;"00)),""""))"),"")</f>
        <v/>
      </c>
      <c r="E95" s="95" t="str">
        <f t="shared" si="0"/>
        <v/>
      </c>
    </row>
    <row r="96" spans="1:5" x14ac:dyDescent="0.25">
      <c r="A96" s="92">
        <v>46117</v>
      </c>
      <c r="B96" s="93" t="str">
        <f>IF(Diario!B100="","",Diario!B100)</f>
        <v/>
      </c>
      <c r="C96" s="93">
        <f>SUMIFS(Movimientos!$B$6:$B$505,Movimientos!$D$6:$D$505,A96,Movimientos!$E$6:$E$505,TRUE)</f>
        <v>0</v>
      </c>
      <c r="D96" s="94" t="str">
        <f ca="1">IFERROR(__xludf.DUMMYFUNCTION("IF(OR(B96="""",A96&gt;TODAY(),E96=""Histórico mensual"",E96=""Base diaria""),"""",IFERROR(LET(prevDate,MAX(FILTER($A$2:A95,$B$2:B95&lt;&gt;"""",$A$2:A95&lt;A96)),prevValue,XLOOKUP(prevDate,$A$2:A95,$B$2:B95),gap,A96-prevDate,unknown,COUNTIFS(Movimientos!$D$6:$D$505,"&amp;"""&gt;""&amp;prevDate,Movimientos!$D$6:$D$505,""&lt;=""&amp;A96,Movimientos!$E$6:$E$505,FALSE,Movimientos!$C$6:$C$505,""&lt;&gt;Fecha inferida*""),flow,SUMIFS(Movimientos!$B$6:$B$505,Movimientos!$D$6:$D$505,""&gt;""&amp;prevDate,Movimientos!$D$6:$D$505,""&lt;=""&amp;A96,Movimientos!$E$6:$"&amp;"E$505,TRUE)+SUMIFS(Movimientos!$B$6:$B$505,Movimientos!$D$6:$D$505,""&gt;""&amp;prevDate,Movimientos!$D$6:$D$505,""&lt;=""&amp;A96,Movimientos!$C$6:$C$505,""Fecha inferida*""),net,B96-flow,IF(OR(gap&lt;1,unknown&gt;0,prevValue&lt;=0,net&lt;=0),"""",(POWER(net/prevValue,1/gap)-1)*1"&amp;"00)),""""))"),"")</f>
        <v/>
      </c>
      <c r="E96" s="95" t="str">
        <f t="shared" si="0"/>
        <v/>
      </c>
    </row>
    <row r="97" spans="1:5" x14ac:dyDescent="0.25">
      <c r="A97" s="92">
        <v>46118</v>
      </c>
      <c r="B97" s="93" t="str">
        <f>IF(Diario!B101="","",Diario!B101)</f>
        <v/>
      </c>
      <c r="C97" s="93">
        <f>SUMIFS(Movimientos!$B$6:$B$505,Movimientos!$D$6:$D$505,A97,Movimientos!$E$6:$E$505,TRUE)</f>
        <v>0</v>
      </c>
      <c r="D97" s="94" t="str">
        <f ca="1">IFERROR(__xludf.DUMMYFUNCTION("IF(OR(B97="""",A97&gt;TODAY(),E97=""Histórico mensual"",E97=""Base diaria""),"""",IFERROR(LET(prevDate,MAX(FILTER($A$2:A96,$B$2:B96&lt;&gt;"""",$A$2:A96&lt;A97)),prevValue,XLOOKUP(prevDate,$A$2:A96,$B$2:B96),gap,A97-prevDate,unknown,COUNTIFS(Movimientos!$D$6:$D$505,"&amp;"""&gt;""&amp;prevDate,Movimientos!$D$6:$D$505,""&lt;=""&amp;A97,Movimientos!$E$6:$E$505,FALSE,Movimientos!$C$6:$C$505,""&lt;&gt;Fecha inferida*""),flow,SUMIFS(Movimientos!$B$6:$B$505,Movimientos!$D$6:$D$505,""&gt;""&amp;prevDate,Movimientos!$D$6:$D$505,""&lt;=""&amp;A97,Movimientos!$E$6:$"&amp;"E$505,TRUE)+SUMIFS(Movimientos!$B$6:$B$505,Movimientos!$D$6:$D$505,""&gt;""&amp;prevDate,Movimientos!$D$6:$D$505,""&lt;=""&amp;A97,Movimientos!$C$6:$C$505,""Fecha inferida*""),net,B97-flow,IF(OR(gap&lt;1,unknown&gt;0,prevValue&lt;=0,net&lt;=0),"""",(POWER(net/prevValue,1/gap)-1)*1"&amp;"00)),""""))"),"")</f>
        <v/>
      </c>
      <c r="E97" s="95" t="str">
        <f t="shared" si="0"/>
        <v/>
      </c>
    </row>
    <row r="98" spans="1:5" x14ac:dyDescent="0.25">
      <c r="A98" s="92">
        <v>46119</v>
      </c>
      <c r="B98" s="93" t="str">
        <f>IF(Diario!B102="","",Diario!B102)</f>
        <v/>
      </c>
      <c r="C98" s="93">
        <f>SUMIFS(Movimientos!$B$6:$B$505,Movimientos!$D$6:$D$505,A98,Movimientos!$E$6:$E$505,TRUE)</f>
        <v>0</v>
      </c>
      <c r="D98" s="94" t="str">
        <f ca="1">IFERROR(__xludf.DUMMYFUNCTION("IF(OR(B98="""",A98&gt;TODAY(),E98=""Histórico mensual"",E98=""Base diaria""),"""",IFERROR(LET(prevDate,MAX(FILTER($A$2:A97,$B$2:B97&lt;&gt;"""",$A$2:A97&lt;A98)),prevValue,XLOOKUP(prevDate,$A$2:A97,$B$2:B97),gap,A98-prevDate,unknown,COUNTIFS(Movimientos!$D$6:$D$505,"&amp;"""&gt;""&amp;prevDate,Movimientos!$D$6:$D$505,""&lt;=""&amp;A98,Movimientos!$E$6:$E$505,FALSE,Movimientos!$C$6:$C$505,""&lt;&gt;Fecha inferida*""),flow,SUMIFS(Movimientos!$B$6:$B$505,Movimientos!$D$6:$D$505,""&gt;""&amp;prevDate,Movimientos!$D$6:$D$505,""&lt;=""&amp;A98,Movimientos!$E$6:$"&amp;"E$505,TRUE)+SUMIFS(Movimientos!$B$6:$B$505,Movimientos!$D$6:$D$505,""&gt;""&amp;prevDate,Movimientos!$D$6:$D$505,""&lt;=""&amp;A98,Movimientos!$C$6:$C$505,""Fecha inferida*""),net,B98-flow,IF(OR(gap&lt;1,unknown&gt;0,prevValue&lt;=0,net&lt;=0),"""",(POWER(net/prevValue,1/gap)-1)*1"&amp;"00)),""""))"),"")</f>
        <v/>
      </c>
      <c r="E98" s="95" t="str">
        <f t="shared" si="0"/>
        <v/>
      </c>
    </row>
    <row r="99" spans="1:5" x14ac:dyDescent="0.25">
      <c r="A99" s="92">
        <v>46120</v>
      </c>
      <c r="B99" s="93" t="str">
        <f>IF(Diario!B103="","",Diario!B103)</f>
        <v/>
      </c>
      <c r="C99" s="93">
        <f>SUMIFS(Movimientos!$B$6:$B$505,Movimientos!$D$6:$D$505,A99,Movimientos!$E$6:$E$505,TRUE)</f>
        <v>0</v>
      </c>
      <c r="D99" s="94" t="str">
        <f ca="1">IFERROR(__xludf.DUMMYFUNCTION("IF(OR(B99="""",A99&gt;TODAY(),E99=""Histórico mensual"",E99=""Base diaria""),"""",IFERROR(LET(prevDate,MAX(FILTER($A$2:A98,$B$2:B98&lt;&gt;"""",$A$2:A98&lt;A99)),prevValue,XLOOKUP(prevDate,$A$2:A98,$B$2:B98),gap,A99-prevDate,unknown,COUNTIFS(Movimientos!$D$6:$D$505,"&amp;"""&gt;""&amp;prevDate,Movimientos!$D$6:$D$505,""&lt;=""&amp;A99,Movimientos!$E$6:$E$505,FALSE,Movimientos!$C$6:$C$505,""&lt;&gt;Fecha inferida*""),flow,SUMIFS(Movimientos!$B$6:$B$505,Movimientos!$D$6:$D$505,""&gt;""&amp;prevDate,Movimientos!$D$6:$D$505,""&lt;=""&amp;A99,Movimientos!$E$6:$"&amp;"E$505,TRUE)+SUMIFS(Movimientos!$B$6:$B$505,Movimientos!$D$6:$D$505,""&gt;""&amp;prevDate,Movimientos!$D$6:$D$505,""&lt;=""&amp;A99,Movimientos!$C$6:$C$505,""Fecha inferida*""),net,B99-flow,IF(OR(gap&lt;1,unknown&gt;0,prevValue&lt;=0,net&lt;=0),"""",(POWER(net/prevValue,1/gap)-1)*1"&amp;"00)),""""))"),"")</f>
        <v/>
      </c>
      <c r="E99" s="95" t="str">
        <f t="shared" si="0"/>
        <v/>
      </c>
    </row>
    <row r="100" spans="1:5" x14ac:dyDescent="0.25">
      <c r="A100" s="92">
        <v>46121</v>
      </c>
      <c r="B100" s="93" t="str">
        <f>IF(Diario!B104="","",Diario!B104)</f>
        <v/>
      </c>
      <c r="C100" s="93">
        <f>SUMIFS(Movimientos!$B$6:$B$505,Movimientos!$D$6:$D$505,A100,Movimientos!$E$6:$E$505,TRUE)</f>
        <v>0</v>
      </c>
      <c r="D100" s="94" t="str">
        <f ca="1">IFERROR(__xludf.DUMMYFUNCTION("IF(OR(B100="""",A100&gt;TODAY(),E100=""Histórico mensual"",E100=""Base diaria""),"""",IFERROR(LET(prevDate,MAX(FILTER($A$2:A99,$B$2:B99&lt;&gt;"""",$A$2:A99&lt;A100)),prevValue,XLOOKUP(prevDate,$A$2:A99,$B$2:B99),gap,A100-prevDate,unknown,COUNTIFS(Movimientos!$D$6:$D"&amp;"$505,""&gt;""&amp;prevDate,Movimientos!$D$6:$D$505,""&lt;=""&amp;A100,Movimientos!$E$6:$E$505,FALSE,Movimientos!$C$6:$C$505,""&lt;&gt;Fecha inferida*""),flow,SUMIFS(Movimientos!$B$6:$B$505,Movimientos!$D$6:$D$505,""&gt;""&amp;prevDate,Movimientos!$D$6:$D$505,""&lt;=""&amp;A100,Movimientos"&amp;"!$E$6:$E$505,TRUE)+SUMIFS(Movimientos!$B$6:$B$505,Movimientos!$D$6:$D$505,""&gt;""&amp;prevDate,Movimientos!$D$6:$D$505,""&lt;=""&amp;A100,Movimientos!$C$6:$C$505,""Fecha inferida*""),net,B100-flow,IF(OR(gap&lt;1,unknown&gt;0,prevValue&lt;=0,net&lt;=0),"""",(POWER(net/prevValue,1/"&amp;"gap)-1)*100)),""""))"),"")</f>
        <v/>
      </c>
      <c r="E100" s="95" t="str">
        <f t="shared" si="0"/>
        <v/>
      </c>
    </row>
    <row r="101" spans="1:5" x14ac:dyDescent="0.25">
      <c r="A101" s="92">
        <v>46122</v>
      </c>
      <c r="B101" s="93" t="str">
        <f>IF(Diario!B105="","",Diario!B105)</f>
        <v/>
      </c>
      <c r="C101" s="93">
        <f>SUMIFS(Movimientos!$B$6:$B$505,Movimientos!$D$6:$D$505,A101,Movimientos!$E$6:$E$505,TRUE)</f>
        <v>0</v>
      </c>
      <c r="D101" s="94" t="str">
        <f ca="1">IFERROR(__xludf.DUMMYFUNCTION("IF(OR(B101="""",A101&gt;TODAY(),E101=""Histórico mensual"",E101=""Base diaria""),"""",IFERROR(LET(prevDate,MAX(FILTER($A$2:A100,$B$2:B100&lt;&gt;"""",$A$2:A100&lt;A101)),prevValue,XLOOKUP(prevDate,$A$2:A100,$B$2:B100),gap,A101-prevDate,unknown,COUNTIFS(Movimientos!$D"&amp;"$6:$D$505,""&gt;""&amp;prevDate,Movimientos!$D$6:$D$505,""&lt;=""&amp;A101,Movimientos!$E$6:$E$505,FALSE,Movimientos!$C$6:$C$505,""&lt;&gt;Fecha inferida*""),flow,SUMIFS(Movimientos!$B$6:$B$505,Movimientos!$D$6:$D$505,""&gt;""&amp;prevDate,Movimientos!$D$6:$D$505,""&lt;=""&amp;A101,Movimi"&amp;"entos!$E$6:$E$505,TRUE)+SUMIFS(Movimientos!$B$6:$B$505,Movimientos!$D$6:$D$505,""&gt;""&amp;prevDate,Movimientos!$D$6:$D$505,""&lt;=""&amp;A101,Movimientos!$C$6:$C$505,""Fecha inferida*""),net,B101-flow,IF(OR(gap&lt;1,unknown&gt;0,prevValue&lt;=0,net&lt;=0),"""",(POWER(net/prevVal"&amp;"ue,1/gap)-1)*100)),""""))"),"")</f>
        <v/>
      </c>
      <c r="E101" s="95" t="str">
        <f t="shared" si="0"/>
        <v/>
      </c>
    </row>
    <row r="102" spans="1:5" x14ac:dyDescent="0.25">
      <c r="A102" s="92">
        <v>46123</v>
      </c>
      <c r="B102" s="93" t="str">
        <f>IF(Diario!B106="","",Diario!B106)</f>
        <v/>
      </c>
      <c r="C102" s="93">
        <f>SUMIFS(Movimientos!$B$6:$B$505,Movimientos!$D$6:$D$505,A102,Movimientos!$E$6:$E$505,TRUE)</f>
        <v>0</v>
      </c>
      <c r="D102" s="94" t="str">
        <f ca="1">IFERROR(__xludf.DUMMYFUNCTION("IF(OR(B102="""",A102&gt;TODAY(),E102=""Histórico mensual"",E102=""Base diaria""),"""",IFERROR(LET(prevDate,MAX(FILTER($A$2:A101,$B$2:B101&lt;&gt;"""",$A$2:A101&lt;A102)),prevValue,XLOOKUP(prevDate,$A$2:A101,$B$2:B101),gap,A102-prevDate,unknown,COUNTIFS(Movimientos!$D"&amp;"$6:$D$505,""&gt;""&amp;prevDate,Movimientos!$D$6:$D$505,""&lt;=""&amp;A102,Movimientos!$E$6:$E$505,FALSE,Movimientos!$C$6:$C$505,""&lt;&gt;Fecha inferida*""),flow,SUMIFS(Movimientos!$B$6:$B$505,Movimientos!$D$6:$D$505,""&gt;""&amp;prevDate,Movimientos!$D$6:$D$505,""&lt;=""&amp;A102,Movimi"&amp;"entos!$E$6:$E$505,TRUE)+SUMIFS(Movimientos!$B$6:$B$505,Movimientos!$D$6:$D$505,""&gt;""&amp;prevDate,Movimientos!$D$6:$D$505,""&lt;=""&amp;A102,Movimientos!$C$6:$C$505,""Fecha inferida*""),net,B102-flow,IF(OR(gap&lt;1,unknown&gt;0,prevValue&lt;=0,net&lt;=0),"""",(POWER(net/prevVal"&amp;"ue,1/gap)-1)*100)),""""))"),"")</f>
        <v/>
      </c>
      <c r="E102" s="95" t="str">
        <f t="shared" si="0"/>
        <v/>
      </c>
    </row>
    <row r="103" spans="1:5" x14ac:dyDescent="0.25">
      <c r="A103" s="92">
        <v>46124</v>
      </c>
      <c r="B103" s="93" t="str">
        <f>IF(Diario!B107="","",Diario!B107)</f>
        <v/>
      </c>
      <c r="C103" s="93">
        <f>SUMIFS(Movimientos!$B$6:$B$505,Movimientos!$D$6:$D$505,A103,Movimientos!$E$6:$E$505,TRUE)</f>
        <v>0</v>
      </c>
      <c r="D103" s="94" t="str">
        <f ca="1">IFERROR(__xludf.DUMMYFUNCTION("IF(OR(B103="""",A103&gt;TODAY(),E103=""Histórico mensual"",E103=""Base diaria""),"""",IFERROR(LET(prevDate,MAX(FILTER($A$2:A102,$B$2:B102&lt;&gt;"""",$A$2:A102&lt;A103)),prevValue,XLOOKUP(prevDate,$A$2:A102,$B$2:B102),gap,A103-prevDate,unknown,COUNTIFS(Movimientos!$D"&amp;"$6:$D$505,""&gt;""&amp;prevDate,Movimientos!$D$6:$D$505,""&lt;=""&amp;A103,Movimientos!$E$6:$E$505,FALSE,Movimientos!$C$6:$C$505,""&lt;&gt;Fecha inferida*""),flow,SUMIFS(Movimientos!$B$6:$B$505,Movimientos!$D$6:$D$505,""&gt;""&amp;prevDate,Movimientos!$D$6:$D$505,""&lt;=""&amp;A103,Movimi"&amp;"entos!$E$6:$E$505,TRUE)+SUMIFS(Movimientos!$B$6:$B$505,Movimientos!$D$6:$D$505,""&gt;""&amp;prevDate,Movimientos!$D$6:$D$505,""&lt;=""&amp;A103,Movimientos!$C$6:$C$505,""Fecha inferida*""),net,B103-flow,IF(OR(gap&lt;1,unknown&gt;0,prevValue&lt;=0,net&lt;=0),"""",(POWER(net/prevVal"&amp;"ue,1/gap)-1)*100)),""""))"),"")</f>
        <v/>
      </c>
      <c r="E103" s="95" t="str">
        <f t="shared" si="0"/>
        <v/>
      </c>
    </row>
    <row r="104" spans="1:5" x14ac:dyDescent="0.25">
      <c r="A104" s="92">
        <v>46125</v>
      </c>
      <c r="B104" s="93" t="str">
        <f>IF(Diario!B108="","",Diario!B108)</f>
        <v/>
      </c>
      <c r="C104" s="93">
        <f>SUMIFS(Movimientos!$B$6:$B$505,Movimientos!$D$6:$D$505,A104,Movimientos!$E$6:$E$505,TRUE)</f>
        <v>0</v>
      </c>
      <c r="D104" s="94" t="str">
        <f ca="1">IFERROR(__xludf.DUMMYFUNCTION("IF(OR(B104="""",A104&gt;TODAY(),E104=""Histórico mensual"",E104=""Base diaria""),"""",IFERROR(LET(prevDate,MAX(FILTER($A$2:A103,$B$2:B103&lt;&gt;"""",$A$2:A103&lt;A104)),prevValue,XLOOKUP(prevDate,$A$2:A103,$B$2:B103),gap,A104-prevDate,unknown,COUNTIFS(Movimientos!$D"&amp;"$6:$D$505,""&gt;""&amp;prevDate,Movimientos!$D$6:$D$505,""&lt;=""&amp;A104,Movimientos!$E$6:$E$505,FALSE,Movimientos!$C$6:$C$505,""&lt;&gt;Fecha inferida*""),flow,SUMIFS(Movimientos!$B$6:$B$505,Movimientos!$D$6:$D$505,""&gt;""&amp;prevDate,Movimientos!$D$6:$D$505,""&lt;=""&amp;A104,Movimi"&amp;"entos!$E$6:$E$505,TRUE)+SUMIFS(Movimientos!$B$6:$B$505,Movimientos!$D$6:$D$505,""&gt;""&amp;prevDate,Movimientos!$D$6:$D$505,""&lt;=""&amp;A104,Movimientos!$C$6:$C$505,""Fecha inferida*""),net,B104-flow,IF(OR(gap&lt;1,unknown&gt;0,prevValue&lt;=0,net&lt;=0),"""",(POWER(net/prevVal"&amp;"ue,1/gap)-1)*100)),""""))"),"")</f>
        <v/>
      </c>
      <c r="E104" s="95" t="str">
        <f t="shared" si="0"/>
        <v/>
      </c>
    </row>
    <row r="105" spans="1:5" x14ac:dyDescent="0.25">
      <c r="A105" s="92">
        <v>46126</v>
      </c>
      <c r="B105" s="93" t="str">
        <f>IF(Diario!B109="","",Diario!B109)</f>
        <v/>
      </c>
      <c r="C105" s="93">
        <f>SUMIFS(Movimientos!$B$6:$B$505,Movimientos!$D$6:$D$505,A105,Movimientos!$E$6:$E$505,TRUE)</f>
        <v>0</v>
      </c>
      <c r="D105" s="94" t="str">
        <f ca="1">IFERROR(__xludf.DUMMYFUNCTION("IF(OR(B105="""",A105&gt;TODAY(),E105=""Histórico mensual"",E105=""Base diaria""),"""",IFERROR(LET(prevDate,MAX(FILTER($A$2:A104,$B$2:B104&lt;&gt;"""",$A$2:A104&lt;A105)),prevValue,XLOOKUP(prevDate,$A$2:A104,$B$2:B104),gap,A105-prevDate,unknown,COUNTIFS(Movimientos!$D"&amp;"$6:$D$505,""&gt;""&amp;prevDate,Movimientos!$D$6:$D$505,""&lt;=""&amp;A105,Movimientos!$E$6:$E$505,FALSE,Movimientos!$C$6:$C$505,""&lt;&gt;Fecha inferida*""),flow,SUMIFS(Movimientos!$B$6:$B$505,Movimientos!$D$6:$D$505,""&gt;""&amp;prevDate,Movimientos!$D$6:$D$505,""&lt;=""&amp;A105,Movimi"&amp;"entos!$E$6:$E$505,TRUE)+SUMIFS(Movimientos!$B$6:$B$505,Movimientos!$D$6:$D$505,""&gt;""&amp;prevDate,Movimientos!$D$6:$D$505,""&lt;=""&amp;A105,Movimientos!$C$6:$C$505,""Fecha inferida*""),net,B105-flow,IF(OR(gap&lt;1,unknown&gt;0,prevValue&lt;=0,net&lt;=0),"""",(POWER(net/prevVal"&amp;"ue,1/gap)-1)*100)),""""))"),"")</f>
        <v/>
      </c>
      <c r="E105" s="95" t="str">
        <f t="shared" si="0"/>
        <v/>
      </c>
    </row>
    <row r="106" spans="1:5" x14ac:dyDescent="0.25">
      <c r="A106" s="92">
        <v>46127</v>
      </c>
      <c r="B106" s="93" t="str">
        <f>IF(Diario!B110="","",Diario!B110)</f>
        <v/>
      </c>
      <c r="C106" s="93">
        <f>SUMIFS(Movimientos!$B$6:$B$505,Movimientos!$D$6:$D$505,A106,Movimientos!$E$6:$E$505,TRUE)</f>
        <v>0</v>
      </c>
      <c r="D106" s="94" t="str">
        <f ca="1">IFERROR(__xludf.DUMMYFUNCTION("IF(OR(B106="""",A106&gt;TODAY(),E106=""Histórico mensual"",E106=""Base diaria""),"""",IFERROR(LET(prevDate,MAX(FILTER($A$2:A105,$B$2:B105&lt;&gt;"""",$A$2:A105&lt;A106)),prevValue,XLOOKUP(prevDate,$A$2:A105,$B$2:B105),gap,A106-prevDate,unknown,COUNTIFS(Movimientos!$D"&amp;"$6:$D$505,""&gt;""&amp;prevDate,Movimientos!$D$6:$D$505,""&lt;=""&amp;A106,Movimientos!$E$6:$E$505,FALSE,Movimientos!$C$6:$C$505,""&lt;&gt;Fecha inferida*""),flow,SUMIFS(Movimientos!$B$6:$B$505,Movimientos!$D$6:$D$505,""&gt;""&amp;prevDate,Movimientos!$D$6:$D$505,""&lt;=""&amp;A106,Movimi"&amp;"entos!$E$6:$E$505,TRUE)+SUMIFS(Movimientos!$B$6:$B$505,Movimientos!$D$6:$D$505,""&gt;""&amp;prevDate,Movimientos!$D$6:$D$505,""&lt;=""&amp;A106,Movimientos!$C$6:$C$505,""Fecha inferida*""),net,B106-flow,IF(OR(gap&lt;1,unknown&gt;0,prevValue&lt;=0,net&lt;=0),"""",(POWER(net/prevVal"&amp;"ue,1/gap)-1)*100)),""""))"),"")</f>
        <v/>
      </c>
      <c r="E106" s="95" t="str">
        <f t="shared" si="0"/>
        <v/>
      </c>
    </row>
    <row r="107" spans="1:5" x14ac:dyDescent="0.25">
      <c r="A107" s="92">
        <v>46128</v>
      </c>
      <c r="B107" s="93" t="str">
        <f>IF(Diario!B111="","",Diario!B111)</f>
        <v/>
      </c>
      <c r="C107" s="93">
        <f>SUMIFS(Movimientos!$B$6:$B$505,Movimientos!$D$6:$D$505,A107,Movimientos!$E$6:$E$505,TRUE)</f>
        <v>0</v>
      </c>
      <c r="D107" s="94" t="str">
        <f ca="1">IFERROR(__xludf.DUMMYFUNCTION("IF(OR(B107="""",A107&gt;TODAY(),E107=""Histórico mensual"",E107=""Base diaria""),"""",IFERROR(LET(prevDate,MAX(FILTER($A$2:A106,$B$2:B106&lt;&gt;"""",$A$2:A106&lt;A107)),prevValue,XLOOKUP(prevDate,$A$2:A106,$B$2:B106),gap,A107-prevDate,unknown,COUNTIFS(Movimientos!$D"&amp;"$6:$D$505,""&gt;""&amp;prevDate,Movimientos!$D$6:$D$505,""&lt;=""&amp;A107,Movimientos!$E$6:$E$505,FALSE,Movimientos!$C$6:$C$505,""&lt;&gt;Fecha inferida*""),flow,SUMIFS(Movimientos!$B$6:$B$505,Movimientos!$D$6:$D$505,""&gt;""&amp;prevDate,Movimientos!$D$6:$D$505,""&lt;=""&amp;A107,Movimi"&amp;"entos!$E$6:$E$505,TRUE)+SUMIFS(Movimientos!$B$6:$B$505,Movimientos!$D$6:$D$505,""&gt;""&amp;prevDate,Movimientos!$D$6:$D$505,""&lt;=""&amp;A107,Movimientos!$C$6:$C$505,""Fecha inferida*""),net,B107-flow,IF(OR(gap&lt;1,unknown&gt;0,prevValue&lt;=0,net&lt;=0),"""",(POWER(net/prevVal"&amp;"ue,1/gap)-1)*100)),""""))"),"")</f>
        <v/>
      </c>
      <c r="E107" s="95" t="str">
        <f t="shared" si="0"/>
        <v/>
      </c>
    </row>
    <row r="108" spans="1:5" x14ac:dyDescent="0.25">
      <c r="A108" s="92">
        <v>46129</v>
      </c>
      <c r="B108" s="93" t="str">
        <f>IF(Diario!B112="","",Diario!B112)</f>
        <v/>
      </c>
      <c r="C108" s="93">
        <f>SUMIFS(Movimientos!$B$6:$B$505,Movimientos!$D$6:$D$505,A108,Movimientos!$E$6:$E$505,TRUE)</f>
        <v>0</v>
      </c>
      <c r="D108" s="94" t="str">
        <f ca="1">IFERROR(__xludf.DUMMYFUNCTION("IF(OR(B108="""",A108&gt;TODAY(),E108=""Histórico mensual"",E108=""Base diaria""),"""",IFERROR(LET(prevDate,MAX(FILTER($A$2:A107,$B$2:B107&lt;&gt;"""",$A$2:A107&lt;A108)),prevValue,XLOOKUP(prevDate,$A$2:A107,$B$2:B107),gap,A108-prevDate,unknown,COUNTIFS(Movimientos!$D"&amp;"$6:$D$505,""&gt;""&amp;prevDate,Movimientos!$D$6:$D$505,""&lt;=""&amp;A108,Movimientos!$E$6:$E$505,FALSE,Movimientos!$C$6:$C$505,""&lt;&gt;Fecha inferida*""),flow,SUMIFS(Movimientos!$B$6:$B$505,Movimientos!$D$6:$D$505,""&gt;""&amp;prevDate,Movimientos!$D$6:$D$505,""&lt;=""&amp;A108,Movimi"&amp;"entos!$E$6:$E$505,TRUE)+SUMIFS(Movimientos!$B$6:$B$505,Movimientos!$D$6:$D$505,""&gt;""&amp;prevDate,Movimientos!$D$6:$D$505,""&lt;=""&amp;A108,Movimientos!$C$6:$C$505,""Fecha inferida*""),net,B108-flow,IF(OR(gap&lt;1,unknown&gt;0,prevValue&lt;=0,net&lt;=0),"""",(POWER(net/prevVal"&amp;"ue,1/gap)-1)*100)),""""))"),"")</f>
        <v/>
      </c>
      <c r="E108" s="95" t="str">
        <f t="shared" si="0"/>
        <v/>
      </c>
    </row>
    <row r="109" spans="1:5" x14ac:dyDescent="0.25">
      <c r="A109" s="92">
        <v>46130</v>
      </c>
      <c r="B109" s="93" t="str">
        <f>IF(Diario!B113="","",Diario!B113)</f>
        <v/>
      </c>
      <c r="C109" s="93">
        <f>SUMIFS(Movimientos!$B$6:$B$505,Movimientos!$D$6:$D$505,A109,Movimientos!$E$6:$E$505,TRUE)</f>
        <v>0</v>
      </c>
      <c r="D109" s="94" t="str">
        <f ca="1">IFERROR(__xludf.DUMMYFUNCTION("IF(OR(B109="""",A109&gt;TODAY(),E109=""Histórico mensual"",E109=""Base diaria""),"""",IFERROR(LET(prevDate,MAX(FILTER($A$2:A108,$B$2:B108&lt;&gt;"""",$A$2:A108&lt;A109)),prevValue,XLOOKUP(prevDate,$A$2:A108,$B$2:B108),gap,A109-prevDate,unknown,COUNTIFS(Movimientos!$D"&amp;"$6:$D$505,""&gt;""&amp;prevDate,Movimientos!$D$6:$D$505,""&lt;=""&amp;A109,Movimientos!$E$6:$E$505,FALSE,Movimientos!$C$6:$C$505,""&lt;&gt;Fecha inferida*""),flow,SUMIFS(Movimientos!$B$6:$B$505,Movimientos!$D$6:$D$505,""&gt;""&amp;prevDate,Movimientos!$D$6:$D$505,""&lt;=""&amp;A109,Movimi"&amp;"entos!$E$6:$E$505,TRUE)+SUMIFS(Movimientos!$B$6:$B$505,Movimientos!$D$6:$D$505,""&gt;""&amp;prevDate,Movimientos!$D$6:$D$505,""&lt;=""&amp;A109,Movimientos!$C$6:$C$505,""Fecha inferida*""),net,B109-flow,IF(OR(gap&lt;1,unknown&gt;0,prevValue&lt;=0,net&lt;=0),"""",(POWER(net/prevVal"&amp;"ue,1/gap)-1)*100)),""""))"),"")</f>
        <v/>
      </c>
      <c r="E109" s="95" t="str">
        <f t="shared" si="0"/>
        <v/>
      </c>
    </row>
    <row r="110" spans="1:5" x14ac:dyDescent="0.25">
      <c r="A110" s="92">
        <v>46131</v>
      </c>
      <c r="B110" s="93" t="str">
        <f>IF(Diario!B114="","",Diario!B114)</f>
        <v/>
      </c>
      <c r="C110" s="93">
        <f>SUMIFS(Movimientos!$B$6:$B$505,Movimientos!$D$6:$D$505,A110,Movimientos!$E$6:$E$505,TRUE)</f>
        <v>0</v>
      </c>
      <c r="D110" s="94" t="str">
        <f ca="1">IFERROR(__xludf.DUMMYFUNCTION("IF(OR(B110="""",A110&gt;TODAY(),E110=""Histórico mensual"",E110=""Base diaria""),"""",IFERROR(LET(prevDate,MAX(FILTER($A$2:A109,$B$2:B109&lt;&gt;"""",$A$2:A109&lt;A110)),prevValue,XLOOKUP(prevDate,$A$2:A109,$B$2:B109),gap,A110-prevDate,unknown,COUNTIFS(Movimientos!$D"&amp;"$6:$D$505,""&gt;""&amp;prevDate,Movimientos!$D$6:$D$505,""&lt;=""&amp;A110,Movimientos!$E$6:$E$505,FALSE,Movimientos!$C$6:$C$505,""&lt;&gt;Fecha inferida*""),flow,SUMIFS(Movimientos!$B$6:$B$505,Movimientos!$D$6:$D$505,""&gt;""&amp;prevDate,Movimientos!$D$6:$D$505,""&lt;=""&amp;A110,Movimi"&amp;"entos!$E$6:$E$505,TRUE)+SUMIFS(Movimientos!$B$6:$B$505,Movimientos!$D$6:$D$505,""&gt;""&amp;prevDate,Movimientos!$D$6:$D$505,""&lt;=""&amp;A110,Movimientos!$C$6:$C$505,""Fecha inferida*""),net,B110-flow,IF(OR(gap&lt;1,unknown&gt;0,prevValue&lt;=0,net&lt;=0),"""",(POWER(net/prevVal"&amp;"ue,1/gap)-1)*100)),""""))"),"")</f>
        <v/>
      </c>
      <c r="E110" s="95" t="str">
        <f t="shared" si="0"/>
        <v/>
      </c>
    </row>
    <row r="111" spans="1:5" x14ac:dyDescent="0.25">
      <c r="A111" s="92">
        <v>46132</v>
      </c>
      <c r="B111" s="93" t="str">
        <f>IF(Diario!B115="","",Diario!B115)</f>
        <v/>
      </c>
      <c r="C111" s="93">
        <f>SUMIFS(Movimientos!$B$6:$B$505,Movimientos!$D$6:$D$505,A111,Movimientos!$E$6:$E$505,TRUE)</f>
        <v>0</v>
      </c>
      <c r="D111" s="94" t="str">
        <f ca="1">IFERROR(__xludf.DUMMYFUNCTION("IF(OR(B111="""",A111&gt;TODAY(),E111=""Histórico mensual"",E111=""Base diaria""),"""",IFERROR(LET(prevDate,MAX(FILTER($A$2:A110,$B$2:B110&lt;&gt;"""",$A$2:A110&lt;A111)),prevValue,XLOOKUP(prevDate,$A$2:A110,$B$2:B110),gap,A111-prevDate,unknown,COUNTIFS(Movimientos!$D"&amp;"$6:$D$505,""&gt;""&amp;prevDate,Movimientos!$D$6:$D$505,""&lt;=""&amp;A111,Movimientos!$E$6:$E$505,FALSE,Movimientos!$C$6:$C$505,""&lt;&gt;Fecha inferida*""),flow,SUMIFS(Movimientos!$B$6:$B$505,Movimientos!$D$6:$D$505,""&gt;""&amp;prevDate,Movimientos!$D$6:$D$505,""&lt;=""&amp;A111,Movimi"&amp;"entos!$E$6:$E$505,TRUE)+SUMIFS(Movimientos!$B$6:$B$505,Movimientos!$D$6:$D$505,""&gt;""&amp;prevDate,Movimientos!$D$6:$D$505,""&lt;=""&amp;A111,Movimientos!$C$6:$C$505,""Fecha inferida*""),net,B111-flow,IF(OR(gap&lt;1,unknown&gt;0,prevValue&lt;=0,net&lt;=0),"""",(POWER(net/prevVal"&amp;"ue,1/gap)-1)*100)),""""))"),"")</f>
        <v/>
      </c>
      <c r="E111" s="95" t="str">
        <f t="shared" si="0"/>
        <v/>
      </c>
    </row>
    <row r="112" spans="1:5" x14ac:dyDescent="0.25">
      <c r="A112" s="92">
        <v>46133</v>
      </c>
      <c r="B112" s="93" t="str">
        <f>IF(Diario!B116="","",Diario!B116)</f>
        <v/>
      </c>
      <c r="C112" s="93">
        <f>SUMIFS(Movimientos!$B$6:$B$505,Movimientos!$D$6:$D$505,A112,Movimientos!$E$6:$E$505,TRUE)</f>
        <v>0</v>
      </c>
      <c r="D112" s="94" t="str">
        <f ca="1">IFERROR(__xludf.DUMMYFUNCTION("IF(OR(B112="""",A112&gt;TODAY(),E112=""Histórico mensual"",E112=""Base diaria""),"""",IFERROR(LET(prevDate,MAX(FILTER($A$2:A111,$B$2:B111&lt;&gt;"""",$A$2:A111&lt;A112)),prevValue,XLOOKUP(prevDate,$A$2:A111,$B$2:B111),gap,A112-prevDate,unknown,COUNTIFS(Movimientos!$D"&amp;"$6:$D$505,""&gt;""&amp;prevDate,Movimientos!$D$6:$D$505,""&lt;=""&amp;A112,Movimientos!$E$6:$E$505,FALSE,Movimientos!$C$6:$C$505,""&lt;&gt;Fecha inferida*""),flow,SUMIFS(Movimientos!$B$6:$B$505,Movimientos!$D$6:$D$505,""&gt;""&amp;prevDate,Movimientos!$D$6:$D$505,""&lt;=""&amp;A112,Movimi"&amp;"entos!$E$6:$E$505,TRUE)+SUMIFS(Movimientos!$B$6:$B$505,Movimientos!$D$6:$D$505,""&gt;""&amp;prevDate,Movimientos!$D$6:$D$505,""&lt;=""&amp;A112,Movimientos!$C$6:$C$505,""Fecha inferida*""),net,B112-flow,IF(OR(gap&lt;1,unknown&gt;0,prevValue&lt;=0,net&lt;=0),"""",(POWER(net/prevVal"&amp;"ue,1/gap)-1)*100)),""""))"),"")</f>
        <v/>
      </c>
      <c r="E112" s="95" t="str">
        <f t="shared" si="0"/>
        <v/>
      </c>
    </row>
    <row r="113" spans="1:5" x14ac:dyDescent="0.25">
      <c r="A113" s="92">
        <v>46134</v>
      </c>
      <c r="B113" s="93" t="str">
        <f>IF(Diario!B117="","",Diario!B117)</f>
        <v/>
      </c>
      <c r="C113" s="93">
        <f>SUMIFS(Movimientos!$B$6:$B$505,Movimientos!$D$6:$D$505,A113,Movimientos!$E$6:$E$505,TRUE)</f>
        <v>0</v>
      </c>
      <c r="D113" s="94" t="str">
        <f ca="1">IFERROR(__xludf.DUMMYFUNCTION("IF(OR(B113="""",A113&gt;TODAY(),E113=""Histórico mensual"",E113=""Base diaria""),"""",IFERROR(LET(prevDate,MAX(FILTER($A$2:A112,$B$2:B112&lt;&gt;"""",$A$2:A112&lt;A113)),prevValue,XLOOKUP(prevDate,$A$2:A112,$B$2:B112),gap,A113-prevDate,unknown,COUNTIFS(Movimientos!$D"&amp;"$6:$D$505,""&gt;""&amp;prevDate,Movimientos!$D$6:$D$505,""&lt;=""&amp;A113,Movimientos!$E$6:$E$505,FALSE,Movimientos!$C$6:$C$505,""&lt;&gt;Fecha inferida*""),flow,SUMIFS(Movimientos!$B$6:$B$505,Movimientos!$D$6:$D$505,""&gt;""&amp;prevDate,Movimientos!$D$6:$D$505,""&lt;=""&amp;A113,Movimi"&amp;"entos!$E$6:$E$505,TRUE)+SUMIFS(Movimientos!$B$6:$B$505,Movimientos!$D$6:$D$505,""&gt;""&amp;prevDate,Movimientos!$D$6:$D$505,""&lt;=""&amp;A113,Movimientos!$C$6:$C$505,""Fecha inferida*""),net,B113-flow,IF(OR(gap&lt;1,unknown&gt;0,prevValue&lt;=0,net&lt;=0),"""",(POWER(net/prevVal"&amp;"ue,1/gap)-1)*100)),""""))"),"")</f>
        <v/>
      </c>
      <c r="E113" s="95" t="str">
        <f t="shared" si="0"/>
        <v/>
      </c>
    </row>
    <row r="114" spans="1:5" x14ac:dyDescent="0.25">
      <c r="A114" s="92">
        <v>46135</v>
      </c>
      <c r="B114" s="93" t="str">
        <f>IF(Diario!B118="","",Diario!B118)</f>
        <v/>
      </c>
      <c r="C114" s="93">
        <f>SUMIFS(Movimientos!$B$6:$B$505,Movimientos!$D$6:$D$505,A114,Movimientos!$E$6:$E$505,TRUE)</f>
        <v>0</v>
      </c>
      <c r="D114" s="94" t="str">
        <f ca="1">IFERROR(__xludf.DUMMYFUNCTION("IF(OR(B114="""",A114&gt;TODAY(),E114=""Histórico mensual"",E114=""Base diaria""),"""",IFERROR(LET(prevDate,MAX(FILTER($A$2:A113,$B$2:B113&lt;&gt;"""",$A$2:A113&lt;A114)),prevValue,XLOOKUP(prevDate,$A$2:A113,$B$2:B113),gap,A114-prevDate,unknown,COUNTIFS(Movimientos!$D"&amp;"$6:$D$505,""&gt;""&amp;prevDate,Movimientos!$D$6:$D$505,""&lt;=""&amp;A114,Movimientos!$E$6:$E$505,FALSE,Movimientos!$C$6:$C$505,""&lt;&gt;Fecha inferida*""),flow,SUMIFS(Movimientos!$B$6:$B$505,Movimientos!$D$6:$D$505,""&gt;""&amp;prevDate,Movimientos!$D$6:$D$505,""&lt;=""&amp;A114,Movimi"&amp;"entos!$E$6:$E$505,TRUE)+SUMIFS(Movimientos!$B$6:$B$505,Movimientos!$D$6:$D$505,""&gt;""&amp;prevDate,Movimientos!$D$6:$D$505,""&lt;=""&amp;A114,Movimientos!$C$6:$C$505,""Fecha inferida*""),net,B114-flow,IF(OR(gap&lt;1,unknown&gt;0,prevValue&lt;=0,net&lt;=0),"""",(POWER(net/prevVal"&amp;"ue,1/gap)-1)*100)),""""))"),"")</f>
        <v/>
      </c>
      <c r="E114" s="95" t="str">
        <f t="shared" si="0"/>
        <v/>
      </c>
    </row>
    <row r="115" spans="1:5" x14ac:dyDescent="0.25">
      <c r="A115" s="92">
        <v>46136</v>
      </c>
      <c r="B115" s="93" t="str">
        <f>IF(Diario!B119="","",Diario!B119)</f>
        <v/>
      </c>
      <c r="C115" s="93">
        <f>SUMIFS(Movimientos!$B$6:$B$505,Movimientos!$D$6:$D$505,A115,Movimientos!$E$6:$E$505,TRUE)</f>
        <v>0</v>
      </c>
      <c r="D115" s="94" t="str">
        <f ca="1">IFERROR(__xludf.DUMMYFUNCTION("IF(OR(B115="""",A115&gt;TODAY(),E115=""Histórico mensual"",E115=""Base diaria""),"""",IFERROR(LET(prevDate,MAX(FILTER($A$2:A114,$B$2:B114&lt;&gt;"""",$A$2:A114&lt;A115)),prevValue,XLOOKUP(prevDate,$A$2:A114,$B$2:B114),gap,A115-prevDate,unknown,COUNTIFS(Movimientos!$D"&amp;"$6:$D$505,""&gt;""&amp;prevDate,Movimientos!$D$6:$D$505,""&lt;=""&amp;A115,Movimientos!$E$6:$E$505,FALSE,Movimientos!$C$6:$C$505,""&lt;&gt;Fecha inferida*""),flow,SUMIFS(Movimientos!$B$6:$B$505,Movimientos!$D$6:$D$505,""&gt;""&amp;prevDate,Movimientos!$D$6:$D$505,""&lt;=""&amp;A115,Movimi"&amp;"entos!$E$6:$E$505,TRUE)+SUMIFS(Movimientos!$B$6:$B$505,Movimientos!$D$6:$D$505,""&gt;""&amp;prevDate,Movimientos!$D$6:$D$505,""&lt;=""&amp;A115,Movimientos!$C$6:$C$505,""Fecha inferida*""),net,B115-flow,IF(OR(gap&lt;1,unknown&gt;0,prevValue&lt;=0,net&lt;=0),"""",(POWER(net/prevVal"&amp;"ue,1/gap)-1)*100)),""""))"),"")</f>
        <v/>
      </c>
      <c r="E115" s="95" t="str">
        <f t="shared" si="0"/>
        <v/>
      </c>
    </row>
    <row r="116" spans="1:5" x14ac:dyDescent="0.25">
      <c r="A116" s="92">
        <v>46137</v>
      </c>
      <c r="B116" s="93" t="str">
        <f>IF(Diario!B120="","",Diario!B120)</f>
        <v/>
      </c>
      <c r="C116" s="93">
        <f>SUMIFS(Movimientos!$B$6:$B$505,Movimientos!$D$6:$D$505,A116,Movimientos!$E$6:$E$505,TRUE)</f>
        <v>0</v>
      </c>
      <c r="D116" s="94" t="str">
        <f ca="1">IFERROR(__xludf.DUMMYFUNCTION("IF(OR(B116="""",A116&gt;TODAY(),E116=""Histórico mensual"",E116=""Base diaria""),"""",IFERROR(LET(prevDate,MAX(FILTER($A$2:A115,$B$2:B115&lt;&gt;"""",$A$2:A115&lt;A116)),prevValue,XLOOKUP(prevDate,$A$2:A115,$B$2:B115),gap,A116-prevDate,unknown,COUNTIFS(Movimientos!$D"&amp;"$6:$D$505,""&gt;""&amp;prevDate,Movimientos!$D$6:$D$505,""&lt;=""&amp;A116,Movimientos!$E$6:$E$505,FALSE,Movimientos!$C$6:$C$505,""&lt;&gt;Fecha inferida*""),flow,SUMIFS(Movimientos!$B$6:$B$505,Movimientos!$D$6:$D$505,""&gt;""&amp;prevDate,Movimientos!$D$6:$D$505,""&lt;=""&amp;A116,Movimi"&amp;"entos!$E$6:$E$505,TRUE)+SUMIFS(Movimientos!$B$6:$B$505,Movimientos!$D$6:$D$505,""&gt;""&amp;prevDate,Movimientos!$D$6:$D$505,""&lt;=""&amp;A116,Movimientos!$C$6:$C$505,""Fecha inferida*""),net,B116-flow,IF(OR(gap&lt;1,unknown&gt;0,prevValue&lt;=0,net&lt;=0),"""",(POWER(net/prevVal"&amp;"ue,1/gap)-1)*100)),""""))"),"")</f>
        <v/>
      </c>
      <c r="E116" s="95" t="str">
        <f t="shared" si="0"/>
        <v/>
      </c>
    </row>
    <row r="117" spans="1:5" x14ac:dyDescent="0.25">
      <c r="A117" s="92">
        <v>46138</v>
      </c>
      <c r="B117" s="93" t="str">
        <f>IF(Diario!B121="","",Diario!B121)</f>
        <v/>
      </c>
      <c r="C117" s="93">
        <f>SUMIFS(Movimientos!$B$6:$B$505,Movimientos!$D$6:$D$505,A117,Movimientos!$E$6:$E$505,TRUE)</f>
        <v>0</v>
      </c>
      <c r="D117" s="94" t="str">
        <f ca="1">IFERROR(__xludf.DUMMYFUNCTION("IF(OR(B117="""",A117&gt;TODAY(),E117=""Histórico mensual"",E117=""Base diaria""),"""",IFERROR(LET(prevDate,MAX(FILTER($A$2:A116,$B$2:B116&lt;&gt;"""",$A$2:A116&lt;A117)),prevValue,XLOOKUP(prevDate,$A$2:A116,$B$2:B116),gap,A117-prevDate,unknown,COUNTIFS(Movimientos!$D"&amp;"$6:$D$505,""&gt;""&amp;prevDate,Movimientos!$D$6:$D$505,""&lt;=""&amp;A117,Movimientos!$E$6:$E$505,FALSE,Movimientos!$C$6:$C$505,""&lt;&gt;Fecha inferida*""),flow,SUMIFS(Movimientos!$B$6:$B$505,Movimientos!$D$6:$D$505,""&gt;""&amp;prevDate,Movimientos!$D$6:$D$505,""&lt;=""&amp;A117,Movimi"&amp;"entos!$E$6:$E$505,TRUE)+SUMIFS(Movimientos!$B$6:$B$505,Movimientos!$D$6:$D$505,""&gt;""&amp;prevDate,Movimientos!$D$6:$D$505,""&lt;=""&amp;A117,Movimientos!$C$6:$C$505,""Fecha inferida*""),net,B117-flow,IF(OR(gap&lt;1,unknown&gt;0,prevValue&lt;=0,net&lt;=0),"""",(POWER(net/prevVal"&amp;"ue,1/gap)-1)*100)),""""))"),"")</f>
        <v/>
      </c>
      <c r="E117" s="95" t="str">
        <f t="shared" si="0"/>
        <v/>
      </c>
    </row>
    <row r="118" spans="1:5" x14ac:dyDescent="0.25">
      <c r="A118" s="92">
        <v>46139</v>
      </c>
      <c r="B118" s="93" t="str">
        <f>IF(Diario!B122="","",Diario!B122)</f>
        <v/>
      </c>
      <c r="C118" s="93">
        <f>SUMIFS(Movimientos!$B$6:$B$505,Movimientos!$D$6:$D$505,A118,Movimientos!$E$6:$E$505,TRUE)</f>
        <v>0</v>
      </c>
      <c r="D118" s="94" t="str">
        <f ca="1">IFERROR(__xludf.DUMMYFUNCTION("IF(OR(B118="""",A118&gt;TODAY(),E118=""Histórico mensual"",E118=""Base diaria""),"""",IFERROR(LET(prevDate,MAX(FILTER($A$2:A117,$B$2:B117&lt;&gt;"""",$A$2:A117&lt;A118)),prevValue,XLOOKUP(prevDate,$A$2:A117,$B$2:B117),gap,A118-prevDate,unknown,COUNTIFS(Movimientos!$D"&amp;"$6:$D$505,""&gt;""&amp;prevDate,Movimientos!$D$6:$D$505,""&lt;=""&amp;A118,Movimientos!$E$6:$E$505,FALSE,Movimientos!$C$6:$C$505,""&lt;&gt;Fecha inferida*""),flow,SUMIFS(Movimientos!$B$6:$B$505,Movimientos!$D$6:$D$505,""&gt;""&amp;prevDate,Movimientos!$D$6:$D$505,""&lt;=""&amp;A118,Movimi"&amp;"entos!$E$6:$E$505,TRUE)+SUMIFS(Movimientos!$B$6:$B$505,Movimientos!$D$6:$D$505,""&gt;""&amp;prevDate,Movimientos!$D$6:$D$505,""&lt;=""&amp;A118,Movimientos!$C$6:$C$505,""Fecha inferida*""),net,B118-flow,IF(OR(gap&lt;1,unknown&gt;0,prevValue&lt;=0,net&lt;=0),"""",(POWER(net/prevVal"&amp;"ue,1/gap)-1)*100)),""""))"),"")</f>
        <v/>
      </c>
      <c r="E118" s="95" t="str">
        <f t="shared" si="0"/>
        <v/>
      </c>
    </row>
    <row r="119" spans="1:5" x14ac:dyDescent="0.25">
      <c r="A119" s="92">
        <v>46140</v>
      </c>
      <c r="B119" s="93" t="str">
        <f>IF(Diario!B123="","",Diario!B123)</f>
        <v/>
      </c>
      <c r="C119" s="93">
        <f>SUMIFS(Movimientos!$B$6:$B$505,Movimientos!$D$6:$D$505,A119,Movimientos!$E$6:$E$505,TRUE)</f>
        <v>0</v>
      </c>
      <c r="D119" s="94" t="str">
        <f ca="1">IFERROR(__xludf.DUMMYFUNCTION("IF(OR(B119="""",A119&gt;TODAY(),E119=""Histórico mensual"",E119=""Base diaria""),"""",IFERROR(LET(prevDate,MAX(FILTER($A$2:A118,$B$2:B118&lt;&gt;"""",$A$2:A118&lt;A119)),prevValue,XLOOKUP(prevDate,$A$2:A118,$B$2:B118),gap,A119-prevDate,unknown,COUNTIFS(Movimientos!$D"&amp;"$6:$D$505,""&gt;""&amp;prevDate,Movimientos!$D$6:$D$505,""&lt;=""&amp;A119,Movimientos!$E$6:$E$505,FALSE,Movimientos!$C$6:$C$505,""&lt;&gt;Fecha inferida*""),flow,SUMIFS(Movimientos!$B$6:$B$505,Movimientos!$D$6:$D$505,""&gt;""&amp;prevDate,Movimientos!$D$6:$D$505,""&lt;=""&amp;A119,Movimi"&amp;"entos!$E$6:$E$505,TRUE)+SUMIFS(Movimientos!$B$6:$B$505,Movimientos!$D$6:$D$505,""&gt;""&amp;prevDate,Movimientos!$D$6:$D$505,""&lt;=""&amp;A119,Movimientos!$C$6:$C$505,""Fecha inferida*""),net,B119-flow,IF(OR(gap&lt;1,unknown&gt;0,prevValue&lt;=0,net&lt;=0),"""",(POWER(net/prevVal"&amp;"ue,1/gap)-1)*100)),""""))"),"")</f>
        <v/>
      </c>
      <c r="E119" s="95" t="str">
        <f t="shared" si="0"/>
        <v/>
      </c>
    </row>
    <row r="120" spans="1:5" x14ac:dyDescent="0.25">
      <c r="A120" s="92">
        <v>46141</v>
      </c>
      <c r="B120" s="93" t="str">
        <f>IF(Diario!B124="","",Diario!B124)</f>
        <v/>
      </c>
      <c r="C120" s="93">
        <f>SUMIFS(Movimientos!$B$6:$B$505,Movimientos!$D$6:$D$505,A120,Movimientos!$E$6:$E$505,TRUE)</f>
        <v>0</v>
      </c>
      <c r="D120" s="94" t="str">
        <f ca="1">IFERROR(__xludf.DUMMYFUNCTION("IF(OR(B120="""",A120&gt;TODAY(),E120=""Histórico mensual"",E120=""Base diaria""),"""",IFERROR(LET(prevDate,MAX(FILTER($A$2:A119,$B$2:B119&lt;&gt;"""",$A$2:A119&lt;A120)),prevValue,XLOOKUP(prevDate,$A$2:A119,$B$2:B119),gap,A120-prevDate,unknown,COUNTIFS(Movimientos!$D"&amp;"$6:$D$505,""&gt;""&amp;prevDate,Movimientos!$D$6:$D$505,""&lt;=""&amp;A120,Movimientos!$E$6:$E$505,FALSE,Movimientos!$C$6:$C$505,""&lt;&gt;Fecha inferida*""),flow,SUMIFS(Movimientos!$B$6:$B$505,Movimientos!$D$6:$D$505,""&gt;""&amp;prevDate,Movimientos!$D$6:$D$505,""&lt;=""&amp;A120,Movimi"&amp;"entos!$E$6:$E$505,TRUE)+SUMIFS(Movimientos!$B$6:$B$505,Movimientos!$D$6:$D$505,""&gt;""&amp;prevDate,Movimientos!$D$6:$D$505,""&lt;=""&amp;A120,Movimientos!$C$6:$C$505,""Fecha inferida*""),net,B120-flow,IF(OR(gap&lt;1,unknown&gt;0,prevValue&lt;=0,net&lt;=0),"""",(POWER(net/prevVal"&amp;"ue,1/gap)-1)*100)),""""))"),"")</f>
        <v/>
      </c>
      <c r="E120" s="95" t="str">
        <f t="shared" si="0"/>
        <v/>
      </c>
    </row>
    <row r="121" spans="1:5" x14ac:dyDescent="0.25">
      <c r="A121" s="92">
        <v>46142</v>
      </c>
      <c r="B121" s="93">
        <f>IF(Diario!B125="","",Diario!B125)</f>
        <v>76207</v>
      </c>
      <c r="C121" s="93">
        <f>SUMIFS(Movimientos!$B$6:$B$505,Movimientos!$D$6:$D$505,A121,Movimientos!$E$6:$E$505,TRUE)</f>
        <v>-700</v>
      </c>
      <c r="D121" s="94" t="str">
        <f ca="1">IFERROR(__xludf.DUMMYFUNCTION("IF(OR(B121="""",A121&gt;TODAY(),E121=""Histórico mensual"",E121=""Base diaria""),"""",IFERROR(LET(prevDate,MAX(FILTER($A$2:A120,$B$2:B120&lt;&gt;"""",$A$2:A120&lt;A121)),prevValue,XLOOKUP(prevDate,$A$2:A120,$B$2:B120),gap,A121-prevDate,unknown,COUNTIFS(Movimientos!$D"&amp;"$6:$D$505,""&gt;""&amp;prevDate,Movimientos!$D$6:$D$505,""&lt;=""&amp;A121,Movimientos!$E$6:$E$505,FALSE,Movimientos!$C$6:$C$505,""&lt;&gt;Fecha inferida*""),flow,SUMIFS(Movimientos!$B$6:$B$505,Movimientos!$D$6:$D$505,""&gt;""&amp;prevDate,Movimientos!$D$6:$D$505,""&lt;=""&amp;A121,Movimi"&amp;"entos!$E$6:$E$505,TRUE)+SUMIFS(Movimientos!$B$6:$B$505,Movimientos!$D$6:$D$505,""&gt;""&amp;prevDate,Movimientos!$D$6:$D$505,""&lt;=""&amp;A121,Movimientos!$C$6:$C$505,""Fecha inferida*""),net,B121-flow,IF(OR(gap&lt;1,unknown&gt;0,prevValue&lt;=0,net&lt;=0),"""",(POWER(net/prevVal"&amp;"ue,1/gap)-1)*100)),""""))"),"")</f>
        <v/>
      </c>
      <c r="E121" s="95" t="str">
        <f t="shared" si="0"/>
        <v>Histórico mensual</v>
      </c>
    </row>
    <row r="122" spans="1:5" x14ac:dyDescent="0.25">
      <c r="A122" s="92">
        <v>46143</v>
      </c>
      <c r="B122" s="93" t="str">
        <f>IF(Diario!B126="","",Diario!B126)</f>
        <v/>
      </c>
      <c r="C122" s="93">
        <f>SUMIFS(Movimientos!$B$6:$B$505,Movimientos!$D$6:$D$505,A122,Movimientos!$E$6:$E$505,TRUE)</f>
        <v>0</v>
      </c>
      <c r="D122" s="94" t="str">
        <f ca="1">IFERROR(__xludf.DUMMYFUNCTION("IF(OR(B122="""",A122&gt;TODAY(),E122=""Histórico mensual"",E122=""Base diaria""),"""",IFERROR(LET(prevDate,MAX(FILTER($A$2:A121,$B$2:B121&lt;&gt;"""",$A$2:A121&lt;A122)),prevValue,XLOOKUP(prevDate,$A$2:A121,$B$2:B121),gap,A122-prevDate,unknown,COUNTIFS(Movimientos!$D"&amp;"$6:$D$505,""&gt;""&amp;prevDate,Movimientos!$D$6:$D$505,""&lt;=""&amp;A122,Movimientos!$E$6:$E$505,FALSE,Movimientos!$C$6:$C$505,""&lt;&gt;Fecha inferida*""),flow,SUMIFS(Movimientos!$B$6:$B$505,Movimientos!$D$6:$D$505,""&gt;""&amp;prevDate,Movimientos!$D$6:$D$505,""&lt;=""&amp;A122,Movimi"&amp;"entos!$E$6:$E$505,TRUE)+SUMIFS(Movimientos!$B$6:$B$505,Movimientos!$D$6:$D$505,""&gt;""&amp;prevDate,Movimientos!$D$6:$D$505,""&lt;=""&amp;A122,Movimientos!$C$6:$C$505,""Fecha inferida*""),net,B122-flow,IF(OR(gap&lt;1,unknown&gt;0,prevValue&lt;=0,net&lt;=0),"""",(POWER(net/prevVal"&amp;"ue,1/gap)-1)*100)),""""))"),"")</f>
        <v/>
      </c>
      <c r="E122" s="95" t="str">
        <f t="shared" si="0"/>
        <v/>
      </c>
    </row>
    <row r="123" spans="1:5" x14ac:dyDescent="0.25">
      <c r="A123" s="92">
        <v>46144</v>
      </c>
      <c r="B123" s="93" t="str">
        <f>IF(Diario!B127="","",Diario!B127)</f>
        <v/>
      </c>
      <c r="C123" s="93">
        <f>SUMIFS(Movimientos!$B$6:$B$505,Movimientos!$D$6:$D$505,A123,Movimientos!$E$6:$E$505,TRUE)</f>
        <v>0</v>
      </c>
      <c r="D123" s="94" t="str">
        <f ca="1">IFERROR(__xludf.DUMMYFUNCTION("IF(OR(B123="""",A123&gt;TODAY(),E123=""Histórico mensual"",E123=""Base diaria""),"""",IFERROR(LET(prevDate,MAX(FILTER($A$2:A122,$B$2:B122&lt;&gt;"""",$A$2:A122&lt;A123)),prevValue,XLOOKUP(prevDate,$A$2:A122,$B$2:B122),gap,A123-prevDate,unknown,COUNTIFS(Movimientos!$D"&amp;"$6:$D$505,""&gt;""&amp;prevDate,Movimientos!$D$6:$D$505,""&lt;=""&amp;A123,Movimientos!$E$6:$E$505,FALSE,Movimientos!$C$6:$C$505,""&lt;&gt;Fecha inferida*""),flow,SUMIFS(Movimientos!$B$6:$B$505,Movimientos!$D$6:$D$505,""&gt;""&amp;prevDate,Movimientos!$D$6:$D$505,""&lt;=""&amp;A123,Movimi"&amp;"entos!$E$6:$E$505,TRUE)+SUMIFS(Movimientos!$B$6:$B$505,Movimientos!$D$6:$D$505,""&gt;""&amp;prevDate,Movimientos!$D$6:$D$505,""&lt;=""&amp;A123,Movimientos!$C$6:$C$505,""Fecha inferida*""),net,B123-flow,IF(OR(gap&lt;1,unknown&gt;0,prevValue&lt;=0,net&lt;=0),"""",(POWER(net/prevVal"&amp;"ue,1/gap)-1)*100)),""""))"),"")</f>
        <v/>
      </c>
      <c r="E123" s="95" t="str">
        <f t="shared" si="0"/>
        <v/>
      </c>
    </row>
    <row r="124" spans="1:5" x14ac:dyDescent="0.25">
      <c r="A124" s="92">
        <v>46145</v>
      </c>
      <c r="B124" s="93" t="str">
        <f>IF(Diario!B128="","",Diario!B128)</f>
        <v/>
      </c>
      <c r="C124" s="93">
        <f>SUMIFS(Movimientos!$B$6:$B$505,Movimientos!$D$6:$D$505,A124,Movimientos!$E$6:$E$505,TRUE)</f>
        <v>0</v>
      </c>
      <c r="D124" s="94" t="str">
        <f ca="1">IFERROR(__xludf.DUMMYFUNCTION("IF(OR(B124="""",A124&gt;TODAY(),E124=""Histórico mensual"",E124=""Base diaria""),"""",IFERROR(LET(prevDate,MAX(FILTER($A$2:A123,$B$2:B123&lt;&gt;"""",$A$2:A123&lt;A124)),prevValue,XLOOKUP(prevDate,$A$2:A123,$B$2:B123),gap,A124-prevDate,unknown,COUNTIFS(Movimientos!$D"&amp;"$6:$D$505,""&gt;""&amp;prevDate,Movimientos!$D$6:$D$505,""&lt;=""&amp;A124,Movimientos!$E$6:$E$505,FALSE,Movimientos!$C$6:$C$505,""&lt;&gt;Fecha inferida*""),flow,SUMIFS(Movimientos!$B$6:$B$505,Movimientos!$D$6:$D$505,""&gt;""&amp;prevDate,Movimientos!$D$6:$D$505,""&lt;=""&amp;A124,Movimi"&amp;"entos!$E$6:$E$505,TRUE)+SUMIFS(Movimientos!$B$6:$B$505,Movimientos!$D$6:$D$505,""&gt;""&amp;prevDate,Movimientos!$D$6:$D$505,""&lt;=""&amp;A124,Movimientos!$C$6:$C$505,""Fecha inferida*""),net,B124-flow,IF(OR(gap&lt;1,unknown&gt;0,prevValue&lt;=0,net&lt;=0),"""",(POWER(net/prevVal"&amp;"ue,1/gap)-1)*100)),""""))"),"")</f>
        <v/>
      </c>
      <c r="E124" s="95" t="str">
        <f t="shared" si="0"/>
        <v/>
      </c>
    </row>
    <row r="125" spans="1:5" x14ac:dyDescent="0.25">
      <c r="A125" s="92">
        <v>46146</v>
      </c>
      <c r="B125" s="93" t="str">
        <f>IF(Diario!B129="","",Diario!B129)</f>
        <v/>
      </c>
      <c r="C125" s="93">
        <f>SUMIFS(Movimientos!$B$6:$B$505,Movimientos!$D$6:$D$505,A125,Movimientos!$E$6:$E$505,TRUE)</f>
        <v>0</v>
      </c>
      <c r="D125" s="94" t="str">
        <f ca="1">IFERROR(__xludf.DUMMYFUNCTION("IF(OR(B125="""",A125&gt;TODAY(),E125=""Histórico mensual"",E125=""Base diaria""),"""",IFERROR(LET(prevDate,MAX(FILTER($A$2:A124,$B$2:B124&lt;&gt;"""",$A$2:A124&lt;A125)),prevValue,XLOOKUP(prevDate,$A$2:A124,$B$2:B124),gap,A125-prevDate,unknown,COUNTIFS(Movimientos!$D"&amp;"$6:$D$505,""&gt;""&amp;prevDate,Movimientos!$D$6:$D$505,""&lt;=""&amp;A125,Movimientos!$E$6:$E$505,FALSE,Movimientos!$C$6:$C$505,""&lt;&gt;Fecha inferida*""),flow,SUMIFS(Movimientos!$B$6:$B$505,Movimientos!$D$6:$D$505,""&gt;""&amp;prevDate,Movimientos!$D$6:$D$505,""&lt;=""&amp;A125,Movimi"&amp;"entos!$E$6:$E$505,TRUE)+SUMIFS(Movimientos!$B$6:$B$505,Movimientos!$D$6:$D$505,""&gt;""&amp;prevDate,Movimientos!$D$6:$D$505,""&lt;=""&amp;A125,Movimientos!$C$6:$C$505,""Fecha inferida*""),net,B125-flow,IF(OR(gap&lt;1,unknown&gt;0,prevValue&lt;=0,net&lt;=0),"""",(POWER(net/prevVal"&amp;"ue,1/gap)-1)*100)),""""))"),"")</f>
        <v/>
      </c>
      <c r="E125" s="95" t="str">
        <f t="shared" si="0"/>
        <v/>
      </c>
    </row>
    <row r="126" spans="1:5" x14ac:dyDescent="0.25">
      <c r="A126" s="92">
        <v>46147</v>
      </c>
      <c r="B126" s="93" t="str">
        <f>IF(Diario!B130="","",Diario!B130)</f>
        <v/>
      </c>
      <c r="C126" s="93">
        <f>SUMIFS(Movimientos!$B$6:$B$505,Movimientos!$D$6:$D$505,A126,Movimientos!$E$6:$E$505,TRUE)</f>
        <v>0</v>
      </c>
      <c r="D126" s="94" t="str">
        <f ca="1">IFERROR(__xludf.DUMMYFUNCTION("IF(OR(B126="""",A126&gt;TODAY(),E126=""Histórico mensual"",E126=""Base diaria""),"""",IFERROR(LET(prevDate,MAX(FILTER($A$2:A125,$B$2:B125&lt;&gt;"""",$A$2:A125&lt;A126)),prevValue,XLOOKUP(prevDate,$A$2:A125,$B$2:B125),gap,A126-prevDate,unknown,COUNTIFS(Movimientos!$D"&amp;"$6:$D$505,""&gt;""&amp;prevDate,Movimientos!$D$6:$D$505,""&lt;=""&amp;A126,Movimientos!$E$6:$E$505,FALSE,Movimientos!$C$6:$C$505,""&lt;&gt;Fecha inferida*""),flow,SUMIFS(Movimientos!$B$6:$B$505,Movimientos!$D$6:$D$505,""&gt;""&amp;prevDate,Movimientos!$D$6:$D$505,""&lt;=""&amp;A126,Movimi"&amp;"entos!$E$6:$E$505,TRUE)+SUMIFS(Movimientos!$B$6:$B$505,Movimientos!$D$6:$D$505,""&gt;""&amp;prevDate,Movimientos!$D$6:$D$505,""&lt;=""&amp;A126,Movimientos!$C$6:$C$505,""Fecha inferida*""),net,B126-flow,IF(OR(gap&lt;1,unknown&gt;0,prevValue&lt;=0,net&lt;=0),"""",(POWER(net/prevVal"&amp;"ue,1/gap)-1)*100)),""""))"),"")</f>
        <v/>
      </c>
      <c r="E126" s="95" t="str">
        <f t="shared" si="0"/>
        <v/>
      </c>
    </row>
    <row r="127" spans="1:5" x14ac:dyDescent="0.25">
      <c r="A127" s="92">
        <v>46148</v>
      </c>
      <c r="B127" s="93" t="str">
        <f>IF(Diario!B131="","",Diario!B131)</f>
        <v/>
      </c>
      <c r="C127" s="93">
        <f>SUMIFS(Movimientos!$B$6:$B$505,Movimientos!$D$6:$D$505,A127,Movimientos!$E$6:$E$505,TRUE)</f>
        <v>0</v>
      </c>
      <c r="D127" s="94" t="str">
        <f ca="1">IFERROR(__xludf.DUMMYFUNCTION("IF(OR(B127="""",A127&gt;TODAY(),E127=""Histórico mensual"",E127=""Base diaria""),"""",IFERROR(LET(prevDate,MAX(FILTER($A$2:A126,$B$2:B126&lt;&gt;"""",$A$2:A126&lt;A127)),prevValue,XLOOKUP(prevDate,$A$2:A126,$B$2:B126),gap,A127-prevDate,unknown,COUNTIFS(Movimientos!$D"&amp;"$6:$D$505,""&gt;""&amp;prevDate,Movimientos!$D$6:$D$505,""&lt;=""&amp;A127,Movimientos!$E$6:$E$505,FALSE,Movimientos!$C$6:$C$505,""&lt;&gt;Fecha inferida*""),flow,SUMIFS(Movimientos!$B$6:$B$505,Movimientos!$D$6:$D$505,""&gt;""&amp;prevDate,Movimientos!$D$6:$D$505,""&lt;=""&amp;A127,Movimi"&amp;"entos!$E$6:$E$505,TRUE)+SUMIFS(Movimientos!$B$6:$B$505,Movimientos!$D$6:$D$505,""&gt;""&amp;prevDate,Movimientos!$D$6:$D$505,""&lt;=""&amp;A127,Movimientos!$C$6:$C$505,""Fecha inferida*""),net,B127-flow,IF(OR(gap&lt;1,unknown&gt;0,prevValue&lt;=0,net&lt;=0),"""",(POWER(net/prevVal"&amp;"ue,1/gap)-1)*100)),""""))"),"")</f>
        <v/>
      </c>
      <c r="E127" s="95" t="str">
        <f t="shared" si="0"/>
        <v/>
      </c>
    </row>
    <row r="128" spans="1:5" x14ac:dyDescent="0.25">
      <c r="A128" s="92">
        <v>46149</v>
      </c>
      <c r="B128" s="93" t="str">
        <f>IF(Diario!B132="","",Diario!B132)</f>
        <v/>
      </c>
      <c r="C128" s="93">
        <f>SUMIFS(Movimientos!$B$6:$B$505,Movimientos!$D$6:$D$505,A128,Movimientos!$E$6:$E$505,TRUE)</f>
        <v>0</v>
      </c>
      <c r="D128" s="94" t="str">
        <f ca="1">IFERROR(__xludf.DUMMYFUNCTION("IF(OR(B128="""",A128&gt;TODAY(),E128=""Histórico mensual"",E128=""Base diaria""),"""",IFERROR(LET(prevDate,MAX(FILTER($A$2:A127,$B$2:B127&lt;&gt;"""",$A$2:A127&lt;A128)),prevValue,XLOOKUP(prevDate,$A$2:A127,$B$2:B127),gap,A128-prevDate,unknown,COUNTIFS(Movimientos!$D"&amp;"$6:$D$505,""&gt;""&amp;prevDate,Movimientos!$D$6:$D$505,""&lt;=""&amp;A128,Movimientos!$E$6:$E$505,FALSE,Movimientos!$C$6:$C$505,""&lt;&gt;Fecha inferida*""),flow,SUMIFS(Movimientos!$B$6:$B$505,Movimientos!$D$6:$D$505,""&gt;""&amp;prevDate,Movimientos!$D$6:$D$505,""&lt;=""&amp;A128,Movimi"&amp;"entos!$E$6:$E$505,TRUE)+SUMIFS(Movimientos!$B$6:$B$505,Movimientos!$D$6:$D$505,""&gt;""&amp;prevDate,Movimientos!$D$6:$D$505,""&lt;=""&amp;A128,Movimientos!$C$6:$C$505,""Fecha inferida*""),net,B128-flow,IF(OR(gap&lt;1,unknown&gt;0,prevValue&lt;=0,net&lt;=0),"""",(POWER(net/prevVal"&amp;"ue,1/gap)-1)*100)),""""))"),"")</f>
        <v/>
      </c>
      <c r="E128" s="95" t="str">
        <f t="shared" si="0"/>
        <v/>
      </c>
    </row>
    <row r="129" spans="1:5" x14ac:dyDescent="0.25">
      <c r="A129" s="92">
        <v>46150</v>
      </c>
      <c r="B129" s="93" t="str">
        <f>IF(Diario!B133="","",Diario!B133)</f>
        <v/>
      </c>
      <c r="C129" s="93">
        <f>SUMIFS(Movimientos!$B$6:$B$505,Movimientos!$D$6:$D$505,A129,Movimientos!$E$6:$E$505,TRUE)</f>
        <v>0</v>
      </c>
      <c r="D129" s="94" t="str">
        <f ca="1">IFERROR(__xludf.DUMMYFUNCTION("IF(OR(B129="""",A129&gt;TODAY(),E129=""Histórico mensual"",E129=""Base diaria""),"""",IFERROR(LET(prevDate,MAX(FILTER($A$2:A128,$B$2:B128&lt;&gt;"""",$A$2:A128&lt;A129)),prevValue,XLOOKUP(prevDate,$A$2:A128,$B$2:B128),gap,A129-prevDate,unknown,COUNTIFS(Movimientos!$D"&amp;"$6:$D$505,""&gt;""&amp;prevDate,Movimientos!$D$6:$D$505,""&lt;=""&amp;A129,Movimientos!$E$6:$E$505,FALSE,Movimientos!$C$6:$C$505,""&lt;&gt;Fecha inferida*""),flow,SUMIFS(Movimientos!$B$6:$B$505,Movimientos!$D$6:$D$505,""&gt;""&amp;prevDate,Movimientos!$D$6:$D$505,""&lt;=""&amp;A129,Movimi"&amp;"entos!$E$6:$E$505,TRUE)+SUMIFS(Movimientos!$B$6:$B$505,Movimientos!$D$6:$D$505,""&gt;""&amp;prevDate,Movimientos!$D$6:$D$505,""&lt;=""&amp;A129,Movimientos!$C$6:$C$505,""Fecha inferida*""),net,B129-flow,IF(OR(gap&lt;1,unknown&gt;0,prevValue&lt;=0,net&lt;=0),"""",(POWER(net/prevVal"&amp;"ue,1/gap)-1)*100)),""""))"),"")</f>
        <v/>
      </c>
      <c r="E129" s="95" t="str">
        <f t="shared" si="0"/>
        <v/>
      </c>
    </row>
    <row r="130" spans="1:5" x14ac:dyDescent="0.25">
      <c r="A130" s="92">
        <v>46151</v>
      </c>
      <c r="B130" s="93" t="str">
        <f>IF(Diario!B134="","",Diario!B134)</f>
        <v/>
      </c>
      <c r="C130" s="93">
        <f>SUMIFS(Movimientos!$B$6:$B$505,Movimientos!$D$6:$D$505,A130,Movimientos!$E$6:$E$505,TRUE)</f>
        <v>0</v>
      </c>
      <c r="D130" s="94" t="str">
        <f ca="1">IFERROR(__xludf.DUMMYFUNCTION("IF(OR(B130="""",A130&gt;TODAY(),E130=""Histórico mensual"",E130=""Base diaria""),"""",IFERROR(LET(prevDate,MAX(FILTER($A$2:A129,$B$2:B129&lt;&gt;"""",$A$2:A129&lt;A130)),prevValue,XLOOKUP(prevDate,$A$2:A129,$B$2:B129),gap,A130-prevDate,unknown,COUNTIFS(Movimientos!$D"&amp;"$6:$D$505,""&gt;""&amp;prevDate,Movimientos!$D$6:$D$505,""&lt;=""&amp;A130,Movimientos!$E$6:$E$505,FALSE,Movimientos!$C$6:$C$505,""&lt;&gt;Fecha inferida*""),flow,SUMIFS(Movimientos!$B$6:$B$505,Movimientos!$D$6:$D$505,""&gt;""&amp;prevDate,Movimientos!$D$6:$D$505,""&lt;=""&amp;A130,Movimi"&amp;"entos!$E$6:$E$505,TRUE)+SUMIFS(Movimientos!$B$6:$B$505,Movimientos!$D$6:$D$505,""&gt;""&amp;prevDate,Movimientos!$D$6:$D$505,""&lt;=""&amp;A130,Movimientos!$C$6:$C$505,""Fecha inferida*""),net,B130-flow,IF(OR(gap&lt;1,unknown&gt;0,prevValue&lt;=0,net&lt;=0),"""",(POWER(net/prevVal"&amp;"ue,1/gap)-1)*100)),""""))"),"")</f>
        <v/>
      </c>
      <c r="E130" s="95" t="str">
        <f t="shared" si="0"/>
        <v/>
      </c>
    </row>
    <row r="131" spans="1:5" x14ac:dyDescent="0.25">
      <c r="A131" s="92">
        <v>46152</v>
      </c>
      <c r="B131" s="93" t="str">
        <f>IF(Diario!B135="","",Diario!B135)</f>
        <v/>
      </c>
      <c r="C131" s="93">
        <f>SUMIFS(Movimientos!$B$6:$B$505,Movimientos!$D$6:$D$505,A131,Movimientos!$E$6:$E$505,TRUE)</f>
        <v>0</v>
      </c>
      <c r="D131" s="94" t="str">
        <f ca="1">IFERROR(__xludf.DUMMYFUNCTION("IF(OR(B131="""",A131&gt;TODAY(),E131=""Histórico mensual"",E131=""Base diaria""),"""",IFERROR(LET(prevDate,MAX(FILTER($A$2:A130,$B$2:B130&lt;&gt;"""",$A$2:A130&lt;A131)),prevValue,XLOOKUP(prevDate,$A$2:A130,$B$2:B130),gap,A131-prevDate,unknown,COUNTIFS(Movimientos!$D"&amp;"$6:$D$505,""&gt;""&amp;prevDate,Movimientos!$D$6:$D$505,""&lt;=""&amp;A131,Movimientos!$E$6:$E$505,FALSE,Movimientos!$C$6:$C$505,""&lt;&gt;Fecha inferida*""),flow,SUMIFS(Movimientos!$B$6:$B$505,Movimientos!$D$6:$D$505,""&gt;""&amp;prevDate,Movimientos!$D$6:$D$505,""&lt;=""&amp;A131,Movimi"&amp;"entos!$E$6:$E$505,TRUE)+SUMIFS(Movimientos!$B$6:$B$505,Movimientos!$D$6:$D$505,""&gt;""&amp;prevDate,Movimientos!$D$6:$D$505,""&lt;=""&amp;A131,Movimientos!$C$6:$C$505,""Fecha inferida*""),net,B131-flow,IF(OR(gap&lt;1,unknown&gt;0,prevValue&lt;=0,net&lt;=0),"""",(POWER(net/prevVal"&amp;"ue,1/gap)-1)*100)),""""))"),"")</f>
        <v/>
      </c>
      <c r="E131" s="95" t="str">
        <f t="shared" si="0"/>
        <v/>
      </c>
    </row>
    <row r="132" spans="1:5" x14ac:dyDescent="0.25">
      <c r="A132" s="92">
        <v>46153</v>
      </c>
      <c r="B132" s="93" t="str">
        <f>IF(Diario!B136="","",Diario!B136)</f>
        <v/>
      </c>
      <c r="C132" s="93">
        <f>SUMIFS(Movimientos!$B$6:$B$505,Movimientos!$D$6:$D$505,A132,Movimientos!$E$6:$E$505,TRUE)</f>
        <v>0</v>
      </c>
      <c r="D132" s="94" t="str">
        <f ca="1">IFERROR(__xludf.DUMMYFUNCTION("IF(OR(B132="""",A132&gt;TODAY(),E132=""Histórico mensual"",E132=""Base diaria""),"""",IFERROR(LET(prevDate,MAX(FILTER($A$2:A131,$B$2:B131&lt;&gt;"""",$A$2:A131&lt;A132)),prevValue,XLOOKUP(prevDate,$A$2:A131,$B$2:B131),gap,A132-prevDate,unknown,COUNTIFS(Movimientos!$D"&amp;"$6:$D$505,""&gt;""&amp;prevDate,Movimientos!$D$6:$D$505,""&lt;=""&amp;A132,Movimientos!$E$6:$E$505,FALSE,Movimientos!$C$6:$C$505,""&lt;&gt;Fecha inferida*""),flow,SUMIFS(Movimientos!$B$6:$B$505,Movimientos!$D$6:$D$505,""&gt;""&amp;prevDate,Movimientos!$D$6:$D$505,""&lt;=""&amp;A132,Movimi"&amp;"entos!$E$6:$E$505,TRUE)+SUMIFS(Movimientos!$B$6:$B$505,Movimientos!$D$6:$D$505,""&gt;""&amp;prevDate,Movimientos!$D$6:$D$505,""&lt;=""&amp;A132,Movimientos!$C$6:$C$505,""Fecha inferida*""),net,B132-flow,IF(OR(gap&lt;1,unknown&gt;0,prevValue&lt;=0,net&lt;=0),"""",(POWER(net/prevVal"&amp;"ue,1/gap)-1)*100)),""""))"),"")</f>
        <v/>
      </c>
      <c r="E132" s="95" t="str">
        <f t="shared" si="0"/>
        <v/>
      </c>
    </row>
    <row r="133" spans="1:5" x14ac:dyDescent="0.25">
      <c r="A133" s="92">
        <v>46154</v>
      </c>
      <c r="B133" s="93" t="str">
        <f>IF(Diario!B137="","",Diario!B137)</f>
        <v/>
      </c>
      <c r="C133" s="93">
        <f>SUMIFS(Movimientos!$B$6:$B$505,Movimientos!$D$6:$D$505,A133,Movimientos!$E$6:$E$505,TRUE)</f>
        <v>0</v>
      </c>
      <c r="D133" s="94" t="str">
        <f ca="1">IFERROR(__xludf.DUMMYFUNCTION("IF(OR(B133="""",A133&gt;TODAY(),E133=""Histórico mensual"",E133=""Base diaria""),"""",IFERROR(LET(prevDate,MAX(FILTER($A$2:A132,$B$2:B132&lt;&gt;"""",$A$2:A132&lt;A133)),prevValue,XLOOKUP(prevDate,$A$2:A132,$B$2:B132),gap,A133-prevDate,unknown,COUNTIFS(Movimientos!$D"&amp;"$6:$D$505,""&gt;""&amp;prevDate,Movimientos!$D$6:$D$505,""&lt;=""&amp;A133,Movimientos!$E$6:$E$505,FALSE,Movimientos!$C$6:$C$505,""&lt;&gt;Fecha inferida*""),flow,SUMIFS(Movimientos!$B$6:$B$505,Movimientos!$D$6:$D$505,""&gt;""&amp;prevDate,Movimientos!$D$6:$D$505,""&lt;=""&amp;A133,Movimi"&amp;"entos!$E$6:$E$505,TRUE)+SUMIFS(Movimientos!$B$6:$B$505,Movimientos!$D$6:$D$505,""&gt;""&amp;prevDate,Movimientos!$D$6:$D$505,""&lt;=""&amp;A133,Movimientos!$C$6:$C$505,""Fecha inferida*""),net,B133-flow,IF(OR(gap&lt;1,unknown&gt;0,prevValue&lt;=0,net&lt;=0),"""",(POWER(net/prevVal"&amp;"ue,1/gap)-1)*100)),""""))"),"")</f>
        <v/>
      </c>
      <c r="E133" s="95" t="str">
        <f t="shared" si="0"/>
        <v/>
      </c>
    </row>
    <row r="134" spans="1:5" x14ac:dyDescent="0.25">
      <c r="A134" s="92">
        <v>46155</v>
      </c>
      <c r="B134" s="93" t="str">
        <f>IF(Diario!B138="","",Diario!B138)</f>
        <v/>
      </c>
      <c r="C134" s="93">
        <f>SUMIFS(Movimientos!$B$6:$B$505,Movimientos!$D$6:$D$505,A134,Movimientos!$E$6:$E$505,TRUE)</f>
        <v>0</v>
      </c>
      <c r="D134" s="94" t="str">
        <f ca="1">IFERROR(__xludf.DUMMYFUNCTION("IF(OR(B134="""",A134&gt;TODAY(),E134=""Histórico mensual"",E134=""Base diaria""),"""",IFERROR(LET(prevDate,MAX(FILTER($A$2:A133,$B$2:B133&lt;&gt;"""",$A$2:A133&lt;A134)),prevValue,XLOOKUP(prevDate,$A$2:A133,$B$2:B133),gap,A134-prevDate,unknown,COUNTIFS(Movimientos!$D"&amp;"$6:$D$505,""&gt;""&amp;prevDate,Movimientos!$D$6:$D$505,""&lt;=""&amp;A134,Movimientos!$E$6:$E$505,FALSE,Movimientos!$C$6:$C$505,""&lt;&gt;Fecha inferida*""),flow,SUMIFS(Movimientos!$B$6:$B$505,Movimientos!$D$6:$D$505,""&gt;""&amp;prevDate,Movimientos!$D$6:$D$505,""&lt;=""&amp;A134,Movimi"&amp;"entos!$E$6:$E$505,TRUE)+SUMIFS(Movimientos!$B$6:$B$505,Movimientos!$D$6:$D$505,""&gt;""&amp;prevDate,Movimientos!$D$6:$D$505,""&lt;=""&amp;A134,Movimientos!$C$6:$C$505,""Fecha inferida*""),net,B134-flow,IF(OR(gap&lt;1,unknown&gt;0,prevValue&lt;=0,net&lt;=0),"""",(POWER(net/prevVal"&amp;"ue,1/gap)-1)*100)),""""))"),"")</f>
        <v/>
      </c>
      <c r="E134" s="95" t="str">
        <f t="shared" si="0"/>
        <v/>
      </c>
    </row>
    <row r="135" spans="1:5" x14ac:dyDescent="0.25">
      <c r="A135" s="92">
        <v>46156</v>
      </c>
      <c r="B135" s="93" t="str">
        <f>IF(Diario!B139="","",Diario!B139)</f>
        <v/>
      </c>
      <c r="C135" s="93">
        <f>SUMIFS(Movimientos!$B$6:$B$505,Movimientos!$D$6:$D$505,A135,Movimientos!$E$6:$E$505,TRUE)</f>
        <v>0</v>
      </c>
      <c r="D135" s="94" t="str">
        <f ca="1">IFERROR(__xludf.DUMMYFUNCTION("IF(OR(B135="""",A135&gt;TODAY(),E135=""Histórico mensual"",E135=""Base diaria""),"""",IFERROR(LET(prevDate,MAX(FILTER($A$2:A134,$B$2:B134&lt;&gt;"""",$A$2:A134&lt;A135)),prevValue,XLOOKUP(prevDate,$A$2:A134,$B$2:B134),gap,A135-prevDate,unknown,COUNTIFS(Movimientos!$D"&amp;"$6:$D$505,""&gt;""&amp;prevDate,Movimientos!$D$6:$D$505,""&lt;=""&amp;A135,Movimientos!$E$6:$E$505,FALSE,Movimientos!$C$6:$C$505,""&lt;&gt;Fecha inferida*""),flow,SUMIFS(Movimientos!$B$6:$B$505,Movimientos!$D$6:$D$505,""&gt;""&amp;prevDate,Movimientos!$D$6:$D$505,""&lt;=""&amp;A135,Movimi"&amp;"entos!$E$6:$E$505,TRUE)+SUMIFS(Movimientos!$B$6:$B$505,Movimientos!$D$6:$D$505,""&gt;""&amp;prevDate,Movimientos!$D$6:$D$505,""&lt;=""&amp;A135,Movimientos!$C$6:$C$505,""Fecha inferida*""),net,B135-flow,IF(OR(gap&lt;1,unknown&gt;0,prevValue&lt;=0,net&lt;=0),"""",(POWER(net/prevVal"&amp;"ue,1/gap)-1)*100)),""""))"),"")</f>
        <v/>
      </c>
      <c r="E135" s="95" t="str">
        <f t="shared" si="0"/>
        <v/>
      </c>
    </row>
    <row r="136" spans="1:5" x14ac:dyDescent="0.25">
      <c r="A136" s="92">
        <v>46157</v>
      </c>
      <c r="B136" s="93" t="str">
        <f>IF(Diario!B140="","",Diario!B140)</f>
        <v/>
      </c>
      <c r="C136" s="93">
        <f>SUMIFS(Movimientos!$B$6:$B$505,Movimientos!$D$6:$D$505,A136,Movimientos!$E$6:$E$505,TRUE)</f>
        <v>0</v>
      </c>
      <c r="D136" s="94" t="str">
        <f ca="1">IFERROR(__xludf.DUMMYFUNCTION("IF(OR(B136="""",A136&gt;TODAY(),E136=""Histórico mensual"",E136=""Base diaria""),"""",IFERROR(LET(prevDate,MAX(FILTER($A$2:A135,$B$2:B135&lt;&gt;"""",$A$2:A135&lt;A136)),prevValue,XLOOKUP(prevDate,$A$2:A135,$B$2:B135),gap,A136-prevDate,unknown,COUNTIFS(Movimientos!$D"&amp;"$6:$D$505,""&gt;""&amp;prevDate,Movimientos!$D$6:$D$505,""&lt;=""&amp;A136,Movimientos!$E$6:$E$505,FALSE,Movimientos!$C$6:$C$505,""&lt;&gt;Fecha inferida*""),flow,SUMIFS(Movimientos!$B$6:$B$505,Movimientos!$D$6:$D$505,""&gt;""&amp;prevDate,Movimientos!$D$6:$D$505,""&lt;=""&amp;A136,Movimi"&amp;"entos!$E$6:$E$505,TRUE)+SUMIFS(Movimientos!$B$6:$B$505,Movimientos!$D$6:$D$505,""&gt;""&amp;prevDate,Movimientos!$D$6:$D$505,""&lt;=""&amp;A136,Movimientos!$C$6:$C$505,""Fecha inferida*""),net,B136-flow,IF(OR(gap&lt;1,unknown&gt;0,prevValue&lt;=0,net&lt;=0),"""",(POWER(net/prevVal"&amp;"ue,1/gap)-1)*100)),""""))"),"")</f>
        <v/>
      </c>
      <c r="E136" s="95" t="str">
        <f t="shared" si="0"/>
        <v/>
      </c>
    </row>
    <row r="137" spans="1:5" x14ac:dyDescent="0.25">
      <c r="A137" s="92">
        <v>46158</v>
      </c>
      <c r="B137" s="93" t="str">
        <f>IF(Diario!B141="","",Diario!B141)</f>
        <v/>
      </c>
      <c r="C137" s="93">
        <f>SUMIFS(Movimientos!$B$6:$B$505,Movimientos!$D$6:$D$505,A137,Movimientos!$E$6:$E$505,TRUE)</f>
        <v>0</v>
      </c>
      <c r="D137" s="94" t="str">
        <f ca="1">IFERROR(__xludf.DUMMYFUNCTION("IF(OR(B137="""",A137&gt;TODAY(),E137=""Histórico mensual"",E137=""Base diaria""),"""",IFERROR(LET(prevDate,MAX(FILTER($A$2:A136,$B$2:B136&lt;&gt;"""",$A$2:A136&lt;A137)),prevValue,XLOOKUP(prevDate,$A$2:A136,$B$2:B136),gap,A137-prevDate,unknown,COUNTIFS(Movimientos!$D"&amp;"$6:$D$505,""&gt;""&amp;prevDate,Movimientos!$D$6:$D$505,""&lt;=""&amp;A137,Movimientos!$E$6:$E$505,FALSE,Movimientos!$C$6:$C$505,""&lt;&gt;Fecha inferida*""),flow,SUMIFS(Movimientos!$B$6:$B$505,Movimientos!$D$6:$D$505,""&gt;""&amp;prevDate,Movimientos!$D$6:$D$505,""&lt;=""&amp;A137,Movimi"&amp;"entos!$E$6:$E$505,TRUE)+SUMIFS(Movimientos!$B$6:$B$505,Movimientos!$D$6:$D$505,""&gt;""&amp;prevDate,Movimientos!$D$6:$D$505,""&lt;=""&amp;A137,Movimientos!$C$6:$C$505,""Fecha inferida*""),net,B137-flow,IF(OR(gap&lt;1,unknown&gt;0,prevValue&lt;=0,net&lt;=0),"""",(POWER(net/prevVal"&amp;"ue,1/gap)-1)*100)),""""))"),"")</f>
        <v/>
      </c>
      <c r="E137" s="95" t="str">
        <f t="shared" si="0"/>
        <v/>
      </c>
    </row>
    <row r="138" spans="1:5" x14ac:dyDescent="0.25">
      <c r="A138" s="92">
        <v>46159</v>
      </c>
      <c r="B138" s="93" t="str">
        <f>IF(Diario!B142="","",Diario!B142)</f>
        <v/>
      </c>
      <c r="C138" s="93">
        <f>SUMIFS(Movimientos!$B$6:$B$505,Movimientos!$D$6:$D$505,A138,Movimientos!$E$6:$E$505,TRUE)</f>
        <v>0</v>
      </c>
      <c r="D138" s="94" t="str">
        <f ca="1">IFERROR(__xludf.DUMMYFUNCTION("IF(OR(B138="""",A138&gt;TODAY(),E138=""Histórico mensual"",E138=""Base diaria""),"""",IFERROR(LET(prevDate,MAX(FILTER($A$2:A137,$B$2:B137&lt;&gt;"""",$A$2:A137&lt;A138)),prevValue,XLOOKUP(prevDate,$A$2:A137,$B$2:B137),gap,A138-prevDate,unknown,COUNTIFS(Movimientos!$D"&amp;"$6:$D$505,""&gt;""&amp;prevDate,Movimientos!$D$6:$D$505,""&lt;=""&amp;A138,Movimientos!$E$6:$E$505,FALSE,Movimientos!$C$6:$C$505,""&lt;&gt;Fecha inferida*""),flow,SUMIFS(Movimientos!$B$6:$B$505,Movimientos!$D$6:$D$505,""&gt;""&amp;prevDate,Movimientos!$D$6:$D$505,""&lt;=""&amp;A138,Movimi"&amp;"entos!$E$6:$E$505,TRUE)+SUMIFS(Movimientos!$B$6:$B$505,Movimientos!$D$6:$D$505,""&gt;""&amp;prevDate,Movimientos!$D$6:$D$505,""&lt;=""&amp;A138,Movimientos!$C$6:$C$505,""Fecha inferida*""),net,B138-flow,IF(OR(gap&lt;1,unknown&gt;0,prevValue&lt;=0,net&lt;=0),"""",(POWER(net/prevVal"&amp;"ue,1/gap)-1)*100)),""""))"),"")</f>
        <v/>
      </c>
      <c r="E138" s="95" t="str">
        <f t="shared" si="0"/>
        <v/>
      </c>
    </row>
    <row r="139" spans="1:5" x14ac:dyDescent="0.25">
      <c r="A139" s="92">
        <v>46160</v>
      </c>
      <c r="B139" s="93" t="str">
        <f>IF(Diario!B143="","",Diario!B143)</f>
        <v/>
      </c>
      <c r="C139" s="93">
        <f>SUMIFS(Movimientos!$B$6:$B$505,Movimientos!$D$6:$D$505,A139,Movimientos!$E$6:$E$505,TRUE)</f>
        <v>0</v>
      </c>
      <c r="D139" s="94" t="str">
        <f ca="1">IFERROR(__xludf.DUMMYFUNCTION("IF(OR(B139="""",A139&gt;TODAY(),E139=""Histórico mensual"",E139=""Base diaria""),"""",IFERROR(LET(prevDate,MAX(FILTER($A$2:A138,$B$2:B138&lt;&gt;"""",$A$2:A138&lt;A139)),prevValue,XLOOKUP(prevDate,$A$2:A138,$B$2:B138),gap,A139-prevDate,unknown,COUNTIFS(Movimientos!$D"&amp;"$6:$D$505,""&gt;""&amp;prevDate,Movimientos!$D$6:$D$505,""&lt;=""&amp;A139,Movimientos!$E$6:$E$505,FALSE,Movimientos!$C$6:$C$505,""&lt;&gt;Fecha inferida*""),flow,SUMIFS(Movimientos!$B$6:$B$505,Movimientos!$D$6:$D$505,""&gt;""&amp;prevDate,Movimientos!$D$6:$D$505,""&lt;=""&amp;A139,Movimi"&amp;"entos!$E$6:$E$505,TRUE)+SUMIFS(Movimientos!$B$6:$B$505,Movimientos!$D$6:$D$505,""&gt;""&amp;prevDate,Movimientos!$D$6:$D$505,""&lt;=""&amp;A139,Movimientos!$C$6:$C$505,""Fecha inferida*""),net,B139-flow,IF(OR(gap&lt;1,unknown&gt;0,prevValue&lt;=0,net&lt;=0),"""",(POWER(net/prevVal"&amp;"ue,1/gap)-1)*100)),""""))"),"")</f>
        <v/>
      </c>
      <c r="E139" s="95" t="str">
        <f t="shared" si="0"/>
        <v/>
      </c>
    </row>
    <row r="140" spans="1:5" x14ac:dyDescent="0.25">
      <c r="A140" s="92">
        <v>46161</v>
      </c>
      <c r="B140" s="93" t="str">
        <f>IF(Diario!B144="","",Diario!B144)</f>
        <v/>
      </c>
      <c r="C140" s="93">
        <f>SUMIFS(Movimientos!$B$6:$B$505,Movimientos!$D$6:$D$505,A140,Movimientos!$E$6:$E$505,TRUE)</f>
        <v>0</v>
      </c>
      <c r="D140" s="94" t="str">
        <f ca="1">IFERROR(__xludf.DUMMYFUNCTION("IF(OR(B140="""",A140&gt;TODAY(),E140=""Histórico mensual"",E140=""Base diaria""),"""",IFERROR(LET(prevDate,MAX(FILTER($A$2:A139,$B$2:B139&lt;&gt;"""",$A$2:A139&lt;A140)),prevValue,XLOOKUP(prevDate,$A$2:A139,$B$2:B139),gap,A140-prevDate,unknown,COUNTIFS(Movimientos!$D"&amp;"$6:$D$505,""&gt;""&amp;prevDate,Movimientos!$D$6:$D$505,""&lt;=""&amp;A140,Movimientos!$E$6:$E$505,FALSE,Movimientos!$C$6:$C$505,""&lt;&gt;Fecha inferida*""),flow,SUMIFS(Movimientos!$B$6:$B$505,Movimientos!$D$6:$D$505,""&gt;""&amp;prevDate,Movimientos!$D$6:$D$505,""&lt;=""&amp;A140,Movimi"&amp;"entos!$E$6:$E$505,TRUE)+SUMIFS(Movimientos!$B$6:$B$505,Movimientos!$D$6:$D$505,""&gt;""&amp;prevDate,Movimientos!$D$6:$D$505,""&lt;=""&amp;A140,Movimientos!$C$6:$C$505,""Fecha inferida*""),net,B140-flow,IF(OR(gap&lt;1,unknown&gt;0,prevValue&lt;=0,net&lt;=0),"""",(POWER(net/prevVal"&amp;"ue,1/gap)-1)*100)),""""))"),"")</f>
        <v/>
      </c>
      <c r="E140" s="95" t="str">
        <f t="shared" si="0"/>
        <v/>
      </c>
    </row>
    <row r="141" spans="1:5" x14ac:dyDescent="0.25">
      <c r="A141" s="92">
        <v>46162</v>
      </c>
      <c r="B141" s="93" t="str">
        <f>IF(Diario!B145="","",Diario!B145)</f>
        <v/>
      </c>
      <c r="C141" s="93">
        <f>SUMIFS(Movimientos!$B$6:$B$505,Movimientos!$D$6:$D$505,A141,Movimientos!$E$6:$E$505,TRUE)</f>
        <v>0</v>
      </c>
      <c r="D141" s="94" t="str">
        <f ca="1">IFERROR(__xludf.DUMMYFUNCTION("IF(OR(B141="""",A141&gt;TODAY(),E141=""Histórico mensual"",E141=""Base diaria""),"""",IFERROR(LET(prevDate,MAX(FILTER($A$2:A140,$B$2:B140&lt;&gt;"""",$A$2:A140&lt;A141)),prevValue,XLOOKUP(prevDate,$A$2:A140,$B$2:B140),gap,A141-prevDate,unknown,COUNTIFS(Movimientos!$D"&amp;"$6:$D$505,""&gt;""&amp;prevDate,Movimientos!$D$6:$D$505,""&lt;=""&amp;A141,Movimientos!$E$6:$E$505,FALSE,Movimientos!$C$6:$C$505,""&lt;&gt;Fecha inferida*""),flow,SUMIFS(Movimientos!$B$6:$B$505,Movimientos!$D$6:$D$505,""&gt;""&amp;prevDate,Movimientos!$D$6:$D$505,""&lt;=""&amp;A141,Movimi"&amp;"entos!$E$6:$E$505,TRUE)+SUMIFS(Movimientos!$B$6:$B$505,Movimientos!$D$6:$D$505,""&gt;""&amp;prevDate,Movimientos!$D$6:$D$505,""&lt;=""&amp;A141,Movimientos!$C$6:$C$505,""Fecha inferida*""),net,B141-flow,IF(OR(gap&lt;1,unknown&gt;0,prevValue&lt;=0,net&lt;=0),"""",(POWER(net/prevVal"&amp;"ue,1/gap)-1)*100)),""""))"),"")</f>
        <v/>
      </c>
      <c r="E141" s="95" t="str">
        <f t="shared" si="0"/>
        <v/>
      </c>
    </row>
    <row r="142" spans="1:5" x14ac:dyDescent="0.25">
      <c r="A142" s="92">
        <v>46163</v>
      </c>
      <c r="B142" s="93" t="str">
        <f>IF(Diario!B146="","",Diario!B146)</f>
        <v/>
      </c>
      <c r="C142" s="93">
        <f>SUMIFS(Movimientos!$B$6:$B$505,Movimientos!$D$6:$D$505,A142,Movimientos!$E$6:$E$505,TRUE)</f>
        <v>0</v>
      </c>
      <c r="D142" s="94" t="str">
        <f ca="1">IFERROR(__xludf.DUMMYFUNCTION("IF(OR(B142="""",A142&gt;TODAY(),E142=""Histórico mensual"",E142=""Base diaria""),"""",IFERROR(LET(prevDate,MAX(FILTER($A$2:A141,$B$2:B141&lt;&gt;"""",$A$2:A141&lt;A142)),prevValue,XLOOKUP(prevDate,$A$2:A141,$B$2:B141),gap,A142-prevDate,unknown,COUNTIFS(Movimientos!$D"&amp;"$6:$D$505,""&gt;""&amp;prevDate,Movimientos!$D$6:$D$505,""&lt;=""&amp;A142,Movimientos!$E$6:$E$505,FALSE,Movimientos!$C$6:$C$505,""&lt;&gt;Fecha inferida*""),flow,SUMIFS(Movimientos!$B$6:$B$505,Movimientos!$D$6:$D$505,""&gt;""&amp;prevDate,Movimientos!$D$6:$D$505,""&lt;=""&amp;A142,Movimi"&amp;"entos!$E$6:$E$505,TRUE)+SUMIFS(Movimientos!$B$6:$B$505,Movimientos!$D$6:$D$505,""&gt;""&amp;prevDate,Movimientos!$D$6:$D$505,""&lt;=""&amp;A142,Movimientos!$C$6:$C$505,""Fecha inferida*""),net,B142-flow,IF(OR(gap&lt;1,unknown&gt;0,prevValue&lt;=0,net&lt;=0),"""",(POWER(net/prevVal"&amp;"ue,1/gap)-1)*100)),""""))"),"")</f>
        <v/>
      </c>
      <c r="E142" s="95" t="str">
        <f t="shared" si="0"/>
        <v/>
      </c>
    </row>
    <row r="143" spans="1:5" x14ac:dyDescent="0.25">
      <c r="A143" s="92">
        <v>46164</v>
      </c>
      <c r="B143" s="93" t="str">
        <f>IF(Diario!B147="","",Diario!B147)</f>
        <v/>
      </c>
      <c r="C143" s="93">
        <f>SUMIFS(Movimientos!$B$6:$B$505,Movimientos!$D$6:$D$505,A143,Movimientos!$E$6:$E$505,TRUE)</f>
        <v>0</v>
      </c>
      <c r="D143" s="94" t="str">
        <f ca="1">IFERROR(__xludf.DUMMYFUNCTION("IF(OR(B143="""",A143&gt;TODAY(),E143=""Histórico mensual"",E143=""Base diaria""),"""",IFERROR(LET(prevDate,MAX(FILTER($A$2:A142,$B$2:B142&lt;&gt;"""",$A$2:A142&lt;A143)),prevValue,XLOOKUP(prevDate,$A$2:A142,$B$2:B142),gap,A143-prevDate,unknown,COUNTIFS(Movimientos!$D"&amp;"$6:$D$505,""&gt;""&amp;prevDate,Movimientos!$D$6:$D$505,""&lt;=""&amp;A143,Movimientos!$E$6:$E$505,FALSE,Movimientos!$C$6:$C$505,""&lt;&gt;Fecha inferida*""),flow,SUMIFS(Movimientos!$B$6:$B$505,Movimientos!$D$6:$D$505,""&gt;""&amp;prevDate,Movimientos!$D$6:$D$505,""&lt;=""&amp;A143,Movimi"&amp;"entos!$E$6:$E$505,TRUE)+SUMIFS(Movimientos!$B$6:$B$505,Movimientos!$D$6:$D$505,""&gt;""&amp;prevDate,Movimientos!$D$6:$D$505,""&lt;=""&amp;A143,Movimientos!$C$6:$C$505,""Fecha inferida*""),net,B143-flow,IF(OR(gap&lt;1,unknown&gt;0,prevValue&lt;=0,net&lt;=0),"""",(POWER(net/prevVal"&amp;"ue,1/gap)-1)*100)),""""))"),"")</f>
        <v/>
      </c>
      <c r="E143" s="95" t="str">
        <f t="shared" si="0"/>
        <v/>
      </c>
    </row>
    <row r="144" spans="1:5" x14ac:dyDescent="0.25">
      <c r="A144" s="92">
        <v>46165</v>
      </c>
      <c r="B144" s="93" t="str">
        <f>IF(Diario!B148="","",Diario!B148)</f>
        <v/>
      </c>
      <c r="C144" s="93">
        <f>SUMIFS(Movimientos!$B$6:$B$505,Movimientos!$D$6:$D$505,A144,Movimientos!$E$6:$E$505,TRUE)</f>
        <v>0</v>
      </c>
      <c r="D144" s="94" t="str">
        <f ca="1">IFERROR(__xludf.DUMMYFUNCTION("IF(OR(B144="""",A144&gt;TODAY(),E144=""Histórico mensual"",E144=""Base diaria""),"""",IFERROR(LET(prevDate,MAX(FILTER($A$2:A143,$B$2:B143&lt;&gt;"""",$A$2:A143&lt;A144)),prevValue,XLOOKUP(prevDate,$A$2:A143,$B$2:B143),gap,A144-prevDate,unknown,COUNTIFS(Movimientos!$D"&amp;"$6:$D$505,""&gt;""&amp;prevDate,Movimientos!$D$6:$D$505,""&lt;=""&amp;A144,Movimientos!$E$6:$E$505,FALSE,Movimientos!$C$6:$C$505,""&lt;&gt;Fecha inferida*""),flow,SUMIFS(Movimientos!$B$6:$B$505,Movimientos!$D$6:$D$505,""&gt;""&amp;prevDate,Movimientos!$D$6:$D$505,""&lt;=""&amp;A144,Movimi"&amp;"entos!$E$6:$E$505,TRUE)+SUMIFS(Movimientos!$B$6:$B$505,Movimientos!$D$6:$D$505,""&gt;""&amp;prevDate,Movimientos!$D$6:$D$505,""&lt;=""&amp;A144,Movimientos!$C$6:$C$505,""Fecha inferida*""),net,B144-flow,IF(OR(gap&lt;1,unknown&gt;0,prevValue&lt;=0,net&lt;=0),"""",(POWER(net/prevVal"&amp;"ue,1/gap)-1)*100)),""""))"),"")</f>
        <v/>
      </c>
      <c r="E144" s="95" t="str">
        <f t="shared" si="0"/>
        <v/>
      </c>
    </row>
    <row r="145" spans="1:5" x14ac:dyDescent="0.25">
      <c r="A145" s="92">
        <v>46166</v>
      </c>
      <c r="B145" s="93" t="str">
        <f>IF(Diario!B149="","",Diario!B149)</f>
        <v/>
      </c>
      <c r="C145" s="93">
        <f>SUMIFS(Movimientos!$B$6:$B$505,Movimientos!$D$6:$D$505,A145,Movimientos!$E$6:$E$505,TRUE)</f>
        <v>0</v>
      </c>
      <c r="D145" s="94" t="str">
        <f ca="1">IFERROR(__xludf.DUMMYFUNCTION("IF(OR(B145="""",A145&gt;TODAY(),E145=""Histórico mensual"",E145=""Base diaria""),"""",IFERROR(LET(prevDate,MAX(FILTER($A$2:A144,$B$2:B144&lt;&gt;"""",$A$2:A144&lt;A145)),prevValue,XLOOKUP(prevDate,$A$2:A144,$B$2:B144),gap,A145-prevDate,unknown,COUNTIFS(Movimientos!$D"&amp;"$6:$D$505,""&gt;""&amp;prevDate,Movimientos!$D$6:$D$505,""&lt;=""&amp;A145,Movimientos!$E$6:$E$505,FALSE,Movimientos!$C$6:$C$505,""&lt;&gt;Fecha inferida*""),flow,SUMIFS(Movimientos!$B$6:$B$505,Movimientos!$D$6:$D$505,""&gt;""&amp;prevDate,Movimientos!$D$6:$D$505,""&lt;=""&amp;A145,Movimi"&amp;"entos!$E$6:$E$505,TRUE)+SUMIFS(Movimientos!$B$6:$B$505,Movimientos!$D$6:$D$505,""&gt;""&amp;prevDate,Movimientos!$D$6:$D$505,""&lt;=""&amp;A145,Movimientos!$C$6:$C$505,""Fecha inferida*""),net,B145-flow,IF(OR(gap&lt;1,unknown&gt;0,prevValue&lt;=0,net&lt;=0),"""",(POWER(net/prevVal"&amp;"ue,1/gap)-1)*100)),""""))"),"")</f>
        <v/>
      </c>
      <c r="E145" s="95" t="str">
        <f t="shared" si="0"/>
        <v/>
      </c>
    </row>
    <row r="146" spans="1:5" x14ac:dyDescent="0.25">
      <c r="A146" s="92">
        <v>46167</v>
      </c>
      <c r="B146" s="93" t="str">
        <f>IF(Diario!B150="","",Diario!B150)</f>
        <v/>
      </c>
      <c r="C146" s="93">
        <f>SUMIFS(Movimientos!$B$6:$B$505,Movimientos!$D$6:$D$505,A146,Movimientos!$E$6:$E$505,TRUE)</f>
        <v>0</v>
      </c>
      <c r="D146" s="94" t="str">
        <f ca="1">IFERROR(__xludf.DUMMYFUNCTION("IF(OR(B146="""",A146&gt;TODAY(),E146=""Histórico mensual"",E146=""Base diaria""),"""",IFERROR(LET(prevDate,MAX(FILTER($A$2:A145,$B$2:B145&lt;&gt;"""",$A$2:A145&lt;A146)),prevValue,XLOOKUP(prevDate,$A$2:A145,$B$2:B145),gap,A146-prevDate,unknown,COUNTIFS(Movimientos!$D"&amp;"$6:$D$505,""&gt;""&amp;prevDate,Movimientos!$D$6:$D$505,""&lt;=""&amp;A146,Movimientos!$E$6:$E$505,FALSE,Movimientos!$C$6:$C$505,""&lt;&gt;Fecha inferida*""),flow,SUMIFS(Movimientos!$B$6:$B$505,Movimientos!$D$6:$D$505,""&gt;""&amp;prevDate,Movimientos!$D$6:$D$505,""&lt;=""&amp;A146,Movimi"&amp;"entos!$E$6:$E$505,TRUE)+SUMIFS(Movimientos!$B$6:$B$505,Movimientos!$D$6:$D$505,""&gt;""&amp;prevDate,Movimientos!$D$6:$D$505,""&lt;=""&amp;A146,Movimientos!$C$6:$C$505,""Fecha inferida*""),net,B146-flow,IF(OR(gap&lt;1,unknown&gt;0,prevValue&lt;=0,net&lt;=0),"""",(POWER(net/prevVal"&amp;"ue,1/gap)-1)*100)),""""))"),"")</f>
        <v/>
      </c>
      <c r="E146" s="95" t="str">
        <f t="shared" si="0"/>
        <v/>
      </c>
    </row>
    <row r="147" spans="1:5" x14ac:dyDescent="0.25">
      <c r="A147" s="92">
        <v>46168</v>
      </c>
      <c r="B147" s="93" t="str">
        <f>IF(Diario!B151="","",Diario!B151)</f>
        <v/>
      </c>
      <c r="C147" s="93">
        <f>SUMIFS(Movimientos!$B$6:$B$505,Movimientos!$D$6:$D$505,A147,Movimientos!$E$6:$E$505,TRUE)</f>
        <v>0</v>
      </c>
      <c r="D147" s="94" t="str">
        <f ca="1">IFERROR(__xludf.DUMMYFUNCTION("IF(OR(B147="""",A147&gt;TODAY(),E147=""Histórico mensual"",E147=""Base diaria""),"""",IFERROR(LET(prevDate,MAX(FILTER($A$2:A146,$B$2:B146&lt;&gt;"""",$A$2:A146&lt;A147)),prevValue,XLOOKUP(prevDate,$A$2:A146,$B$2:B146),gap,A147-prevDate,unknown,COUNTIFS(Movimientos!$D"&amp;"$6:$D$505,""&gt;""&amp;prevDate,Movimientos!$D$6:$D$505,""&lt;=""&amp;A147,Movimientos!$E$6:$E$505,FALSE,Movimientos!$C$6:$C$505,""&lt;&gt;Fecha inferida*""),flow,SUMIFS(Movimientos!$B$6:$B$505,Movimientos!$D$6:$D$505,""&gt;""&amp;prevDate,Movimientos!$D$6:$D$505,""&lt;=""&amp;A147,Movimi"&amp;"entos!$E$6:$E$505,TRUE)+SUMIFS(Movimientos!$B$6:$B$505,Movimientos!$D$6:$D$505,""&gt;""&amp;prevDate,Movimientos!$D$6:$D$505,""&lt;=""&amp;A147,Movimientos!$C$6:$C$505,""Fecha inferida*""),net,B147-flow,IF(OR(gap&lt;1,unknown&gt;0,prevValue&lt;=0,net&lt;=0),"""",(POWER(net/prevVal"&amp;"ue,1/gap)-1)*100)),""""))"),"")</f>
        <v/>
      </c>
      <c r="E147" s="95" t="str">
        <f t="shared" si="0"/>
        <v/>
      </c>
    </row>
    <row r="148" spans="1:5" x14ac:dyDescent="0.25">
      <c r="A148" s="92">
        <v>46169</v>
      </c>
      <c r="B148" s="93" t="str">
        <f>IF(Diario!B152="","",Diario!B152)</f>
        <v/>
      </c>
      <c r="C148" s="93">
        <f>SUMIFS(Movimientos!$B$6:$B$505,Movimientos!$D$6:$D$505,A148,Movimientos!$E$6:$E$505,TRUE)</f>
        <v>0</v>
      </c>
      <c r="D148" s="94" t="str">
        <f ca="1">IFERROR(__xludf.DUMMYFUNCTION("IF(OR(B148="""",A148&gt;TODAY(),E148=""Histórico mensual"",E148=""Base diaria""),"""",IFERROR(LET(prevDate,MAX(FILTER($A$2:A147,$B$2:B147&lt;&gt;"""",$A$2:A147&lt;A148)),prevValue,XLOOKUP(prevDate,$A$2:A147,$B$2:B147),gap,A148-prevDate,unknown,COUNTIFS(Movimientos!$D"&amp;"$6:$D$505,""&gt;""&amp;prevDate,Movimientos!$D$6:$D$505,""&lt;=""&amp;A148,Movimientos!$E$6:$E$505,FALSE,Movimientos!$C$6:$C$505,""&lt;&gt;Fecha inferida*""),flow,SUMIFS(Movimientos!$B$6:$B$505,Movimientos!$D$6:$D$505,""&gt;""&amp;prevDate,Movimientos!$D$6:$D$505,""&lt;=""&amp;A148,Movimi"&amp;"entos!$E$6:$E$505,TRUE)+SUMIFS(Movimientos!$B$6:$B$505,Movimientos!$D$6:$D$505,""&gt;""&amp;prevDate,Movimientos!$D$6:$D$505,""&lt;=""&amp;A148,Movimientos!$C$6:$C$505,""Fecha inferida*""),net,B148-flow,IF(OR(gap&lt;1,unknown&gt;0,prevValue&lt;=0,net&lt;=0),"""",(POWER(net/prevVal"&amp;"ue,1/gap)-1)*100)),""""))"),"")</f>
        <v/>
      </c>
      <c r="E148" s="95" t="str">
        <f t="shared" si="0"/>
        <v/>
      </c>
    </row>
    <row r="149" spans="1:5" x14ac:dyDescent="0.25">
      <c r="A149" s="92">
        <v>46170</v>
      </c>
      <c r="B149" s="93" t="str">
        <f>IF(Diario!B153="","",Diario!B153)</f>
        <v/>
      </c>
      <c r="C149" s="93">
        <f>SUMIFS(Movimientos!$B$6:$B$505,Movimientos!$D$6:$D$505,A149,Movimientos!$E$6:$E$505,TRUE)</f>
        <v>0</v>
      </c>
      <c r="D149" s="94" t="str">
        <f ca="1">IFERROR(__xludf.DUMMYFUNCTION("IF(OR(B149="""",A149&gt;TODAY(),E149=""Histórico mensual"",E149=""Base diaria""),"""",IFERROR(LET(prevDate,MAX(FILTER($A$2:A148,$B$2:B148&lt;&gt;"""",$A$2:A148&lt;A149)),prevValue,XLOOKUP(prevDate,$A$2:A148,$B$2:B148),gap,A149-prevDate,unknown,COUNTIFS(Movimientos!$D"&amp;"$6:$D$505,""&gt;""&amp;prevDate,Movimientos!$D$6:$D$505,""&lt;=""&amp;A149,Movimientos!$E$6:$E$505,FALSE,Movimientos!$C$6:$C$505,""&lt;&gt;Fecha inferida*""),flow,SUMIFS(Movimientos!$B$6:$B$505,Movimientos!$D$6:$D$505,""&gt;""&amp;prevDate,Movimientos!$D$6:$D$505,""&lt;=""&amp;A149,Movimi"&amp;"entos!$E$6:$E$505,TRUE)+SUMIFS(Movimientos!$B$6:$B$505,Movimientos!$D$6:$D$505,""&gt;""&amp;prevDate,Movimientos!$D$6:$D$505,""&lt;=""&amp;A149,Movimientos!$C$6:$C$505,""Fecha inferida*""),net,B149-flow,IF(OR(gap&lt;1,unknown&gt;0,prevValue&lt;=0,net&lt;=0),"""",(POWER(net/prevVal"&amp;"ue,1/gap)-1)*100)),""""))"),"")</f>
        <v/>
      </c>
      <c r="E149" s="95" t="str">
        <f t="shared" si="0"/>
        <v/>
      </c>
    </row>
    <row r="150" spans="1:5" x14ac:dyDescent="0.25">
      <c r="A150" s="92">
        <v>46171</v>
      </c>
      <c r="B150" s="93">
        <f>IF(Diario!B154="","",Diario!B154)</f>
        <v>79485</v>
      </c>
      <c r="C150" s="93">
        <f>SUMIFS(Movimientos!$B$6:$B$505,Movimientos!$D$6:$D$505,A150,Movimientos!$E$6:$E$505,TRUE)</f>
        <v>-700</v>
      </c>
      <c r="D150" s="94" t="str">
        <f ca="1">IFERROR(__xludf.DUMMYFUNCTION("IF(OR(B150="""",A150&gt;TODAY(),E150=""Histórico mensual"",E150=""Base diaria""),"""",IFERROR(LET(prevDate,MAX(FILTER($A$2:A149,$B$2:B149&lt;&gt;"""",$A$2:A149&lt;A150)),prevValue,XLOOKUP(prevDate,$A$2:A149,$B$2:B149),gap,A150-prevDate,unknown,COUNTIFS(Movimientos!$D"&amp;"$6:$D$505,""&gt;""&amp;prevDate,Movimientos!$D$6:$D$505,""&lt;=""&amp;A150,Movimientos!$E$6:$E$505,FALSE,Movimientos!$C$6:$C$505,""&lt;&gt;Fecha inferida*""),flow,SUMIFS(Movimientos!$B$6:$B$505,Movimientos!$D$6:$D$505,""&gt;""&amp;prevDate,Movimientos!$D$6:$D$505,""&lt;=""&amp;A150,Movimi"&amp;"entos!$E$6:$E$505,TRUE)+SUMIFS(Movimientos!$B$6:$B$505,Movimientos!$D$6:$D$505,""&gt;""&amp;prevDate,Movimientos!$D$6:$D$505,""&lt;=""&amp;A150,Movimientos!$C$6:$C$505,""Fecha inferida*""),net,B150-flow,IF(OR(gap&lt;1,unknown&gt;0,prevValue&lt;=0,net&lt;=0),"""",(POWER(net/prevVal"&amp;"ue,1/gap)-1)*100)),""""))"),"")</f>
        <v/>
      </c>
      <c r="E150" s="95" t="str">
        <f t="shared" si="0"/>
        <v>Histórico mensual</v>
      </c>
    </row>
    <row r="151" spans="1:5" x14ac:dyDescent="0.25">
      <c r="A151" s="92">
        <v>46172</v>
      </c>
      <c r="B151" s="93" t="str">
        <f>IF(Diario!B155="","",Diario!B155)</f>
        <v/>
      </c>
      <c r="C151" s="93">
        <f>SUMIFS(Movimientos!$B$6:$B$505,Movimientos!$D$6:$D$505,A151,Movimientos!$E$6:$E$505,TRUE)</f>
        <v>0</v>
      </c>
      <c r="D151" s="94" t="str">
        <f ca="1">IFERROR(__xludf.DUMMYFUNCTION("IF(OR(B151="""",A151&gt;TODAY(),E151=""Histórico mensual"",E151=""Base diaria""),"""",IFERROR(LET(prevDate,MAX(FILTER($A$2:A150,$B$2:B150&lt;&gt;"""",$A$2:A150&lt;A151)),prevValue,XLOOKUP(prevDate,$A$2:A150,$B$2:B150),gap,A151-prevDate,unknown,COUNTIFS(Movimientos!$D"&amp;"$6:$D$505,""&gt;""&amp;prevDate,Movimientos!$D$6:$D$505,""&lt;=""&amp;A151,Movimientos!$E$6:$E$505,FALSE,Movimientos!$C$6:$C$505,""&lt;&gt;Fecha inferida*""),flow,SUMIFS(Movimientos!$B$6:$B$505,Movimientos!$D$6:$D$505,""&gt;""&amp;prevDate,Movimientos!$D$6:$D$505,""&lt;=""&amp;A151,Movimi"&amp;"entos!$E$6:$E$505,TRUE)+SUMIFS(Movimientos!$B$6:$B$505,Movimientos!$D$6:$D$505,""&gt;""&amp;prevDate,Movimientos!$D$6:$D$505,""&lt;=""&amp;A151,Movimientos!$C$6:$C$505,""Fecha inferida*""),net,B151-flow,IF(OR(gap&lt;1,unknown&gt;0,prevValue&lt;=0,net&lt;=0),"""",(POWER(net/prevVal"&amp;"ue,1/gap)-1)*100)),""""))"),"")</f>
        <v/>
      </c>
      <c r="E151" s="95" t="str">
        <f t="shared" si="0"/>
        <v/>
      </c>
    </row>
    <row r="152" spans="1:5" x14ac:dyDescent="0.25">
      <c r="A152" s="92">
        <v>46173</v>
      </c>
      <c r="B152" s="93" t="str">
        <f>IF(Diario!B156="","",Diario!B156)</f>
        <v/>
      </c>
      <c r="C152" s="93">
        <f>SUMIFS(Movimientos!$B$6:$B$505,Movimientos!$D$6:$D$505,A152,Movimientos!$E$6:$E$505,TRUE)</f>
        <v>0</v>
      </c>
      <c r="D152" s="94" t="str">
        <f ca="1">IFERROR(__xludf.DUMMYFUNCTION("IF(OR(B152="""",A152&gt;TODAY(),E152=""Histórico mensual"",E152=""Base diaria""),"""",IFERROR(LET(prevDate,MAX(FILTER($A$2:A151,$B$2:B151&lt;&gt;"""",$A$2:A151&lt;A152)),prevValue,XLOOKUP(prevDate,$A$2:A151,$B$2:B151),gap,A152-prevDate,unknown,COUNTIFS(Movimientos!$D"&amp;"$6:$D$505,""&gt;""&amp;prevDate,Movimientos!$D$6:$D$505,""&lt;=""&amp;A152,Movimientos!$E$6:$E$505,FALSE,Movimientos!$C$6:$C$505,""&lt;&gt;Fecha inferida*""),flow,SUMIFS(Movimientos!$B$6:$B$505,Movimientos!$D$6:$D$505,""&gt;""&amp;prevDate,Movimientos!$D$6:$D$505,""&lt;=""&amp;A152,Movimi"&amp;"entos!$E$6:$E$505,TRUE)+SUMIFS(Movimientos!$B$6:$B$505,Movimientos!$D$6:$D$505,""&gt;""&amp;prevDate,Movimientos!$D$6:$D$505,""&lt;=""&amp;A152,Movimientos!$C$6:$C$505,""Fecha inferida*""),net,B152-flow,IF(OR(gap&lt;1,unknown&gt;0,prevValue&lt;=0,net&lt;=0),"""",(POWER(net/prevVal"&amp;"ue,1/gap)-1)*100)),""""))"),"")</f>
        <v/>
      </c>
      <c r="E152" s="95" t="str">
        <f t="shared" si="0"/>
        <v/>
      </c>
    </row>
    <row r="153" spans="1:5" x14ac:dyDescent="0.25">
      <c r="A153" s="92">
        <v>46174</v>
      </c>
      <c r="B153" s="93" t="str">
        <f>IF(Diario!B157="","",Diario!B157)</f>
        <v/>
      </c>
      <c r="C153" s="93">
        <f>SUMIFS(Movimientos!$B$6:$B$505,Movimientos!$D$6:$D$505,A153,Movimientos!$E$6:$E$505,TRUE)</f>
        <v>0</v>
      </c>
      <c r="D153" s="94" t="str">
        <f ca="1">IFERROR(__xludf.DUMMYFUNCTION("IF(OR(B153="""",A153&gt;TODAY(),E153=""Histórico mensual"",E153=""Base diaria""),"""",IFERROR(LET(prevDate,MAX(FILTER($A$2:A152,$B$2:B152&lt;&gt;"""",$A$2:A152&lt;A153)),prevValue,XLOOKUP(prevDate,$A$2:A152,$B$2:B152),gap,A153-prevDate,unknown,COUNTIFS(Movimientos!$D"&amp;"$6:$D$505,""&gt;""&amp;prevDate,Movimientos!$D$6:$D$505,""&lt;=""&amp;A153,Movimientos!$E$6:$E$505,FALSE,Movimientos!$C$6:$C$505,""&lt;&gt;Fecha inferida*""),flow,SUMIFS(Movimientos!$B$6:$B$505,Movimientos!$D$6:$D$505,""&gt;""&amp;prevDate,Movimientos!$D$6:$D$505,""&lt;=""&amp;A153,Movimi"&amp;"entos!$E$6:$E$505,TRUE)+SUMIFS(Movimientos!$B$6:$B$505,Movimientos!$D$6:$D$505,""&gt;""&amp;prevDate,Movimientos!$D$6:$D$505,""&lt;=""&amp;A153,Movimientos!$C$6:$C$505,""Fecha inferida*""),net,B153-flow,IF(OR(gap&lt;1,unknown&gt;0,prevValue&lt;=0,net&lt;=0),"""",(POWER(net/prevVal"&amp;"ue,1/gap)-1)*100)),""""))"),"")</f>
        <v/>
      </c>
      <c r="E153" s="95" t="str">
        <f t="shared" si="0"/>
        <v/>
      </c>
    </row>
    <row r="154" spans="1:5" x14ac:dyDescent="0.25">
      <c r="A154" s="92">
        <v>46175</v>
      </c>
      <c r="B154" s="93" t="str">
        <f>IF(Diario!B158="","",Diario!B158)</f>
        <v/>
      </c>
      <c r="C154" s="93">
        <f>SUMIFS(Movimientos!$B$6:$B$505,Movimientos!$D$6:$D$505,A154,Movimientos!$E$6:$E$505,TRUE)</f>
        <v>0</v>
      </c>
      <c r="D154" s="94" t="str">
        <f ca="1">IFERROR(__xludf.DUMMYFUNCTION("IF(OR(B154="""",A154&gt;TODAY(),E154=""Histórico mensual"",E154=""Base diaria""),"""",IFERROR(LET(prevDate,MAX(FILTER($A$2:A153,$B$2:B153&lt;&gt;"""",$A$2:A153&lt;A154)),prevValue,XLOOKUP(prevDate,$A$2:A153,$B$2:B153),gap,A154-prevDate,unknown,COUNTIFS(Movimientos!$D"&amp;"$6:$D$505,""&gt;""&amp;prevDate,Movimientos!$D$6:$D$505,""&lt;=""&amp;A154,Movimientos!$E$6:$E$505,FALSE,Movimientos!$C$6:$C$505,""&lt;&gt;Fecha inferida*""),flow,SUMIFS(Movimientos!$B$6:$B$505,Movimientos!$D$6:$D$505,""&gt;""&amp;prevDate,Movimientos!$D$6:$D$505,""&lt;=""&amp;A154,Movimi"&amp;"entos!$E$6:$E$505,TRUE)+SUMIFS(Movimientos!$B$6:$B$505,Movimientos!$D$6:$D$505,""&gt;""&amp;prevDate,Movimientos!$D$6:$D$505,""&lt;=""&amp;A154,Movimientos!$C$6:$C$505,""Fecha inferida*""),net,B154-flow,IF(OR(gap&lt;1,unknown&gt;0,prevValue&lt;=0,net&lt;=0),"""",(POWER(net/prevVal"&amp;"ue,1/gap)-1)*100)),""""))"),"")</f>
        <v/>
      </c>
      <c r="E154" s="95" t="str">
        <f t="shared" si="0"/>
        <v/>
      </c>
    </row>
    <row r="155" spans="1:5" x14ac:dyDescent="0.25">
      <c r="A155" s="92">
        <v>46176</v>
      </c>
      <c r="B155" s="93" t="str">
        <f>IF(Diario!B159="","",Diario!B159)</f>
        <v/>
      </c>
      <c r="C155" s="93">
        <f>SUMIFS(Movimientos!$B$6:$B$505,Movimientos!$D$6:$D$505,A155,Movimientos!$E$6:$E$505,TRUE)</f>
        <v>0</v>
      </c>
      <c r="D155" s="94" t="str">
        <f ca="1">IFERROR(__xludf.DUMMYFUNCTION("IF(OR(B155="""",A155&gt;TODAY(),E155=""Histórico mensual"",E155=""Base diaria""),"""",IFERROR(LET(prevDate,MAX(FILTER($A$2:A154,$B$2:B154&lt;&gt;"""",$A$2:A154&lt;A155)),prevValue,XLOOKUP(prevDate,$A$2:A154,$B$2:B154),gap,A155-prevDate,unknown,COUNTIFS(Movimientos!$D"&amp;"$6:$D$505,""&gt;""&amp;prevDate,Movimientos!$D$6:$D$505,""&lt;=""&amp;A155,Movimientos!$E$6:$E$505,FALSE,Movimientos!$C$6:$C$505,""&lt;&gt;Fecha inferida*""),flow,SUMIFS(Movimientos!$B$6:$B$505,Movimientos!$D$6:$D$505,""&gt;""&amp;prevDate,Movimientos!$D$6:$D$505,""&lt;=""&amp;A155,Movimi"&amp;"entos!$E$6:$E$505,TRUE)+SUMIFS(Movimientos!$B$6:$B$505,Movimientos!$D$6:$D$505,""&gt;""&amp;prevDate,Movimientos!$D$6:$D$505,""&lt;=""&amp;A155,Movimientos!$C$6:$C$505,""Fecha inferida*""),net,B155-flow,IF(OR(gap&lt;1,unknown&gt;0,prevValue&lt;=0,net&lt;=0),"""",(POWER(net/prevVal"&amp;"ue,1/gap)-1)*100)),""""))"),"")</f>
        <v/>
      </c>
      <c r="E155" s="95" t="str">
        <f t="shared" si="0"/>
        <v/>
      </c>
    </row>
    <row r="156" spans="1:5" x14ac:dyDescent="0.25">
      <c r="A156" s="92">
        <v>46177</v>
      </c>
      <c r="B156" s="93" t="str">
        <f>IF(Diario!B160="","",Diario!B160)</f>
        <v/>
      </c>
      <c r="C156" s="93">
        <f>SUMIFS(Movimientos!$B$6:$B$505,Movimientos!$D$6:$D$505,A156,Movimientos!$E$6:$E$505,TRUE)</f>
        <v>0</v>
      </c>
      <c r="D156" s="94" t="str">
        <f ca="1">IFERROR(__xludf.DUMMYFUNCTION("IF(OR(B156="""",A156&gt;TODAY(),E156=""Histórico mensual"",E156=""Base diaria""),"""",IFERROR(LET(prevDate,MAX(FILTER($A$2:A155,$B$2:B155&lt;&gt;"""",$A$2:A155&lt;A156)),prevValue,XLOOKUP(prevDate,$A$2:A155,$B$2:B155),gap,A156-prevDate,unknown,COUNTIFS(Movimientos!$D"&amp;"$6:$D$505,""&gt;""&amp;prevDate,Movimientos!$D$6:$D$505,""&lt;=""&amp;A156,Movimientos!$E$6:$E$505,FALSE,Movimientos!$C$6:$C$505,""&lt;&gt;Fecha inferida*""),flow,SUMIFS(Movimientos!$B$6:$B$505,Movimientos!$D$6:$D$505,""&gt;""&amp;prevDate,Movimientos!$D$6:$D$505,""&lt;=""&amp;A156,Movimi"&amp;"entos!$E$6:$E$505,TRUE)+SUMIFS(Movimientos!$B$6:$B$505,Movimientos!$D$6:$D$505,""&gt;""&amp;prevDate,Movimientos!$D$6:$D$505,""&lt;=""&amp;A156,Movimientos!$C$6:$C$505,""Fecha inferida*""),net,B156-flow,IF(OR(gap&lt;1,unknown&gt;0,prevValue&lt;=0,net&lt;=0),"""",(POWER(net/prevVal"&amp;"ue,1/gap)-1)*100)),""""))"),"")</f>
        <v/>
      </c>
      <c r="E156" s="95" t="str">
        <f t="shared" si="0"/>
        <v/>
      </c>
    </row>
    <row r="157" spans="1:5" x14ac:dyDescent="0.25">
      <c r="A157" s="92">
        <v>46178</v>
      </c>
      <c r="B157" s="93" t="str">
        <f>IF(Diario!B161="","",Diario!B161)</f>
        <v/>
      </c>
      <c r="C157" s="93">
        <f>SUMIFS(Movimientos!$B$6:$B$505,Movimientos!$D$6:$D$505,A157,Movimientos!$E$6:$E$505,TRUE)</f>
        <v>0</v>
      </c>
      <c r="D157" s="94" t="str">
        <f ca="1">IFERROR(__xludf.DUMMYFUNCTION("IF(OR(B157="""",A157&gt;TODAY(),E157=""Histórico mensual"",E157=""Base diaria""),"""",IFERROR(LET(prevDate,MAX(FILTER($A$2:A156,$B$2:B156&lt;&gt;"""",$A$2:A156&lt;A157)),prevValue,XLOOKUP(prevDate,$A$2:A156,$B$2:B156),gap,A157-prevDate,unknown,COUNTIFS(Movimientos!$D"&amp;"$6:$D$505,""&gt;""&amp;prevDate,Movimientos!$D$6:$D$505,""&lt;=""&amp;A157,Movimientos!$E$6:$E$505,FALSE,Movimientos!$C$6:$C$505,""&lt;&gt;Fecha inferida*""),flow,SUMIFS(Movimientos!$B$6:$B$505,Movimientos!$D$6:$D$505,""&gt;""&amp;prevDate,Movimientos!$D$6:$D$505,""&lt;=""&amp;A157,Movimi"&amp;"entos!$E$6:$E$505,TRUE)+SUMIFS(Movimientos!$B$6:$B$505,Movimientos!$D$6:$D$505,""&gt;""&amp;prevDate,Movimientos!$D$6:$D$505,""&lt;=""&amp;A157,Movimientos!$C$6:$C$505,""Fecha inferida*""),net,B157-flow,IF(OR(gap&lt;1,unknown&gt;0,prevValue&lt;=0,net&lt;=0),"""",(POWER(net/prevVal"&amp;"ue,1/gap)-1)*100)),""""))"),"")</f>
        <v/>
      </c>
      <c r="E157" s="95" t="str">
        <f t="shared" si="0"/>
        <v/>
      </c>
    </row>
    <row r="158" spans="1:5" x14ac:dyDescent="0.25">
      <c r="A158" s="92">
        <v>46179</v>
      </c>
      <c r="B158" s="93" t="str">
        <f>IF(Diario!B162="","",Diario!B162)</f>
        <v/>
      </c>
      <c r="C158" s="93">
        <f>SUMIFS(Movimientos!$B$6:$B$505,Movimientos!$D$6:$D$505,A158,Movimientos!$E$6:$E$505,TRUE)</f>
        <v>0</v>
      </c>
      <c r="D158" s="94" t="str">
        <f ca="1">IFERROR(__xludf.DUMMYFUNCTION("IF(OR(B158="""",A158&gt;TODAY(),E158=""Histórico mensual"",E158=""Base diaria""),"""",IFERROR(LET(prevDate,MAX(FILTER($A$2:A157,$B$2:B157&lt;&gt;"""",$A$2:A157&lt;A158)),prevValue,XLOOKUP(prevDate,$A$2:A157,$B$2:B157),gap,A158-prevDate,unknown,COUNTIFS(Movimientos!$D"&amp;"$6:$D$505,""&gt;""&amp;prevDate,Movimientos!$D$6:$D$505,""&lt;=""&amp;A158,Movimientos!$E$6:$E$505,FALSE,Movimientos!$C$6:$C$505,""&lt;&gt;Fecha inferida*""),flow,SUMIFS(Movimientos!$B$6:$B$505,Movimientos!$D$6:$D$505,""&gt;""&amp;prevDate,Movimientos!$D$6:$D$505,""&lt;=""&amp;A158,Movimi"&amp;"entos!$E$6:$E$505,TRUE)+SUMIFS(Movimientos!$B$6:$B$505,Movimientos!$D$6:$D$505,""&gt;""&amp;prevDate,Movimientos!$D$6:$D$505,""&lt;=""&amp;A158,Movimientos!$C$6:$C$505,""Fecha inferida*""),net,B158-flow,IF(OR(gap&lt;1,unknown&gt;0,prevValue&lt;=0,net&lt;=0),"""",(POWER(net/prevVal"&amp;"ue,1/gap)-1)*100)),""""))"),"")</f>
        <v/>
      </c>
      <c r="E158" s="95" t="str">
        <f t="shared" si="0"/>
        <v/>
      </c>
    </row>
    <row r="159" spans="1:5" x14ac:dyDescent="0.25">
      <c r="A159" s="92">
        <v>46180</v>
      </c>
      <c r="B159" s="93" t="str">
        <f>IF(Diario!B163="","",Diario!B163)</f>
        <v/>
      </c>
      <c r="C159" s="93">
        <f>SUMIFS(Movimientos!$B$6:$B$505,Movimientos!$D$6:$D$505,A159,Movimientos!$E$6:$E$505,TRUE)</f>
        <v>0</v>
      </c>
      <c r="D159" s="94" t="str">
        <f ca="1">IFERROR(__xludf.DUMMYFUNCTION("IF(OR(B159="""",A159&gt;TODAY(),E159=""Histórico mensual"",E159=""Base diaria""),"""",IFERROR(LET(prevDate,MAX(FILTER($A$2:A158,$B$2:B158&lt;&gt;"""",$A$2:A158&lt;A159)),prevValue,XLOOKUP(prevDate,$A$2:A158,$B$2:B158),gap,A159-prevDate,unknown,COUNTIFS(Movimientos!$D"&amp;"$6:$D$505,""&gt;""&amp;prevDate,Movimientos!$D$6:$D$505,""&lt;=""&amp;A159,Movimientos!$E$6:$E$505,FALSE,Movimientos!$C$6:$C$505,""&lt;&gt;Fecha inferida*""),flow,SUMIFS(Movimientos!$B$6:$B$505,Movimientos!$D$6:$D$505,""&gt;""&amp;prevDate,Movimientos!$D$6:$D$505,""&lt;=""&amp;A159,Movimi"&amp;"entos!$E$6:$E$505,TRUE)+SUMIFS(Movimientos!$B$6:$B$505,Movimientos!$D$6:$D$505,""&gt;""&amp;prevDate,Movimientos!$D$6:$D$505,""&lt;=""&amp;A159,Movimientos!$C$6:$C$505,""Fecha inferida*""),net,B159-flow,IF(OR(gap&lt;1,unknown&gt;0,prevValue&lt;=0,net&lt;=0),"""",(POWER(net/prevVal"&amp;"ue,1/gap)-1)*100)),""""))"),"")</f>
        <v/>
      </c>
      <c r="E159" s="95" t="str">
        <f t="shared" si="0"/>
        <v/>
      </c>
    </row>
    <row r="160" spans="1:5" x14ac:dyDescent="0.25">
      <c r="A160" s="92">
        <v>46181</v>
      </c>
      <c r="B160" s="93" t="str">
        <f>IF(Diario!B164="","",Diario!B164)</f>
        <v/>
      </c>
      <c r="C160" s="93">
        <f>SUMIFS(Movimientos!$B$6:$B$505,Movimientos!$D$6:$D$505,A160,Movimientos!$E$6:$E$505,TRUE)</f>
        <v>0</v>
      </c>
      <c r="D160" s="94" t="str">
        <f ca="1">IFERROR(__xludf.DUMMYFUNCTION("IF(OR(B160="""",A160&gt;TODAY(),E160=""Histórico mensual"",E160=""Base diaria""),"""",IFERROR(LET(prevDate,MAX(FILTER($A$2:A159,$B$2:B159&lt;&gt;"""",$A$2:A159&lt;A160)),prevValue,XLOOKUP(prevDate,$A$2:A159,$B$2:B159),gap,A160-prevDate,unknown,COUNTIFS(Movimientos!$D"&amp;"$6:$D$505,""&gt;""&amp;prevDate,Movimientos!$D$6:$D$505,""&lt;=""&amp;A160,Movimientos!$E$6:$E$505,FALSE,Movimientos!$C$6:$C$505,""&lt;&gt;Fecha inferida*""),flow,SUMIFS(Movimientos!$B$6:$B$505,Movimientos!$D$6:$D$505,""&gt;""&amp;prevDate,Movimientos!$D$6:$D$505,""&lt;=""&amp;A160,Movimi"&amp;"entos!$E$6:$E$505,TRUE)+SUMIFS(Movimientos!$B$6:$B$505,Movimientos!$D$6:$D$505,""&gt;""&amp;prevDate,Movimientos!$D$6:$D$505,""&lt;=""&amp;A160,Movimientos!$C$6:$C$505,""Fecha inferida*""),net,B160-flow,IF(OR(gap&lt;1,unknown&gt;0,prevValue&lt;=0,net&lt;=0),"""",(POWER(net/prevVal"&amp;"ue,1/gap)-1)*100)),""""))"),"")</f>
        <v/>
      </c>
      <c r="E160" s="95" t="str">
        <f t="shared" si="0"/>
        <v/>
      </c>
    </row>
    <row r="161" spans="1:5" x14ac:dyDescent="0.25">
      <c r="A161" s="92">
        <v>46182</v>
      </c>
      <c r="B161" s="93" t="str">
        <f>IF(Diario!B165="","",Diario!B165)</f>
        <v/>
      </c>
      <c r="C161" s="93">
        <f>SUMIFS(Movimientos!$B$6:$B$505,Movimientos!$D$6:$D$505,A161,Movimientos!$E$6:$E$505,TRUE)</f>
        <v>0</v>
      </c>
      <c r="D161" s="94" t="str">
        <f ca="1">IFERROR(__xludf.DUMMYFUNCTION("IF(OR(B161="""",A161&gt;TODAY(),E161=""Histórico mensual"",E161=""Base diaria""),"""",IFERROR(LET(prevDate,MAX(FILTER($A$2:A160,$B$2:B160&lt;&gt;"""",$A$2:A160&lt;A161)),prevValue,XLOOKUP(prevDate,$A$2:A160,$B$2:B160),gap,A161-prevDate,unknown,COUNTIFS(Movimientos!$D"&amp;"$6:$D$505,""&gt;""&amp;prevDate,Movimientos!$D$6:$D$505,""&lt;=""&amp;A161,Movimientos!$E$6:$E$505,FALSE,Movimientos!$C$6:$C$505,""&lt;&gt;Fecha inferida*""),flow,SUMIFS(Movimientos!$B$6:$B$505,Movimientos!$D$6:$D$505,""&gt;""&amp;prevDate,Movimientos!$D$6:$D$505,""&lt;=""&amp;A161,Movimi"&amp;"entos!$E$6:$E$505,TRUE)+SUMIFS(Movimientos!$B$6:$B$505,Movimientos!$D$6:$D$505,""&gt;""&amp;prevDate,Movimientos!$D$6:$D$505,""&lt;=""&amp;A161,Movimientos!$C$6:$C$505,""Fecha inferida*""),net,B161-flow,IF(OR(gap&lt;1,unknown&gt;0,prevValue&lt;=0,net&lt;=0),"""",(POWER(net/prevVal"&amp;"ue,1/gap)-1)*100)),""""))"),"")</f>
        <v/>
      </c>
      <c r="E161" s="95" t="str">
        <f t="shared" si="0"/>
        <v/>
      </c>
    </row>
    <row r="162" spans="1:5" x14ac:dyDescent="0.25">
      <c r="A162" s="92">
        <v>46183</v>
      </c>
      <c r="B162" s="93" t="str">
        <f>IF(Diario!B166="","",Diario!B166)</f>
        <v/>
      </c>
      <c r="C162" s="93">
        <f>SUMIFS(Movimientos!$B$6:$B$505,Movimientos!$D$6:$D$505,A162,Movimientos!$E$6:$E$505,TRUE)</f>
        <v>0</v>
      </c>
      <c r="D162" s="94" t="str">
        <f ca="1">IFERROR(__xludf.DUMMYFUNCTION("IF(OR(B162="""",A162&gt;TODAY(),E162=""Histórico mensual"",E162=""Base diaria""),"""",IFERROR(LET(prevDate,MAX(FILTER($A$2:A161,$B$2:B161&lt;&gt;"""",$A$2:A161&lt;A162)),prevValue,XLOOKUP(prevDate,$A$2:A161,$B$2:B161),gap,A162-prevDate,unknown,COUNTIFS(Movimientos!$D"&amp;"$6:$D$505,""&gt;""&amp;prevDate,Movimientos!$D$6:$D$505,""&lt;=""&amp;A162,Movimientos!$E$6:$E$505,FALSE,Movimientos!$C$6:$C$505,""&lt;&gt;Fecha inferida*""),flow,SUMIFS(Movimientos!$B$6:$B$505,Movimientos!$D$6:$D$505,""&gt;""&amp;prevDate,Movimientos!$D$6:$D$505,""&lt;=""&amp;A162,Movimi"&amp;"entos!$E$6:$E$505,TRUE)+SUMIFS(Movimientos!$B$6:$B$505,Movimientos!$D$6:$D$505,""&gt;""&amp;prevDate,Movimientos!$D$6:$D$505,""&lt;=""&amp;A162,Movimientos!$C$6:$C$505,""Fecha inferida*""),net,B162-flow,IF(OR(gap&lt;1,unknown&gt;0,prevValue&lt;=0,net&lt;=0),"""",(POWER(net/prevVal"&amp;"ue,1/gap)-1)*100)),""""))"),"")</f>
        <v/>
      </c>
      <c r="E162" s="95" t="str">
        <f t="shared" si="0"/>
        <v/>
      </c>
    </row>
    <row r="163" spans="1:5" x14ac:dyDescent="0.25">
      <c r="A163" s="92">
        <v>46184</v>
      </c>
      <c r="B163" s="93" t="str">
        <f>IF(Diario!B167="","",Diario!B167)</f>
        <v/>
      </c>
      <c r="C163" s="93">
        <f>SUMIFS(Movimientos!$B$6:$B$505,Movimientos!$D$6:$D$505,A163,Movimientos!$E$6:$E$505,TRUE)</f>
        <v>0</v>
      </c>
      <c r="D163" s="94" t="str">
        <f ca="1">IFERROR(__xludf.DUMMYFUNCTION("IF(OR(B163="""",A163&gt;TODAY(),E163=""Histórico mensual"",E163=""Base diaria""),"""",IFERROR(LET(prevDate,MAX(FILTER($A$2:A162,$B$2:B162&lt;&gt;"""",$A$2:A162&lt;A163)),prevValue,XLOOKUP(prevDate,$A$2:A162,$B$2:B162),gap,A163-prevDate,unknown,COUNTIFS(Movimientos!$D"&amp;"$6:$D$505,""&gt;""&amp;prevDate,Movimientos!$D$6:$D$505,""&lt;=""&amp;A163,Movimientos!$E$6:$E$505,FALSE,Movimientos!$C$6:$C$505,""&lt;&gt;Fecha inferida*""),flow,SUMIFS(Movimientos!$B$6:$B$505,Movimientos!$D$6:$D$505,""&gt;""&amp;prevDate,Movimientos!$D$6:$D$505,""&lt;=""&amp;A163,Movimi"&amp;"entos!$E$6:$E$505,TRUE)+SUMIFS(Movimientos!$B$6:$B$505,Movimientos!$D$6:$D$505,""&gt;""&amp;prevDate,Movimientos!$D$6:$D$505,""&lt;=""&amp;A163,Movimientos!$C$6:$C$505,""Fecha inferida*""),net,B163-flow,IF(OR(gap&lt;1,unknown&gt;0,prevValue&lt;=0,net&lt;=0),"""",(POWER(net/prevVal"&amp;"ue,1/gap)-1)*100)),""""))"),"")</f>
        <v/>
      </c>
      <c r="E163" s="95" t="str">
        <f t="shared" si="0"/>
        <v/>
      </c>
    </row>
    <row r="164" spans="1:5" x14ac:dyDescent="0.25">
      <c r="A164" s="92">
        <v>46185</v>
      </c>
      <c r="B164" s="93" t="str">
        <f>IF(Diario!B168="","",Diario!B168)</f>
        <v/>
      </c>
      <c r="C164" s="93">
        <f>SUMIFS(Movimientos!$B$6:$B$505,Movimientos!$D$6:$D$505,A164,Movimientos!$E$6:$E$505,TRUE)</f>
        <v>0</v>
      </c>
      <c r="D164" s="94" t="str">
        <f ca="1">IFERROR(__xludf.DUMMYFUNCTION("IF(OR(B164="""",A164&gt;TODAY(),E164=""Histórico mensual"",E164=""Base diaria""),"""",IFERROR(LET(prevDate,MAX(FILTER($A$2:A163,$B$2:B163&lt;&gt;"""",$A$2:A163&lt;A164)),prevValue,XLOOKUP(prevDate,$A$2:A163,$B$2:B163),gap,A164-prevDate,unknown,COUNTIFS(Movimientos!$D"&amp;"$6:$D$505,""&gt;""&amp;prevDate,Movimientos!$D$6:$D$505,""&lt;=""&amp;A164,Movimientos!$E$6:$E$505,FALSE,Movimientos!$C$6:$C$505,""&lt;&gt;Fecha inferida*""),flow,SUMIFS(Movimientos!$B$6:$B$505,Movimientos!$D$6:$D$505,""&gt;""&amp;prevDate,Movimientos!$D$6:$D$505,""&lt;=""&amp;A164,Movimi"&amp;"entos!$E$6:$E$505,TRUE)+SUMIFS(Movimientos!$B$6:$B$505,Movimientos!$D$6:$D$505,""&gt;""&amp;prevDate,Movimientos!$D$6:$D$505,""&lt;=""&amp;A164,Movimientos!$C$6:$C$505,""Fecha inferida*""),net,B164-flow,IF(OR(gap&lt;1,unknown&gt;0,prevValue&lt;=0,net&lt;=0),"""",(POWER(net/prevVal"&amp;"ue,1/gap)-1)*100)),""""))"),"")</f>
        <v/>
      </c>
      <c r="E164" s="95" t="str">
        <f t="shared" si="0"/>
        <v/>
      </c>
    </row>
    <row r="165" spans="1:5" x14ac:dyDescent="0.25">
      <c r="A165" s="92">
        <v>46186</v>
      </c>
      <c r="B165" s="93" t="str">
        <f>IF(Diario!B169="","",Diario!B169)</f>
        <v/>
      </c>
      <c r="C165" s="93">
        <f>SUMIFS(Movimientos!$B$6:$B$505,Movimientos!$D$6:$D$505,A165,Movimientos!$E$6:$E$505,TRUE)</f>
        <v>0</v>
      </c>
      <c r="D165" s="94" t="str">
        <f ca="1">IFERROR(__xludf.DUMMYFUNCTION("IF(OR(B165="""",A165&gt;TODAY(),E165=""Histórico mensual"",E165=""Base diaria""),"""",IFERROR(LET(prevDate,MAX(FILTER($A$2:A164,$B$2:B164&lt;&gt;"""",$A$2:A164&lt;A165)),prevValue,XLOOKUP(prevDate,$A$2:A164,$B$2:B164),gap,A165-prevDate,unknown,COUNTIFS(Movimientos!$D"&amp;"$6:$D$505,""&gt;""&amp;prevDate,Movimientos!$D$6:$D$505,""&lt;=""&amp;A165,Movimientos!$E$6:$E$505,FALSE,Movimientos!$C$6:$C$505,""&lt;&gt;Fecha inferida*""),flow,SUMIFS(Movimientos!$B$6:$B$505,Movimientos!$D$6:$D$505,""&gt;""&amp;prevDate,Movimientos!$D$6:$D$505,""&lt;=""&amp;A165,Movimi"&amp;"entos!$E$6:$E$505,TRUE)+SUMIFS(Movimientos!$B$6:$B$505,Movimientos!$D$6:$D$505,""&gt;""&amp;prevDate,Movimientos!$D$6:$D$505,""&lt;=""&amp;A165,Movimientos!$C$6:$C$505,""Fecha inferida*""),net,B165-flow,IF(OR(gap&lt;1,unknown&gt;0,prevValue&lt;=0,net&lt;=0),"""",(POWER(net/prevVal"&amp;"ue,1/gap)-1)*100)),""""))"),"")</f>
        <v/>
      </c>
      <c r="E165" s="95" t="str">
        <f t="shared" si="0"/>
        <v/>
      </c>
    </row>
    <row r="166" spans="1:5" x14ac:dyDescent="0.25">
      <c r="A166" s="92">
        <v>46187</v>
      </c>
      <c r="B166" s="93" t="str">
        <f>IF(Diario!B170="","",Diario!B170)</f>
        <v/>
      </c>
      <c r="C166" s="93">
        <f>SUMIFS(Movimientos!$B$6:$B$505,Movimientos!$D$6:$D$505,A166,Movimientos!$E$6:$E$505,TRUE)</f>
        <v>0</v>
      </c>
      <c r="D166" s="94" t="str">
        <f ca="1">IFERROR(__xludf.DUMMYFUNCTION("IF(OR(B166="""",A166&gt;TODAY(),E166=""Histórico mensual"",E166=""Base diaria""),"""",IFERROR(LET(prevDate,MAX(FILTER($A$2:A165,$B$2:B165&lt;&gt;"""",$A$2:A165&lt;A166)),prevValue,XLOOKUP(prevDate,$A$2:A165,$B$2:B165),gap,A166-prevDate,unknown,COUNTIFS(Movimientos!$D"&amp;"$6:$D$505,""&gt;""&amp;prevDate,Movimientos!$D$6:$D$505,""&lt;=""&amp;A166,Movimientos!$E$6:$E$505,FALSE,Movimientos!$C$6:$C$505,""&lt;&gt;Fecha inferida*""),flow,SUMIFS(Movimientos!$B$6:$B$505,Movimientos!$D$6:$D$505,""&gt;""&amp;prevDate,Movimientos!$D$6:$D$505,""&lt;=""&amp;A166,Movimi"&amp;"entos!$E$6:$E$505,TRUE)+SUMIFS(Movimientos!$B$6:$B$505,Movimientos!$D$6:$D$505,""&gt;""&amp;prevDate,Movimientos!$D$6:$D$505,""&lt;=""&amp;A166,Movimientos!$C$6:$C$505,""Fecha inferida*""),net,B166-flow,IF(OR(gap&lt;1,unknown&gt;0,prevValue&lt;=0,net&lt;=0),"""",(POWER(net/prevVal"&amp;"ue,1/gap)-1)*100)),""""))"),"")</f>
        <v/>
      </c>
      <c r="E166" s="95" t="str">
        <f t="shared" si="0"/>
        <v/>
      </c>
    </row>
    <row r="167" spans="1:5" x14ac:dyDescent="0.25">
      <c r="A167" s="92">
        <v>46188</v>
      </c>
      <c r="B167" s="93" t="str">
        <f>IF(Diario!B171="","",Diario!B171)</f>
        <v/>
      </c>
      <c r="C167" s="93">
        <f>SUMIFS(Movimientos!$B$6:$B$505,Movimientos!$D$6:$D$505,A167,Movimientos!$E$6:$E$505,TRUE)</f>
        <v>0</v>
      </c>
      <c r="D167" s="94" t="str">
        <f ca="1">IFERROR(__xludf.DUMMYFUNCTION("IF(OR(B167="""",A167&gt;TODAY(),E167=""Histórico mensual"",E167=""Base diaria""),"""",IFERROR(LET(prevDate,MAX(FILTER($A$2:A166,$B$2:B166&lt;&gt;"""",$A$2:A166&lt;A167)),prevValue,XLOOKUP(prevDate,$A$2:A166,$B$2:B166),gap,A167-prevDate,unknown,COUNTIFS(Movimientos!$D"&amp;"$6:$D$505,""&gt;""&amp;prevDate,Movimientos!$D$6:$D$505,""&lt;=""&amp;A167,Movimientos!$E$6:$E$505,FALSE,Movimientos!$C$6:$C$505,""&lt;&gt;Fecha inferida*""),flow,SUMIFS(Movimientos!$B$6:$B$505,Movimientos!$D$6:$D$505,""&gt;""&amp;prevDate,Movimientos!$D$6:$D$505,""&lt;=""&amp;A167,Movimi"&amp;"entos!$E$6:$E$505,TRUE)+SUMIFS(Movimientos!$B$6:$B$505,Movimientos!$D$6:$D$505,""&gt;""&amp;prevDate,Movimientos!$D$6:$D$505,""&lt;=""&amp;A167,Movimientos!$C$6:$C$505,""Fecha inferida*""),net,B167-flow,IF(OR(gap&lt;1,unknown&gt;0,prevValue&lt;=0,net&lt;=0),"""",(POWER(net/prevVal"&amp;"ue,1/gap)-1)*100)),""""))"),"")</f>
        <v/>
      </c>
      <c r="E167" s="95" t="str">
        <f t="shared" si="0"/>
        <v/>
      </c>
    </row>
    <row r="168" spans="1:5" x14ac:dyDescent="0.25">
      <c r="A168" s="92">
        <v>46189</v>
      </c>
      <c r="B168" s="93" t="str">
        <f>IF(Diario!B172="","",Diario!B172)</f>
        <v/>
      </c>
      <c r="C168" s="93">
        <f>SUMIFS(Movimientos!$B$6:$B$505,Movimientos!$D$6:$D$505,A168,Movimientos!$E$6:$E$505,TRUE)</f>
        <v>0</v>
      </c>
      <c r="D168" s="94" t="str">
        <f ca="1">IFERROR(__xludf.DUMMYFUNCTION("IF(OR(B168="""",A168&gt;TODAY(),E168=""Histórico mensual"",E168=""Base diaria""),"""",IFERROR(LET(prevDate,MAX(FILTER($A$2:A167,$B$2:B167&lt;&gt;"""",$A$2:A167&lt;A168)),prevValue,XLOOKUP(prevDate,$A$2:A167,$B$2:B167),gap,A168-prevDate,unknown,COUNTIFS(Movimientos!$D"&amp;"$6:$D$505,""&gt;""&amp;prevDate,Movimientos!$D$6:$D$505,""&lt;=""&amp;A168,Movimientos!$E$6:$E$505,FALSE,Movimientos!$C$6:$C$505,""&lt;&gt;Fecha inferida*""),flow,SUMIFS(Movimientos!$B$6:$B$505,Movimientos!$D$6:$D$505,""&gt;""&amp;prevDate,Movimientos!$D$6:$D$505,""&lt;=""&amp;A168,Movimi"&amp;"entos!$E$6:$E$505,TRUE)+SUMIFS(Movimientos!$B$6:$B$505,Movimientos!$D$6:$D$505,""&gt;""&amp;prevDate,Movimientos!$D$6:$D$505,""&lt;=""&amp;A168,Movimientos!$C$6:$C$505,""Fecha inferida*""),net,B168-flow,IF(OR(gap&lt;1,unknown&gt;0,prevValue&lt;=0,net&lt;=0),"""",(POWER(net/prevVal"&amp;"ue,1/gap)-1)*100)),""""))"),"")</f>
        <v/>
      </c>
      <c r="E168" s="95" t="str">
        <f t="shared" si="0"/>
        <v/>
      </c>
    </row>
    <row r="169" spans="1:5" x14ac:dyDescent="0.25">
      <c r="A169" s="92">
        <v>46190</v>
      </c>
      <c r="B169" s="93" t="str">
        <f>IF(Diario!B173="","",Diario!B173)</f>
        <v/>
      </c>
      <c r="C169" s="93">
        <f>SUMIFS(Movimientos!$B$6:$B$505,Movimientos!$D$6:$D$505,A169,Movimientos!$E$6:$E$505,TRUE)</f>
        <v>0</v>
      </c>
      <c r="D169" s="94" t="str">
        <f ca="1">IFERROR(__xludf.DUMMYFUNCTION("IF(OR(B169="""",A169&gt;TODAY(),E169=""Histórico mensual"",E169=""Base diaria""),"""",IFERROR(LET(prevDate,MAX(FILTER($A$2:A168,$B$2:B168&lt;&gt;"""",$A$2:A168&lt;A169)),prevValue,XLOOKUP(prevDate,$A$2:A168,$B$2:B168),gap,A169-prevDate,unknown,COUNTIFS(Movimientos!$D"&amp;"$6:$D$505,""&gt;""&amp;prevDate,Movimientos!$D$6:$D$505,""&lt;=""&amp;A169,Movimientos!$E$6:$E$505,FALSE,Movimientos!$C$6:$C$505,""&lt;&gt;Fecha inferida*""),flow,SUMIFS(Movimientos!$B$6:$B$505,Movimientos!$D$6:$D$505,""&gt;""&amp;prevDate,Movimientos!$D$6:$D$505,""&lt;=""&amp;A169,Movimi"&amp;"entos!$E$6:$E$505,TRUE)+SUMIFS(Movimientos!$B$6:$B$505,Movimientos!$D$6:$D$505,""&gt;""&amp;prevDate,Movimientos!$D$6:$D$505,""&lt;=""&amp;A169,Movimientos!$C$6:$C$505,""Fecha inferida*""),net,B169-flow,IF(OR(gap&lt;1,unknown&gt;0,prevValue&lt;=0,net&lt;=0),"""",(POWER(net/prevVal"&amp;"ue,1/gap)-1)*100)),""""))"),"")</f>
        <v/>
      </c>
      <c r="E169" s="95" t="str">
        <f t="shared" si="0"/>
        <v/>
      </c>
    </row>
    <row r="170" spans="1:5" x14ac:dyDescent="0.25">
      <c r="A170" s="92">
        <v>46191</v>
      </c>
      <c r="B170" s="93" t="str">
        <f>IF(Diario!B174="","",Diario!B174)</f>
        <v/>
      </c>
      <c r="C170" s="93">
        <f>SUMIFS(Movimientos!$B$6:$B$505,Movimientos!$D$6:$D$505,A170,Movimientos!$E$6:$E$505,TRUE)</f>
        <v>0</v>
      </c>
      <c r="D170" s="94" t="str">
        <f ca="1">IFERROR(__xludf.DUMMYFUNCTION("IF(OR(B170="""",A170&gt;TODAY(),E170=""Histórico mensual"",E170=""Base diaria""),"""",IFERROR(LET(prevDate,MAX(FILTER($A$2:A169,$B$2:B169&lt;&gt;"""",$A$2:A169&lt;A170)),prevValue,XLOOKUP(prevDate,$A$2:A169,$B$2:B169),gap,A170-prevDate,unknown,COUNTIFS(Movimientos!$D"&amp;"$6:$D$505,""&gt;""&amp;prevDate,Movimientos!$D$6:$D$505,""&lt;=""&amp;A170,Movimientos!$E$6:$E$505,FALSE,Movimientos!$C$6:$C$505,""&lt;&gt;Fecha inferida*""),flow,SUMIFS(Movimientos!$B$6:$B$505,Movimientos!$D$6:$D$505,""&gt;""&amp;prevDate,Movimientos!$D$6:$D$505,""&lt;=""&amp;A170,Movimi"&amp;"entos!$E$6:$E$505,TRUE)+SUMIFS(Movimientos!$B$6:$B$505,Movimientos!$D$6:$D$505,""&gt;""&amp;prevDate,Movimientos!$D$6:$D$505,""&lt;=""&amp;A170,Movimientos!$C$6:$C$505,""Fecha inferida*""),net,B170-flow,IF(OR(gap&lt;1,unknown&gt;0,prevValue&lt;=0,net&lt;=0),"""",(POWER(net/prevVal"&amp;"ue,1/gap)-1)*100)),""""))"),"")</f>
        <v/>
      </c>
      <c r="E170" s="95" t="str">
        <f t="shared" si="0"/>
        <v/>
      </c>
    </row>
    <row r="171" spans="1:5" x14ac:dyDescent="0.25">
      <c r="A171" s="92">
        <v>46192</v>
      </c>
      <c r="B171" s="93" t="str">
        <f>IF(Diario!B175="","",Diario!B175)</f>
        <v/>
      </c>
      <c r="C171" s="93">
        <f>SUMIFS(Movimientos!$B$6:$B$505,Movimientos!$D$6:$D$505,A171,Movimientos!$E$6:$E$505,TRUE)</f>
        <v>0</v>
      </c>
      <c r="D171" s="94" t="str">
        <f ca="1">IFERROR(__xludf.DUMMYFUNCTION("IF(OR(B171="""",A171&gt;TODAY(),E171=""Histórico mensual"",E171=""Base diaria""),"""",IFERROR(LET(prevDate,MAX(FILTER($A$2:A170,$B$2:B170&lt;&gt;"""",$A$2:A170&lt;A171)),prevValue,XLOOKUP(prevDate,$A$2:A170,$B$2:B170),gap,A171-prevDate,unknown,COUNTIFS(Movimientos!$D"&amp;"$6:$D$505,""&gt;""&amp;prevDate,Movimientos!$D$6:$D$505,""&lt;=""&amp;A171,Movimientos!$E$6:$E$505,FALSE,Movimientos!$C$6:$C$505,""&lt;&gt;Fecha inferida*""),flow,SUMIFS(Movimientos!$B$6:$B$505,Movimientos!$D$6:$D$505,""&gt;""&amp;prevDate,Movimientos!$D$6:$D$505,""&lt;=""&amp;A171,Movimi"&amp;"entos!$E$6:$E$505,TRUE)+SUMIFS(Movimientos!$B$6:$B$505,Movimientos!$D$6:$D$505,""&gt;""&amp;prevDate,Movimientos!$D$6:$D$505,""&lt;=""&amp;A171,Movimientos!$C$6:$C$505,""Fecha inferida*""),net,B171-flow,IF(OR(gap&lt;1,unknown&gt;0,prevValue&lt;=0,net&lt;=0),"""",(POWER(net/prevVal"&amp;"ue,1/gap)-1)*100)),""""))"),"")</f>
        <v/>
      </c>
      <c r="E171" s="95" t="str">
        <f t="shared" si="0"/>
        <v/>
      </c>
    </row>
    <row r="172" spans="1:5" x14ac:dyDescent="0.25">
      <c r="A172" s="92">
        <v>46193</v>
      </c>
      <c r="B172" s="93" t="str">
        <f>IF(Diario!B176="","",Diario!B176)</f>
        <v/>
      </c>
      <c r="C172" s="93">
        <f>SUMIFS(Movimientos!$B$6:$B$505,Movimientos!$D$6:$D$505,A172,Movimientos!$E$6:$E$505,TRUE)</f>
        <v>0</v>
      </c>
      <c r="D172" s="94" t="str">
        <f ca="1">IFERROR(__xludf.DUMMYFUNCTION("IF(OR(B172="""",A172&gt;TODAY(),E172=""Histórico mensual"",E172=""Base diaria""),"""",IFERROR(LET(prevDate,MAX(FILTER($A$2:A171,$B$2:B171&lt;&gt;"""",$A$2:A171&lt;A172)),prevValue,XLOOKUP(prevDate,$A$2:A171,$B$2:B171),gap,A172-prevDate,unknown,COUNTIFS(Movimientos!$D"&amp;"$6:$D$505,""&gt;""&amp;prevDate,Movimientos!$D$6:$D$505,""&lt;=""&amp;A172,Movimientos!$E$6:$E$505,FALSE,Movimientos!$C$6:$C$505,""&lt;&gt;Fecha inferida*""),flow,SUMIFS(Movimientos!$B$6:$B$505,Movimientos!$D$6:$D$505,""&gt;""&amp;prevDate,Movimientos!$D$6:$D$505,""&lt;=""&amp;A172,Movimi"&amp;"entos!$E$6:$E$505,TRUE)+SUMIFS(Movimientos!$B$6:$B$505,Movimientos!$D$6:$D$505,""&gt;""&amp;prevDate,Movimientos!$D$6:$D$505,""&lt;=""&amp;A172,Movimientos!$C$6:$C$505,""Fecha inferida*""),net,B172-flow,IF(OR(gap&lt;1,unknown&gt;0,prevValue&lt;=0,net&lt;=0),"""",(POWER(net/prevVal"&amp;"ue,1/gap)-1)*100)),""""))"),"")</f>
        <v/>
      </c>
      <c r="E172" s="95" t="str">
        <f t="shared" si="0"/>
        <v/>
      </c>
    </row>
    <row r="173" spans="1:5" x14ac:dyDescent="0.25">
      <c r="A173" s="92">
        <v>46194</v>
      </c>
      <c r="B173" s="93" t="str">
        <f>IF(Diario!B177="","",Diario!B177)</f>
        <v/>
      </c>
      <c r="C173" s="93">
        <f>SUMIFS(Movimientos!$B$6:$B$505,Movimientos!$D$6:$D$505,A173,Movimientos!$E$6:$E$505,TRUE)</f>
        <v>0</v>
      </c>
      <c r="D173" s="94" t="str">
        <f ca="1">IFERROR(__xludf.DUMMYFUNCTION("IF(OR(B173="""",A173&gt;TODAY(),E173=""Histórico mensual"",E173=""Base diaria""),"""",IFERROR(LET(prevDate,MAX(FILTER($A$2:A172,$B$2:B172&lt;&gt;"""",$A$2:A172&lt;A173)),prevValue,XLOOKUP(prevDate,$A$2:A172,$B$2:B172),gap,A173-prevDate,unknown,COUNTIFS(Movimientos!$D"&amp;"$6:$D$505,""&gt;""&amp;prevDate,Movimientos!$D$6:$D$505,""&lt;=""&amp;A173,Movimientos!$E$6:$E$505,FALSE,Movimientos!$C$6:$C$505,""&lt;&gt;Fecha inferida*""),flow,SUMIFS(Movimientos!$B$6:$B$505,Movimientos!$D$6:$D$505,""&gt;""&amp;prevDate,Movimientos!$D$6:$D$505,""&lt;=""&amp;A173,Movimi"&amp;"entos!$E$6:$E$505,TRUE)+SUMIFS(Movimientos!$B$6:$B$505,Movimientos!$D$6:$D$505,""&gt;""&amp;prevDate,Movimientos!$D$6:$D$505,""&lt;=""&amp;A173,Movimientos!$C$6:$C$505,""Fecha inferida*""),net,B173-flow,IF(OR(gap&lt;1,unknown&gt;0,prevValue&lt;=0,net&lt;=0),"""",(POWER(net/prevVal"&amp;"ue,1/gap)-1)*100)),""""))"),"")</f>
        <v/>
      </c>
      <c r="E173" s="95" t="str">
        <f t="shared" si="0"/>
        <v/>
      </c>
    </row>
    <row r="174" spans="1:5" x14ac:dyDescent="0.25">
      <c r="A174" s="92">
        <v>46195</v>
      </c>
      <c r="B174" s="93" t="str">
        <f>IF(Diario!B178="","",Diario!B178)</f>
        <v/>
      </c>
      <c r="C174" s="93">
        <f>SUMIFS(Movimientos!$B$6:$B$505,Movimientos!$D$6:$D$505,A174,Movimientos!$E$6:$E$505,TRUE)</f>
        <v>0</v>
      </c>
      <c r="D174" s="94" t="str">
        <f ca="1">IFERROR(__xludf.DUMMYFUNCTION("IF(OR(B174="""",A174&gt;TODAY(),E174=""Histórico mensual"",E174=""Base diaria""),"""",IFERROR(LET(prevDate,MAX(FILTER($A$2:A173,$B$2:B173&lt;&gt;"""",$A$2:A173&lt;A174)),prevValue,XLOOKUP(prevDate,$A$2:A173,$B$2:B173),gap,A174-prevDate,unknown,COUNTIFS(Movimientos!$D"&amp;"$6:$D$505,""&gt;""&amp;prevDate,Movimientos!$D$6:$D$505,""&lt;=""&amp;A174,Movimientos!$E$6:$E$505,FALSE,Movimientos!$C$6:$C$505,""&lt;&gt;Fecha inferida*""),flow,SUMIFS(Movimientos!$B$6:$B$505,Movimientos!$D$6:$D$505,""&gt;""&amp;prevDate,Movimientos!$D$6:$D$505,""&lt;=""&amp;A174,Movimi"&amp;"entos!$E$6:$E$505,TRUE)+SUMIFS(Movimientos!$B$6:$B$505,Movimientos!$D$6:$D$505,""&gt;""&amp;prevDate,Movimientos!$D$6:$D$505,""&lt;=""&amp;A174,Movimientos!$C$6:$C$505,""Fecha inferida*""),net,B174-flow,IF(OR(gap&lt;1,unknown&gt;0,prevValue&lt;=0,net&lt;=0),"""",(POWER(net/prevVal"&amp;"ue,1/gap)-1)*100)),""""))"),"")</f>
        <v/>
      </c>
      <c r="E174" s="95" t="str">
        <f t="shared" si="0"/>
        <v/>
      </c>
    </row>
    <row r="175" spans="1:5" x14ac:dyDescent="0.25">
      <c r="A175" s="92">
        <v>46196</v>
      </c>
      <c r="B175" s="93" t="str">
        <f>IF(Diario!B179="","",Diario!B179)</f>
        <v/>
      </c>
      <c r="C175" s="93">
        <f>SUMIFS(Movimientos!$B$6:$B$505,Movimientos!$D$6:$D$505,A175,Movimientos!$E$6:$E$505,TRUE)</f>
        <v>0</v>
      </c>
      <c r="D175" s="94" t="str">
        <f ca="1">IFERROR(__xludf.DUMMYFUNCTION("IF(OR(B175="""",A175&gt;TODAY(),E175=""Histórico mensual"",E175=""Base diaria""),"""",IFERROR(LET(prevDate,MAX(FILTER($A$2:A174,$B$2:B174&lt;&gt;"""",$A$2:A174&lt;A175)),prevValue,XLOOKUP(prevDate,$A$2:A174,$B$2:B174),gap,A175-prevDate,unknown,COUNTIFS(Movimientos!$D"&amp;"$6:$D$505,""&gt;""&amp;prevDate,Movimientos!$D$6:$D$505,""&lt;=""&amp;A175,Movimientos!$E$6:$E$505,FALSE,Movimientos!$C$6:$C$505,""&lt;&gt;Fecha inferida*""),flow,SUMIFS(Movimientos!$B$6:$B$505,Movimientos!$D$6:$D$505,""&gt;""&amp;prevDate,Movimientos!$D$6:$D$505,""&lt;=""&amp;A175,Movimi"&amp;"entos!$E$6:$E$505,TRUE)+SUMIFS(Movimientos!$B$6:$B$505,Movimientos!$D$6:$D$505,""&gt;""&amp;prevDate,Movimientos!$D$6:$D$505,""&lt;=""&amp;A175,Movimientos!$C$6:$C$505,""Fecha inferida*""),net,B175-flow,IF(OR(gap&lt;1,unknown&gt;0,prevValue&lt;=0,net&lt;=0),"""",(POWER(net/prevVal"&amp;"ue,1/gap)-1)*100)),""""))"),"")</f>
        <v/>
      </c>
      <c r="E175" s="95" t="str">
        <f t="shared" si="0"/>
        <v/>
      </c>
    </row>
    <row r="176" spans="1:5" x14ac:dyDescent="0.25">
      <c r="A176" s="92">
        <v>46197</v>
      </c>
      <c r="B176" s="93" t="str">
        <f>IF(Diario!B180="","",Diario!B180)</f>
        <v/>
      </c>
      <c r="C176" s="93">
        <f>SUMIFS(Movimientos!$B$6:$B$505,Movimientos!$D$6:$D$505,A176,Movimientos!$E$6:$E$505,TRUE)</f>
        <v>0</v>
      </c>
      <c r="D176" s="94" t="str">
        <f ca="1">IFERROR(__xludf.DUMMYFUNCTION("IF(OR(B176="""",A176&gt;TODAY(),E176=""Histórico mensual"",E176=""Base diaria""),"""",IFERROR(LET(prevDate,MAX(FILTER($A$2:A175,$B$2:B175&lt;&gt;"""",$A$2:A175&lt;A176)),prevValue,XLOOKUP(prevDate,$A$2:A175,$B$2:B175),gap,A176-prevDate,unknown,COUNTIFS(Movimientos!$D"&amp;"$6:$D$505,""&gt;""&amp;prevDate,Movimientos!$D$6:$D$505,""&lt;=""&amp;A176,Movimientos!$E$6:$E$505,FALSE,Movimientos!$C$6:$C$505,""&lt;&gt;Fecha inferida*""),flow,SUMIFS(Movimientos!$B$6:$B$505,Movimientos!$D$6:$D$505,""&gt;""&amp;prevDate,Movimientos!$D$6:$D$505,""&lt;=""&amp;A176,Movimi"&amp;"entos!$E$6:$E$505,TRUE)+SUMIFS(Movimientos!$B$6:$B$505,Movimientos!$D$6:$D$505,""&gt;""&amp;prevDate,Movimientos!$D$6:$D$505,""&lt;=""&amp;A176,Movimientos!$C$6:$C$505,""Fecha inferida*""),net,B176-flow,IF(OR(gap&lt;1,unknown&gt;0,prevValue&lt;=0,net&lt;=0),"""",(POWER(net/prevVal"&amp;"ue,1/gap)-1)*100)),""""))"),"")</f>
        <v/>
      </c>
      <c r="E176" s="95" t="str">
        <f t="shared" si="0"/>
        <v/>
      </c>
    </row>
    <row r="177" spans="1:5" x14ac:dyDescent="0.25">
      <c r="A177" s="92">
        <v>46198</v>
      </c>
      <c r="B177" s="93" t="str">
        <f>IF(Diario!B181="","",Diario!B181)</f>
        <v/>
      </c>
      <c r="C177" s="93">
        <f>SUMIFS(Movimientos!$B$6:$B$505,Movimientos!$D$6:$D$505,A177,Movimientos!$E$6:$E$505,TRUE)</f>
        <v>0</v>
      </c>
      <c r="D177" s="94" t="str">
        <f ca="1">IFERROR(__xludf.DUMMYFUNCTION("IF(OR(B177="""",A177&gt;TODAY(),E177=""Histórico mensual"",E177=""Base diaria""),"""",IFERROR(LET(prevDate,MAX(FILTER($A$2:A176,$B$2:B176&lt;&gt;"""",$A$2:A176&lt;A177)),prevValue,XLOOKUP(prevDate,$A$2:A176,$B$2:B176),gap,A177-prevDate,unknown,COUNTIFS(Movimientos!$D"&amp;"$6:$D$505,""&gt;""&amp;prevDate,Movimientos!$D$6:$D$505,""&lt;=""&amp;A177,Movimientos!$E$6:$E$505,FALSE,Movimientos!$C$6:$C$505,""&lt;&gt;Fecha inferida*""),flow,SUMIFS(Movimientos!$B$6:$B$505,Movimientos!$D$6:$D$505,""&gt;""&amp;prevDate,Movimientos!$D$6:$D$505,""&lt;=""&amp;A177,Movimi"&amp;"entos!$E$6:$E$505,TRUE)+SUMIFS(Movimientos!$B$6:$B$505,Movimientos!$D$6:$D$505,""&gt;""&amp;prevDate,Movimientos!$D$6:$D$505,""&lt;=""&amp;A177,Movimientos!$C$6:$C$505,""Fecha inferida*""),net,B177-flow,IF(OR(gap&lt;1,unknown&gt;0,prevValue&lt;=0,net&lt;=0),"""",(POWER(net/prevVal"&amp;"ue,1/gap)-1)*100)),""""))"),"")</f>
        <v/>
      </c>
      <c r="E177" s="95" t="str">
        <f t="shared" si="0"/>
        <v/>
      </c>
    </row>
    <row r="178" spans="1:5" x14ac:dyDescent="0.25">
      <c r="A178" s="92">
        <v>46199</v>
      </c>
      <c r="B178" s="93" t="str">
        <f>IF(Diario!B182="","",Diario!B182)</f>
        <v/>
      </c>
      <c r="C178" s="93">
        <f>SUMIFS(Movimientos!$B$6:$B$505,Movimientos!$D$6:$D$505,A178,Movimientos!$E$6:$E$505,TRUE)</f>
        <v>0</v>
      </c>
      <c r="D178" s="94" t="str">
        <f ca="1">IFERROR(__xludf.DUMMYFUNCTION("IF(OR(B178="""",A178&gt;TODAY(),E178=""Histórico mensual"",E178=""Base diaria""),"""",IFERROR(LET(prevDate,MAX(FILTER($A$2:A177,$B$2:B177&lt;&gt;"""",$A$2:A177&lt;A178)),prevValue,XLOOKUP(prevDate,$A$2:A177,$B$2:B177),gap,A178-prevDate,unknown,COUNTIFS(Movimientos!$D"&amp;"$6:$D$505,""&gt;""&amp;prevDate,Movimientos!$D$6:$D$505,""&lt;=""&amp;A178,Movimientos!$E$6:$E$505,FALSE,Movimientos!$C$6:$C$505,""&lt;&gt;Fecha inferida*""),flow,SUMIFS(Movimientos!$B$6:$B$505,Movimientos!$D$6:$D$505,""&gt;""&amp;prevDate,Movimientos!$D$6:$D$505,""&lt;=""&amp;A178,Movimi"&amp;"entos!$E$6:$E$505,TRUE)+SUMIFS(Movimientos!$B$6:$B$505,Movimientos!$D$6:$D$505,""&gt;""&amp;prevDate,Movimientos!$D$6:$D$505,""&lt;=""&amp;A178,Movimientos!$C$6:$C$505,""Fecha inferida*""),net,B178-flow,IF(OR(gap&lt;1,unknown&gt;0,prevValue&lt;=0,net&lt;=0),"""",(POWER(net/prevVal"&amp;"ue,1/gap)-1)*100)),""""))"),"")</f>
        <v/>
      </c>
      <c r="E178" s="95" t="str">
        <f t="shared" si="0"/>
        <v/>
      </c>
    </row>
    <row r="179" spans="1:5" x14ac:dyDescent="0.25">
      <c r="A179" s="92">
        <v>46200</v>
      </c>
      <c r="B179" s="93" t="str">
        <f>IF(Diario!B183="","",Diario!B183)</f>
        <v/>
      </c>
      <c r="C179" s="93">
        <f>SUMIFS(Movimientos!$B$6:$B$505,Movimientos!$D$6:$D$505,A179,Movimientos!$E$6:$E$505,TRUE)</f>
        <v>0</v>
      </c>
      <c r="D179" s="94" t="str">
        <f ca="1">IFERROR(__xludf.DUMMYFUNCTION("IF(OR(B179="""",A179&gt;TODAY(),E179=""Histórico mensual"",E179=""Base diaria""),"""",IFERROR(LET(prevDate,MAX(FILTER($A$2:A178,$B$2:B178&lt;&gt;"""",$A$2:A178&lt;A179)),prevValue,XLOOKUP(prevDate,$A$2:A178,$B$2:B178),gap,A179-prevDate,unknown,COUNTIFS(Movimientos!$D"&amp;"$6:$D$505,""&gt;""&amp;prevDate,Movimientos!$D$6:$D$505,""&lt;=""&amp;A179,Movimientos!$E$6:$E$505,FALSE,Movimientos!$C$6:$C$505,""&lt;&gt;Fecha inferida*""),flow,SUMIFS(Movimientos!$B$6:$B$505,Movimientos!$D$6:$D$505,""&gt;""&amp;prevDate,Movimientos!$D$6:$D$505,""&lt;=""&amp;A179,Movimi"&amp;"entos!$E$6:$E$505,TRUE)+SUMIFS(Movimientos!$B$6:$B$505,Movimientos!$D$6:$D$505,""&gt;""&amp;prevDate,Movimientos!$D$6:$D$505,""&lt;=""&amp;A179,Movimientos!$C$6:$C$505,""Fecha inferida*""),net,B179-flow,IF(OR(gap&lt;1,unknown&gt;0,prevValue&lt;=0,net&lt;=0),"""",(POWER(net/prevVal"&amp;"ue,1/gap)-1)*100)),""""))"),"")</f>
        <v/>
      </c>
      <c r="E179" s="95" t="str">
        <f t="shared" si="0"/>
        <v/>
      </c>
    </row>
    <row r="180" spans="1:5" x14ac:dyDescent="0.25">
      <c r="A180" s="92">
        <v>46201</v>
      </c>
      <c r="B180" s="93" t="str">
        <f>IF(Diario!B184="","",Diario!B184)</f>
        <v/>
      </c>
      <c r="C180" s="93">
        <f>SUMIFS(Movimientos!$B$6:$B$505,Movimientos!$D$6:$D$505,A180,Movimientos!$E$6:$E$505,TRUE)</f>
        <v>0</v>
      </c>
      <c r="D180" s="94" t="str">
        <f ca="1">IFERROR(__xludf.DUMMYFUNCTION("IF(OR(B180="""",A180&gt;TODAY(),E180=""Histórico mensual"",E180=""Base diaria""),"""",IFERROR(LET(prevDate,MAX(FILTER($A$2:A179,$B$2:B179&lt;&gt;"""",$A$2:A179&lt;A180)),prevValue,XLOOKUP(prevDate,$A$2:A179,$B$2:B179),gap,A180-prevDate,unknown,COUNTIFS(Movimientos!$D"&amp;"$6:$D$505,""&gt;""&amp;prevDate,Movimientos!$D$6:$D$505,""&lt;=""&amp;A180,Movimientos!$E$6:$E$505,FALSE,Movimientos!$C$6:$C$505,""&lt;&gt;Fecha inferida*""),flow,SUMIFS(Movimientos!$B$6:$B$505,Movimientos!$D$6:$D$505,""&gt;""&amp;prevDate,Movimientos!$D$6:$D$505,""&lt;=""&amp;A180,Movimi"&amp;"entos!$E$6:$E$505,TRUE)+SUMIFS(Movimientos!$B$6:$B$505,Movimientos!$D$6:$D$505,""&gt;""&amp;prevDate,Movimientos!$D$6:$D$505,""&lt;=""&amp;A180,Movimientos!$C$6:$C$505,""Fecha inferida*""),net,B180-flow,IF(OR(gap&lt;1,unknown&gt;0,prevValue&lt;=0,net&lt;=0),"""",(POWER(net/prevVal"&amp;"ue,1/gap)-1)*100)),""""))"),"")</f>
        <v/>
      </c>
      <c r="E180" s="95" t="str">
        <f t="shared" si="0"/>
        <v/>
      </c>
    </row>
    <row r="181" spans="1:5" x14ac:dyDescent="0.25">
      <c r="A181" s="92">
        <v>46202</v>
      </c>
      <c r="B181" s="93" t="str">
        <f>IF(Diario!B185="","",Diario!B185)</f>
        <v/>
      </c>
      <c r="C181" s="93">
        <f>SUMIFS(Movimientos!$B$6:$B$505,Movimientos!$D$6:$D$505,A181,Movimientos!$E$6:$E$505,TRUE)</f>
        <v>0</v>
      </c>
      <c r="D181" s="94" t="str">
        <f ca="1">IFERROR(__xludf.DUMMYFUNCTION("IF(OR(B181="""",A181&gt;TODAY(),E181=""Histórico mensual"",E181=""Base diaria""),"""",IFERROR(LET(prevDate,MAX(FILTER($A$2:A180,$B$2:B180&lt;&gt;"""",$A$2:A180&lt;A181)),prevValue,XLOOKUP(prevDate,$A$2:A180,$B$2:B180),gap,A181-prevDate,unknown,COUNTIFS(Movimientos!$D"&amp;"$6:$D$505,""&gt;""&amp;prevDate,Movimientos!$D$6:$D$505,""&lt;=""&amp;A181,Movimientos!$E$6:$E$505,FALSE,Movimientos!$C$6:$C$505,""&lt;&gt;Fecha inferida*""),flow,SUMIFS(Movimientos!$B$6:$B$505,Movimientos!$D$6:$D$505,""&gt;""&amp;prevDate,Movimientos!$D$6:$D$505,""&lt;=""&amp;A181,Movimi"&amp;"entos!$E$6:$E$505,TRUE)+SUMIFS(Movimientos!$B$6:$B$505,Movimientos!$D$6:$D$505,""&gt;""&amp;prevDate,Movimientos!$D$6:$D$505,""&lt;=""&amp;A181,Movimientos!$C$6:$C$505,""Fecha inferida*""),net,B181-flow,IF(OR(gap&lt;1,unknown&gt;0,prevValue&lt;=0,net&lt;=0),"""",(POWER(net/prevVal"&amp;"ue,1/gap)-1)*100)),""""))"),"")</f>
        <v/>
      </c>
      <c r="E181" s="95" t="str">
        <f t="shared" si="0"/>
        <v/>
      </c>
    </row>
    <row r="182" spans="1:5" x14ac:dyDescent="0.25">
      <c r="A182" s="92">
        <v>46203</v>
      </c>
      <c r="B182" s="93">
        <f>IF(Diario!B186="","",Diario!B186)</f>
        <v>76115</v>
      </c>
      <c r="C182" s="93">
        <f>SUMIFS(Movimientos!$B$6:$B$505,Movimientos!$D$6:$D$505,A182,Movimientos!$E$6:$E$505,TRUE)</f>
        <v>-3440</v>
      </c>
      <c r="D182" s="94" t="str">
        <f ca="1">IFERROR(__xludf.DUMMYFUNCTION("IF(OR(B182="""",A182&gt;TODAY(),E182=""Histórico mensual"",E182=""Base diaria""),"""",IFERROR(LET(prevDate,MAX(FILTER($A$2:A181,$B$2:B181&lt;&gt;"""",$A$2:A181&lt;A182)),prevValue,XLOOKUP(prevDate,$A$2:A181,$B$2:B181),gap,A182-prevDate,unknown,COUNTIFS(Movimientos!$D"&amp;"$6:$D$505,""&gt;""&amp;prevDate,Movimientos!$D$6:$D$505,""&lt;=""&amp;A182,Movimientos!$E$6:$E$505,FALSE,Movimientos!$C$6:$C$505,""&lt;&gt;Fecha inferida*""),flow,SUMIFS(Movimientos!$B$6:$B$505,Movimientos!$D$6:$D$505,""&gt;""&amp;prevDate,Movimientos!$D$6:$D$505,""&lt;=""&amp;A182,Movimi"&amp;"entos!$E$6:$E$505,TRUE)+SUMIFS(Movimientos!$B$6:$B$505,Movimientos!$D$6:$D$505,""&gt;""&amp;prevDate,Movimientos!$D$6:$D$505,""&lt;=""&amp;A182,Movimientos!$C$6:$C$505,""Fecha inferida*""),net,B182-flow,IF(OR(gap&lt;1,unknown&gt;0,prevValue&lt;=0,net&lt;=0),"""",(POWER(net/prevVal"&amp;"ue,1/gap)-1)*100)),""""))"),"")</f>
        <v/>
      </c>
      <c r="E182" s="95" t="str">
        <f t="shared" si="0"/>
        <v>Histórico mensual</v>
      </c>
    </row>
    <row r="183" spans="1:5" x14ac:dyDescent="0.25">
      <c r="A183" s="92">
        <v>46204</v>
      </c>
      <c r="B183" s="93" t="str">
        <f>IF(Diario!B187="","",Diario!B187)</f>
        <v/>
      </c>
      <c r="C183" s="93">
        <f>SUMIFS(Movimientos!$B$6:$B$505,Movimientos!$D$6:$D$505,A183,Movimientos!$E$6:$E$505,TRUE)</f>
        <v>0</v>
      </c>
      <c r="D183" s="94" t="str">
        <f ca="1">IFERROR(__xludf.DUMMYFUNCTION("IF(OR(B183="""",A183&gt;TODAY(),E183=""Histórico mensual"",E183=""Base diaria""),"""",IFERROR(LET(prevDate,MAX(FILTER($A$2:A182,$B$2:B182&lt;&gt;"""",$A$2:A182&lt;A183)),prevValue,XLOOKUP(prevDate,$A$2:A182,$B$2:B182),gap,A183-prevDate,unknown,COUNTIFS(Movimientos!$D"&amp;"$6:$D$505,""&gt;""&amp;prevDate,Movimientos!$D$6:$D$505,""&lt;=""&amp;A183,Movimientos!$E$6:$E$505,FALSE,Movimientos!$C$6:$C$505,""&lt;&gt;Fecha inferida*""),flow,SUMIFS(Movimientos!$B$6:$B$505,Movimientos!$D$6:$D$505,""&gt;""&amp;prevDate,Movimientos!$D$6:$D$505,""&lt;=""&amp;A183,Movimi"&amp;"entos!$E$6:$E$505,TRUE)+SUMIFS(Movimientos!$B$6:$B$505,Movimientos!$D$6:$D$505,""&gt;""&amp;prevDate,Movimientos!$D$6:$D$505,""&lt;=""&amp;A183,Movimientos!$C$6:$C$505,""Fecha inferida*""),net,B183-flow,IF(OR(gap&lt;1,unknown&gt;0,prevValue&lt;=0,net&lt;=0),"""",(POWER(net/prevVal"&amp;"ue,1/gap)-1)*100)),""""))"),"")</f>
        <v/>
      </c>
      <c r="E183" s="95" t="str">
        <f t="shared" si="0"/>
        <v/>
      </c>
    </row>
    <row r="184" spans="1:5" x14ac:dyDescent="0.25">
      <c r="A184" s="92">
        <v>46205</v>
      </c>
      <c r="B184" s="93" t="str">
        <f>IF(Diario!B188="","",Diario!B188)</f>
        <v/>
      </c>
      <c r="C184" s="93">
        <f>SUMIFS(Movimientos!$B$6:$B$505,Movimientos!$D$6:$D$505,A184,Movimientos!$E$6:$E$505,TRUE)</f>
        <v>0</v>
      </c>
      <c r="D184" s="94" t="str">
        <f ca="1">IFERROR(__xludf.DUMMYFUNCTION("IF(OR(B184="""",A184&gt;TODAY(),E184=""Histórico mensual"",E184=""Base diaria""),"""",IFERROR(LET(prevDate,MAX(FILTER($A$2:A183,$B$2:B183&lt;&gt;"""",$A$2:A183&lt;A184)),prevValue,XLOOKUP(prevDate,$A$2:A183,$B$2:B183),gap,A184-prevDate,unknown,COUNTIFS(Movimientos!$D"&amp;"$6:$D$505,""&gt;""&amp;prevDate,Movimientos!$D$6:$D$505,""&lt;=""&amp;A184,Movimientos!$E$6:$E$505,FALSE,Movimientos!$C$6:$C$505,""&lt;&gt;Fecha inferida*""),flow,SUMIFS(Movimientos!$B$6:$B$505,Movimientos!$D$6:$D$505,""&gt;""&amp;prevDate,Movimientos!$D$6:$D$505,""&lt;=""&amp;A184,Movimi"&amp;"entos!$E$6:$E$505,TRUE)+SUMIFS(Movimientos!$B$6:$B$505,Movimientos!$D$6:$D$505,""&gt;""&amp;prevDate,Movimientos!$D$6:$D$505,""&lt;=""&amp;A184,Movimientos!$C$6:$C$505,""Fecha inferida*""),net,B184-flow,IF(OR(gap&lt;1,unknown&gt;0,prevValue&lt;=0,net&lt;=0),"""",(POWER(net/prevVal"&amp;"ue,1/gap)-1)*100)),""""))"),"")</f>
        <v/>
      </c>
      <c r="E184" s="95" t="str">
        <f t="shared" si="0"/>
        <v/>
      </c>
    </row>
    <row r="185" spans="1:5" x14ac:dyDescent="0.25">
      <c r="A185" s="92">
        <v>46206</v>
      </c>
      <c r="B185" s="93" t="str">
        <f>IF(Diario!B189="","",Diario!B189)</f>
        <v/>
      </c>
      <c r="C185" s="93">
        <f>SUMIFS(Movimientos!$B$6:$B$505,Movimientos!$D$6:$D$505,A185,Movimientos!$E$6:$E$505,TRUE)</f>
        <v>0</v>
      </c>
      <c r="D185" s="94" t="str">
        <f ca="1">IFERROR(__xludf.DUMMYFUNCTION("IF(OR(B185="""",A185&gt;TODAY(),E185=""Histórico mensual"",E185=""Base diaria""),"""",IFERROR(LET(prevDate,MAX(FILTER($A$2:A184,$B$2:B184&lt;&gt;"""",$A$2:A184&lt;A185)),prevValue,XLOOKUP(prevDate,$A$2:A184,$B$2:B184),gap,A185-prevDate,unknown,COUNTIFS(Movimientos!$D"&amp;"$6:$D$505,""&gt;""&amp;prevDate,Movimientos!$D$6:$D$505,""&lt;=""&amp;A185,Movimientos!$E$6:$E$505,FALSE,Movimientos!$C$6:$C$505,""&lt;&gt;Fecha inferida*""),flow,SUMIFS(Movimientos!$B$6:$B$505,Movimientos!$D$6:$D$505,""&gt;""&amp;prevDate,Movimientos!$D$6:$D$505,""&lt;=""&amp;A185,Movimi"&amp;"entos!$E$6:$E$505,TRUE)+SUMIFS(Movimientos!$B$6:$B$505,Movimientos!$D$6:$D$505,""&gt;""&amp;prevDate,Movimientos!$D$6:$D$505,""&lt;=""&amp;A185,Movimientos!$C$6:$C$505,""Fecha inferida*""),net,B185-flow,IF(OR(gap&lt;1,unknown&gt;0,prevValue&lt;=0,net&lt;=0),"""",(POWER(net/prevVal"&amp;"ue,1/gap)-1)*100)),""""))"),"")</f>
        <v/>
      </c>
      <c r="E185" s="95" t="str">
        <f t="shared" si="0"/>
        <v/>
      </c>
    </row>
    <row r="186" spans="1:5" x14ac:dyDescent="0.25">
      <c r="A186" s="92">
        <v>46207</v>
      </c>
      <c r="B186" s="93" t="str">
        <f>IF(Diario!B190="","",Diario!B190)</f>
        <v/>
      </c>
      <c r="C186" s="93">
        <f>SUMIFS(Movimientos!$B$6:$B$505,Movimientos!$D$6:$D$505,A186,Movimientos!$E$6:$E$505,TRUE)</f>
        <v>0</v>
      </c>
      <c r="D186" s="94" t="str">
        <f ca="1">IFERROR(__xludf.DUMMYFUNCTION("IF(OR(B186="""",A186&gt;TODAY(),E186=""Histórico mensual"",E186=""Base diaria""),"""",IFERROR(LET(prevDate,MAX(FILTER($A$2:A185,$B$2:B185&lt;&gt;"""",$A$2:A185&lt;A186)),prevValue,XLOOKUP(prevDate,$A$2:A185,$B$2:B185),gap,A186-prevDate,unknown,COUNTIFS(Movimientos!$D"&amp;"$6:$D$505,""&gt;""&amp;prevDate,Movimientos!$D$6:$D$505,""&lt;=""&amp;A186,Movimientos!$E$6:$E$505,FALSE,Movimientos!$C$6:$C$505,""&lt;&gt;Fecha inferida*""),flow,SUMIFS(Movimientos!$B$6:$B$505,Movimientos!$D$6:$D$505,""&gt;""&amp;prevDate,Movimientos!$D$6:$D$505,""&lt;=""&amp;A186,Movimi"&amp;"entos!$E$6:$E$505,TRUE)+SUMIFS(Movimientos!$B$6:$B$505,Movimientos!$D$6:$D$505,""&gt;""&amp;prevDate,Movimientos!$D$6:$D$505,""&lt;=""&amp;A186,Movimientos!$C$6:$C$505,""Fecha inferida*""),net,B186-flow,IF(OR(gap&lt;1,unknown&gt;0,prevValue&lt;=0,net&lt;=0),"""",(POWER(net/prevVal"&amp;"ue,1/gap)-1)*100)),""""))"),"")</f>
        <v/>
      </c>
      <c r="E186" s="95" t="str">
        <f t="shared" si="0"/>
        <v/>
      </c>
    </row>
    <row r="187" spans="1:5" x14ac:dyDescent="0.25">
      <c r="A187" s="92">
        <v>46208</v>
      </c>
      <c r="B187" s="93" t="str">
        <f>IF(Diario!B191="","",Diario!B191)</f>
        <v/>
      </c>
      <c r="C187" s="93">
        <f>SUMIFS(Movimientos!$B$6:$B$505,Movimientos!$D$6:$D$505,A187,Movimientos!$E$6:$E$505,TRUE)</f>
        <v>0</v>
      </c>
      <c r="D187" s="94" t="str">
        <f ca="1">IFERROR(__xludf.DUMMYFUNCTION("IF(OR(B187="""",A187&gt;TODAY(),E187=""Histórico mensual"",E187=""Base diaria""),"""",IFERROR(LET(prevDate,MAX(FILTER($A$2:A186,$B$2:B186&lt;&gt;"""",$A$2:A186&lt;A187)),prevValue,XLOOKUP(prevDate,$A$2:A186,$B$2:B186),gap,A187-prevDate,unknown,COUNTIFS(Movimientos!$D"&amp;"$6:$D$505,""&gt;""&amp;prevDate,Movimientos!$D$6:$D$505,""&lt;=""&amp;A187,Movimientos!$E$6:$E$505,FALSE,Movimientos!$C$6:$C$505,""&lt;&gt;Fecha inferida*""),flow,SUMIFS(Movimientos!$B$6:$B$505,Movimientos!$D$6:$D$505,""&gt;""&amp;prevDate,Movimientos!$D$6:$D$505,""&lt;=""&amp;A187,Movimi"&amp;"entos!$E$6:$E$505,TRUE)+SUMIFS(Movimientos!$B$6:$B$505,Movimientos!$D$6:$D$505,""&gt;""&amp;prevDate,Movimientos!$D$6:$D$505,""&lt;=""&amp;A187,Movimientos!$C$6:$C$505,""Fecha inferida*""),net,B187-flow,IF(OR(gap&lt;1,unknown&gt;0,prevValue&lt;=0,net&lt;=0),"""",(POWER(net/prevVal"&amp;"ue,1/gap)-1)*100)),""""))"),"")</f>
        <v/>
      </c>
      <c r="E187" s="95" t="str">
        <f t="shared" si="0"/>
        <v/>
      </c>
    </row>
    <row r="188" spans="1:5" x14ac:dyDescent="0.25">
      <c r="A188" s="92">
        <v>46209</v>
      </c>
      <c r="B188" s="93" t="str">
        <f>IF(Diario!B192="","",Diario!B192)</f>
        <v/>
      </c>
      <c r="C188" s="93">
        <f>SUMIFS(Movimientos!$B$6:$B$505,Movimientos!$D$6:$D$505,A188,Movimientos!$E$6:$E$505,TRUE)</f>
        <v>0</v>
      </c>
      <c r="D188" s="94" t="str">
        <f ca="1">IFERROR(__xludf.DUMMYFUNCTION("IF(OR(B188="""",A188&gt;TODAY(),E188=""Histórico mensual"",E188=""Base diaria""),"""",IFERROR(LET(prevDate,MAX(FILTER($A$2:A187,$B$2:B187&lt;&gt;"""",$A$2:A187&lt;A188)),prevValue,XLOOKUP(prevDate,$A$2:A187,$B$2:B187),gap,A188-prevDate,unknown,COUNTIFS(Movimientos!$D"&amp;"$6:$D$505,""&gt;""&amp;prevDate,Movimientos!$D$6:$D$505,""&lt;=""&amp;A188,Movimientos!$E$6:$E$505,FALSE,Movimientos!$C$6:$C$505,""&lt;&gt;Fecha inferida*""),flow,SUMIFS(Movimientos!$B$6:$B$505,Movimientos!$D$6:$D$505,""&gt;""&amp;prevDate,Movimientos!$D$6:$D$505,""&lt;=""&amp;A188,Movimi"&amp;"entos!$E$6:$E$505,TRUE)+SUMIFS(Movimientos!$B$6:$B$505,Movimientos!$D$6:$D$505,""&gt;""&amp;prevDate,Movimientos!$D$6:$D$505,""&lt;=""&amp;A188,Movimientos!$C$6:$C$505,""Fecha inferida*""),net,B188-flow,IF(OR(gap&lt;1,unknown&gt;0,prevValue&lt;=0,net&lt;=0),"""",(POWER(net/prevVal"&amp;"ue,1/gap)-1)*100)),""""))"),"")</f>
        <v/>
      </c>
      <c r="E188" s="95" t="str">
        <f t="shared" si="0"/>
        <v/>
      </c>
    </row>
    <row r="189" spans="1:5" x14ac:dyDescent="0.25">
      <c r="A189" s="92">
        <v>46210</v>
      </c>
      <c r="B189" s="93" t="str">
        <f>IF(Diario!B193="","",Diario!B193)</f>
        <v/>
      </c>
      <c r="C189" s="93">
        <f>SUMIFS(Movimientos!$B$6:$B$505,Movimientos!$D$6:$D$505,A189,Movimientos!$E$6:$E$505,TRUE)</f>
        <v>0</v>
      </c>
      <c r="D189" s="94" t="str">
        <f ca="1">IFERROR(__xludf.DUMMYFUNCTION("IF(OR(B189="""",A189&gt;TODAY(),E189=""Histórico mensual"",E189=""Base diaria""),"""",IFERROR(LET(prevDate,MAX(FILTER($A$2:A188,$B$2:B188&lt;&gt;"""",$A$2:A188&lt;A189)),prevValue,XLOOKUP(prevDate,$A$2:A188,$B$2:B188),gap,A189-prevDate,unknown,COUNTIFS(Movimientos!$D"&amp;"$6:$D$505,""&gt;""&amp;prevDate,Movimientos!$D$6:$D$505,""&lt;=""&amp;A189,Movimientos!$E$6:$E$505,FALSE,Movimientos!$C$6:$C$505,""&lt;&gt;Fecha inferida*""),flow,SUMIFS(Movimientos!$B$6:$B$505,Movimientos!$D$6:$D$505,""&gt;""&amp;prevDate,Movimientos!$D$6:$D$505,""&lt;=""&amp;A189,Movimi"&amp;"entos!$E$6:$E$505,TRUE)+SUMIFS(Movimientos!$B$6:$B$505,Movimientos!$D$6:$D$505,""&gt;""&amp;prevDate,Movimientos!$D$6:$D$505,""&lt;=""&amp;A189,Movimientos!$C$6:$C$505,""Fecha inferida*""),net,B189-flow,IF(OR(gap&lt;1,unknown&gt;0,prevValue&lt;=0,net&lt;=0),"""",(POWER(net/prevVal"&amp;"ue,1/gap)-1)*100)),""""))"),"")</f>
        <v/>
      </c>
      <c r="E189" s="95" t="str">
        <f t="shared" si="0"/>
        <v/>
      </c>
    </row>
    <row r="190" spans="1:5" x14ac:dyDescent="0.25">
      <c r="A190" s="92">
        <v>46211</v>
      </c>
      <c r="B190" s="93" t="str">
        <f>IF(Diario!B194="","",Diario!B194)</f>
        <v/>
      </c>
      <c r="C190" s="93">
        <f>SUMIFS(Movimientos!$B$6:$B$505,Movimientos!$D$6:$D$505,A190,Movimientos!$E$6:$E$505,TRUE)</f>
        <v>0</v>
      </c>
      <c r="D190" s="94" t="str">
        <f ca="1">IFERROR(__xludf.DUMMYFUNCTION("IF(OR(B190="""",A190&gt;TODAY(),E190=""Histórico mensual"",E190=""Base diaria""),"""",IFERROR(LET(prevDate,MAX(FILTER($A$2:A189,$B$2:B189&lt;&gt;"""",$A$2:A189&lt;A190)),prevValue,XLOOKUP(prevDate,$A$2:A189,$B$2:B189),gap,A190-prevDate,unknown,COUNTIFS(Movimientos!$D"&amp;"$6:$D$505,""&gt;""&amp;prevDate,Movimientos!$D$6:$D$505,""&lt;=""&amp;A190,Movimientos!$E$6:$E$505,FALSE,Movimientos!$C$6:$C$505,""&lt;&gt;Fecha inferida*""),flow,SUMIFS(Movimientos!$B$6:$B$505,Movimientos!$D$6:$D$505,""&gt;""&amp;prevDate,Movimientos!$D$6:$D$505,""&lt;=""&amp;A190,Movimi"&amp;"entos!$E$6:$E$505,TRUE)+SUMIFS(Movimientos!$B$6:$B$505,Movimientos!$D$6:$D$505,""&gt;""&amp;prevDate,Movimientos!$D$6:$D$505,""&lt;=""&amp;A190,Movimientos!$C$6:$C$505,""Fecha inferida*""),net,B190-flow,IF(OR(gap&lt;1,unknown&gt;0,prevValue&lt;=0,net&lt;=0),"""",(POWER(net/prevVal"&amp;"ue,1/gap)-1)*100)),""""))"),"")</f>
        <v/>
      </c>
      <c r="E190" s="95" t="str">
        <f t="shared" si="0"/>
        <v/>
      </c>
    </row>
    <row r="191" spans="1:5" x14ac:dyDescent="0.25">
      <c r="A191" s="92">
        <v>46212</v>
      </c>
      <c r="B191" s="93">
        <f>IF(Diario!B195="","",Diario!B195)</f>
        <v>77695</v>
      </c>
      <c r="C191" s="93">
        <f>SUMIFS(Movimientos!$B$6:$B$505,Movimientos!$D$6:$D$505,A191,Movimientos!$E$6:$E$505,TRUE)</f>
        <v>0</v>
      </c>
      <c r="D191" s="94" t="str">
        <f ca="1">IFERROR(__xludf.DUMMYFUNCTION("IF(OR(B191="""",A191&gt;TODAY(),E191=""Histórico mensual"",E191=""Base diaria""),"""",IFERROR(LET(prevDate,MAX(FILTER($A$2:A190,$B$2:B190&lt;&gt;"""",$A$2:A190&lt;A191)),prevValue,XLOOKUP(prevDate,$A$2:A190,$B$2:B190),gap,A191-prevDate,unknown,COUNTIFS(Movimientos!$D"&amp;"$6:$D$505,""&gt;""&amp;prevDate,Movimientos!$D$6:$D$505,""&lt;=""&amp;A191,Movimientos!$E$6:$E$505,FALSE,Movimientos!$C$6:$C$505,""&lt;&gt;Fecha inferida*""),flow,SUMIFS(Movimientos!$B$6:$B$505,Movimientos!$D$6:$D$505,""&gt;""&amp;prevDate,Movimientos!$D$6:$D$505,""&lt;=""&amp;A191,Movimi"&amp;"entos!$E$6:$E$505,TRUE)+SUMIFS(Movimientos!$B$6:$B$505,Movimientos!$D$6:$D$505,""&gt;""&amp;prevDate,Movimientos!$D$6:$D$505,""&lt;=""&amp;A191,Movimientos!$C$6:$C$505,""Fecha inferida*""),net,B191-flow,IF(OR(gap&lt;1,unknown&gt;0,prevValue&lt;=0,net&lt;=0),"""",(POWER(net/prevVal"&amp;"ue,1/gap)-1)*100)),""""))"),"")</f>
        <v/>
      </c>
      <c r="E191" s="95" t="str">
        <f t="shared" si="0"/>
        <v>Base diaria</v>
      </c>
    </row>
    <row r="192" spans="1:5" x14ac:dyDescent="0.25">
      <c r="A192" s="92">
        <v>46213</v>
      </c>
      <c r="B192" s="93">
        <f>IF(Diario!B196="","",Diario!B196)</f>
        <v>77600</v>
      </c>
      <c r="C192" s="93">
        <f>SUMIFS(Movimientos!$B$6:$B$505,Movimientos!$D$6:$D$505,A192,Movimientos!$E$6:$E$505,TRUE)</f>
        <v>0</v>
      </c>
      <c r="D192" s="94">
        <f ca="1">IFERROR(__xludf.DUMMYFUNCTION("IF(OR(B192="""",A192&gt;TODAY(),E192=""Histórico mensual"",E192=""Base diaria""),"""",IFERROR(LET(prevDate,MAX(FILTER($A$2:A191,$B$2:B191&lt;&gt;"""",$A$2:A191&lt;A192)),prevValue,XLOOKUP(prevDate,$A$2:A191,$B$2:B191),gap,A192-prevDate,unknown,COUNTIFS(Movimientos!$D"&amp;"$6:$D$505,""&gt;""&amp;prevDate,Movimientos!$D$6:$D$505,""&lt;=""&amp;A192,Movimientos!$E$6:$E$505,FALSE,Movimientos!$C$6:$C$505,""&lt;&gt;Fecha inferida*""),flow,SUMIFS(Movimientos!$B$6:$B$505,Movimientos!$D$6:$D$505,""&gt;""&amp;prevDate,Movimientos!$D$6:$D$505,""&lt;=""&amp;A192,Movimi"&amp;"entos!$E$6:$E$505,TRUE)+SUMIFS(Movimientos!$B$6:$B$505,Movimientos!$D$6:$D$505,""&gt;""&amp;prevDate,Movimientos!$D$6:$D$505,""&lt;=""&amp;A192,Movimientos!$C$6:$C$505,""Fecha inferida*""),net,B192-flow,IF(OR(gap&lt;1,unknown&gt;0,prevValue&lt;=0,net&lt;=0),"""",(POWER(net/prevVal"&amp;"ue,1/gap)-1)*100)),""""))"),-0.122272990539928)</f>
        <v>-0.122272990539928</v>
      </c>
      <c r="E192" s="95" t="str">
        <f t="shared" si="0"/>
        <v>Diario</v>
      </c>
    </row>
    <row r="193" spans="1:5" x14ac:dyDescent="0.25">
      <c r="A193" s="92">
        <v>46214</v>
      </c>
      <c r="B193" s="93">
        <f>IF(Diario!B197="","",Diario!B197)</f>
        <v>77711</v>
      </c>
      <c r="C193" s="93">
        <f>SUMIFS(Movimientos!$B$6:$B$505,Movimientos!$D$6:$D$505,A193,Movimientos!$E$6:$E$505,TRUE)</f>
        <v>0</v>
      </c>
      <c r="D193" s="94">
        <f ca="1">IFERROR(__xludf.DUMMYFUNCTION("IF(OR(B193="""",A193&gt;TODAY(),E193=""Histórico mensual"",E193=""Base diaria""),"""",IFERROR(LET(prevDate,MAX(FILTER($A$2:A192,$B$2:B192&lt;&gt;"""",$A$2:A192&lt;A193)),prevValue,XLOOKUP(prevDate,$A$2:A192,$B$2:B192),gap,A193-prevDate,unknown,COUNTIFS(Movimientos!$D"&amp;"$6:$D$505,""&gt;""&amp;prevDate,Movimientos!$D$6:$D$505,""&lt;=""&amp;A193,Movimientos!$E$6:$E$505,FALSE,Movimientos!$C$6:$C$505,""&lt;&gt;Fecha inferida*""),flow,SUMIFS(Movimientos!$B$6:$B$505,Movimientos!$D$6:$D$505,""&gt;""&amp;prevDate,Movimientos!$D$6:$D$505,""&lt;=""&amp;A193,Movimi"&amp;"entos!$E$6:$E$505,TRUE)+SUMIFS(Movimientos!$B$6:$B$505,Movimientos!$D$6:$D$505,""&gt;""&amp;prevDate,Movimientos!$D$6:$D$505,""&lt;=""&amp;A193,Movimientos!$C$6:$C$505,""Fecha inferida*""),net,B193-flow,IF(OR(gap&lt;1,unknown&gt;0,prevValue&lt;=0,net&lt;=0),"""",(POWER(net/prevVal"&amp;"ue,1/gap)-1)*100)),""""))"),0.143041237113394)</f>
        <v>0.143041237113394</v>
      </c>
      <c r="E193" s="95" t="str">
        <f t="shared" si="0"/>
        <v>Fin de semana</v>
      </c>
    </row>
    <row r="194" spans="1:5" x14ac:dyDescent="0.25">
      <c r="A194" s="92">
        <v>46215</v>
      </c>
      <c r="B194" s="93" t="str">
        <f>IF(Diario!B198="","",Diario!B198)</f>
        <v/>
      </c>
      <c r="C194" s="93">
        <f>SUMIFS(Movimientos!$B$6:$B$505,Movimientos!$D$6:$D$505,A194,Movimientos!$E$6:$E$505,TRUE)</f>
        <v>0</v>
      </c>
      <c r="D194" s="94" t="str">
        <f ca="1">IFERROR(__xludf.DUMMYFUNCTION("IF(OR(B194="""",A194&gt;TODAY(),E194=""Histórico mensual"",E194=""Base diaria""),"""",IFERROR(LET(prevDate,MAX(FILTER($A$2:A193,$B$2:B193&lt;&gt;"""",$A$2:A193&lt;A194)),prevValue,XLOOKUP(prevDate,$A$2:A193,$B$2:B193),gap,A194-prevDate,unknown,COUNTIFS(Movimientos!$D"&amp;"$6:$D$505,""&gt;""&amp;prevDate,Movimientos!$D$6:$D$505,""&lt;=""&amp;A194,Movimientos!$E$6:$E$505,FALSE,Movimientos!$C$6:$C$505,""&lt;&gt;Fecha inferida*""),flow,SUMIFS(Movimientos!$B$6:$B$505,Movimientos!$D$6:$D$505,""&gt;""&amp;prevDate,Movimientos!$D$6:$D$505,""&lt;=""&amp;A194,Movimi"&amp;"entos!$E$6:$E$505,TRUE)+SUMIFS(Movimientos!$B$6:$B$505,Movimientos!$D$6:$D$505,""&gt;""&amp;prevDate,Movimientos!$D$6:$D$505,""&lt;=""&amp;A194,Movimientos!$C$6:$C$505,""Fecha inferida*""),net,B194-flow,IF(OR(gap&lt;1,unknown&gt;0,prevValue&lt;=0,net&lt;=0),"""",(POWER(net/prevVal"&amp;"ue,1/gap)-1)*100)),""""))"),"")</f>
        <v/>
      </c>
      <c r="E194" s="95" t="str">
        <f t="shared" si="0"/>
        <v/>
      </c>
    </row>
    <row r="195" spans="1:5" x14ac:dyDescent="0.25">
      <c r="A195" s="92">
        <v>46216</v>
      </c>
      <c r="B195" s="93">
        <f>IF(Diario!B199="","",Diario!B199)</f>
        <v>77695</v>
      </c>
      <c r="C195" s="93">
        <f>SUMIFS(Movimientos!$B$6:$B$505,Movimientos!$D$6:$D$505,A195,Movimientos!$E$6:$E$505,TRUE)</f>
        <v>0</v>
      </c>
      <c r="D195" s="94">
        <f ca="1">IFERROR(__xludf.DUMMYFUNCTION("IF(OR(B195="""",A195&gt;TODAY(),E195=""Histórico mensual"",E195=""Base diaria""),"""",IFERROR(LET(prevDate,MAX(FILTER($A$2:A194,$B$2:B194&lt;&gt;"""",$A$2:A194&lt;A195)),prevValue,XLOOKUP(prevDate,$A$2:A194,$B$2:B194),gap,A195-prevDate,unknown,COUNTIFS(Movimientos!$D"&amp;"$6:$D$505,""&gt;""&amp;prevDate,Movimientos!$D$6:$D$505,""&lt;=""&amp;A195,Movimientos!$E$6:$E$505,FALSE,Movimientos!$C$6:$C$505,""&lt;&gt;Fecha inferida*""),flow,SUMIFS(Movimientos!$B$6:$B$505,Movimientos!$D$6:$D$505,""&gt;""&amp;prevDate,Movimientos!$D$6:$D$505,""&lt;=""&amp;A195,Movimi"&amp;"entos!$E$6:$E$505,TRUE)+SUMIFS(Movimientos!$B$6:$B$505,Movimientos!$D$6:$D$505,""&gt;""&amp;prevDate,Movimientos!$D$6:$D$505,""&lt;=""&amp;A195,Movimientos!$C$6:$C$505,""Fecha inferida*""),net,B195-flow,IF(OR(gap&lt;1,unknown&gt;0,prevValue&lt;=0,net&lt;=0),"""",(POWER(net/prevVal"&amp;"ue,1/gap)-1)*100)),""""))"),-0.0102950828383518)</f>
        <v>-1.02950828383518E-2</v>
      </c>
      <c r="E195" s="95" t="str">
        <f t="shared" si="0"/>
        <v>Diario</v>
      </c>
    </row>
    <row r="196" spans="1:5" x14ac:dyDescent="0.25">
      <c r="A196" s="92">
        <v>46217</v>
      </c>
      <c r="B196" s="93">
        <f>IF(Diario!B200="","",Diario!B200)</f>
        <v>77700</v>
      </c>
      <c r="C196" s="93">
        <f>SUMIFS(Movimientos!$B$6:$B$505,Movimientos!$D$6:$D$505,A196,Movimientos!$E$6:$E$505,TRUE)</f>
        <v>0</v>
      </c>
      <c r="D196" s="94">
        <f ca="1">IFERROR(__xludf.DUMMYFUNCTION("IF(OR(B196="""",A196&gt;TODAY(),E196=""Histórico mensual"",E196=""Base diaria""),"""",IFERROR(LET(prevDate,MAX(FILTER($A$2:A195,$B$2:B195&lt;&gt;"""",$A$2:A195&lt;A196)),prevValue,XLOOKUP(prevDate,$A$2:A195,$B$2:B195),gap,A196-prevDate,unknown,COUNTIFS(Movimientos!$D"&amp;"$6:$D$505,""&gt;""&amp;prevDate,Movimientos!$D$6:$D$505,""&lt;=""&amp;A196,Movimientos!$E$6:$E$505,FALSE,Movimientos!$C$6:$C$505,""&lt;&gt;Fecha inferida*""),flow,SUMIFS(Movimientos!$B$6:$B$505,Movimientos!$D$6:$D$505,""&gt;""&amp;prevDate,Movimientos!$D$6:$D$505,""&lt;=""&amp;A196,Movimi"&amp;"entos!$E$6:$E$505,TRUE)+SUMIFS(Movimientos!$B$6:$B$505,Movimientos!$D$6:$D$505,""&gt;""&amp;prevDate,Movimientos!$D$6:$D$505,""&lt;=""&amp;A196,Movimientos!$C$6:$C$505,""Fecha inferida*""),net,B196-flow,IF(OR(gap&lt;1,unknown&gt;0,prevValue&lt;=0,net&lt;=0),"""",(POWER(net/prevVal"&amp;"ue,1/gap)-1)*100)),""""))"),0.00643542055474011)</f>
        <v>6.4354205547401096E-3</v>
      </c>
      <c r="E196" s="95" t="str">
        <f t="shared" si="0"/>
        <v>Diario</v>
      </c>
    </row>
    <row r="197" spans="1:5" x14ac:dyDescent="0.25">
      <c r="A197" s="92">
        <v>46218</v>
      </c>
      <c r="B197" s="93">
        <f>IF(Diario!B201="","",Diario!B201)</f>
        <v>77717</v>
      </c>
      <c r="C197" s="93">
        <f>SUMIFS(Movimientos!$B$6:$B$505,Movimientos!$D$6:$D$505,A197,Movimientos!$E$6:$E$505,TRUE)</f>
        <v>0</v>
      </c>
      <c r="D197" s="94">
        <f ca="1">IFERROR(__xludf.DUMMYFUNCTION("IF(OR(B197="""",A197&gt;TODAY(),E197=""Histórico mensual"",E197=""Base diaria""),"""",IFERROR(LET(prevDate,MAX(FILTER($A$2:A196,$B$2:B196&lt;&gt;"""",$A$2:A196&lt;A197)),prevValue,XLOOKUP(prevDate,$A$2:A196,$B$2:B196),gap,A197-prevDate,unknown,COUNTIFS(Movimientos!$D"&amp;"$6:$D$505,""&gt;""&amp;prevDate,Movimientos!$D$6:$D$505,""&lt;=""&amp;A197,Movimientos!$E$6:$E$505,FALSE,Movimientos!$C$6:$C$505,""&lt;&gt;Fecha inferida*""),flow,SUMIFS(Movimientos!$B$6:$B$505,Movimientos!$D$6:$D$505,""&gt;""&amp;prevDate,Movimientos!$D$6:$D$505,""&lt;=""&amp;A197,Movimi"&amp;"entos!$E$6:$E$505,TRUE)+SUMIFS(Movimientos!$B$6:$B$505,Movimientos!$D$6:$D$505,""&gt;""&amp;prevDate,Movimientos!$D$6:$D$505,""&lt;=""&amp;A197,Movimientos!$C$6:$C$505,""Fecha inferida*""),net,B197-flow,IF(OR(gap&lt;1,unknown&gt;0,prevValue&lt;=0,net&lt;=0),"""",(POWER(net/prevVal"&amp;"ue,1/gap)-1)*100)),""""))"),0.0218790218790232)</f>
        <v>2.18790218790232E-2</v>
      </c>
      <c r="E197" s="95" t="str">
        <f t="shared" si="0"/>
        <v>Diario</v>
      </c>
    </row>
    <row r="198" spans="1:5" x14ac:dyDescent="0.25">
      <c r="A198" s="92">
        <v>46219</v>
      </c>
      <c r="B198" s="93">
        <f>IF(Diario!B202="","",Diario!B202)</f>
        <v>77976</v>
      </c>
      <c r="C198" s="93">
        <f>SUMIFS(Movimientos!$B$6:$B$505,Movimientos!$D$6:$D$505,A198,Movimientos!$E$6:$E$505,TRUE)</f>
        <v>0</v>
      </c>
      <c r="D198" s="94">
        <f ca="1">IFERROR(__xludf.DUMMYFUNCTION("IF(OR(B198="""",A198&gt;TODAY(),E198=""Histórico mensual"",E198=""Base diaria""),"""",IFERROR(LET(prevDate,MAX(FILTER($A$2:A197,$B$2:B197&lt;&gt;"""",$A$2:A197&lt;A198)),prevValue,XLOOKUP(prevDate,$A$2:A197,$B$2:B197),gap,A198-prevDate,unknown,COUNTIFS(Movimientos!$D"&amp;"$6:$D$505,""&gt;""&amp;prevDate,Movimientos!$D$6:$D$505,""&lt;=""&amp;A198,Movimientos!$E$6:$E$505,FALSE,Movimientos!$C$6:$C$505,""&lt;&gt;Fecha inferida*""),flow,SUMIFS(Movimientos!$B$6:$B$505,Movimientos!$D$6:$D$505,""&gt;""&amp;prevDate,Movimientos!$D$6:$D$505,""&lt;=""&amp;A198,Movimi"&amp;"entos!$E$6:$E$505,TRUE)+SUMIFS(Movimientos!$B$6:$B$505,Movimientos!$D$6:$D$505,""&gt;""&amp;prevDate,Movimientos!$D$6:$D$505,""&lt;=""&amp;A198,Movimientos!$C$6:$C$505,""Fecha inferida*""),net,B198-flow,IF(OR(gap&lt;1,unknown&gt;0,prevValue&lt;=0,net&lt;=0),"""",(POWER(net/prevVal"&amp;"ue,1/gap)-1)*100)),""""))"),0.33326041921331)</f>
        <v>0.33326041921331001</v>
      </c>
      <c r="E198" s="95" t="str">
        <f t="shared" si="0"/>
        <v>Diario</v>
      </c>
    </row>
    <row r="199" spans="1:5" x14ac:dyDescent="0.25">
      <c r="A199" s="92">
        <v>46220</v>
      </c>
      <c r="B199" s="93">
        <f>IF(Diario!B203="","",Diario!B203)</f>
        <v>77718</v>
      </c>
      <c r="C199" s="93">
        <f>SUMIFS(Movimientos!$B$6:$B$505,Movimientos!$D$6:$D$505,A199,Movimientos!$E$6:$E$505,TRUE)</f>
        <v>0</v>
      </c>
      <c r="D199" s="94">
        <f ca="1">IFERROR(__xludf.DUMMYFUNCTION("IF(OR(B199="""",A199&gt;TODAY(),E199=""Histórico mensual"",E199=""Base diaria""),"""",IFERROR(LET(prevDate,MAX(FILTER($A$2:A198,$B$2:B198&lt;&gt;"""",$A$2:A198&lt;A199)),prevValue,XLOOKUP(prevDate,$A$2:A198,$B$2:B198),gap,A199-prevDate,unknown,COUNTIFS(Movimientos!$D"&amp;"$6:$D$505,""&gt;""&amp;prevDate,Movimientos!$D$6:$D$505,""&lt;=""&amp;A199,Movimientos!$E$6:$E$505,FALSE,Movimientos!$C$6:$C$505,""&lt;&gt;Fecha inferida*""),flow,SUMIFS(Movimientos!$B$6:$B$505,Movimientos!$D$6:$D$505,""&gt;""&amp;prevDate,Movimientos!$D$6:$D$505,""&lt;=""&amp;A199,Movimi"&amp;"entos!$E$6:$E$505,TRUE)+SUMIFS(Movimientos!$B$6:$B$505,Movimientos!$D$6:$D$505,""&gt;""&amp;prevDate,Movimientos!$D$6:$D$505,""&lt;=""&amp;A199,Movimientos!$C$6:$C$505,""Fecha inferida*""),net,B199-flow,IF(OR(gap&lt;1,unknown&gt;0,prevValue&lt;=0,net&lt;=0),"""",(POWER(net/prevVal"&amp;"ue,1/gap)-1)*100)),""""))"),-0.33087103724223)</f>
        <v>-0.33087103724222999</v>
      </c>
      <c r="E199" s="95" t="str">
        <f t="shared" si="0"/>
        <v>Diario</v>
      </c>
    </row>
    <row r="200" spans="1:5" x14ac:dyDescent="0.25">
      <c r="A200" s="92">
        <v>46221</v>
      </c>
      <c r="B200" s="93">
        <f>IF(Diario!B204="","",Diario!B204)</f>
        <v>77350</v>
      </c>
      <c r="C200" s="93">
        <f>SUMIFS(Movimientos!$B$6:$B$505,Movimientos!$D$6:$D$505,A200,Movimientos!$E$6:$E$505,TRUE)</f>
        <v>0</v>
      </c>
      <c r="D200" s="94">
        <f ca="1">IFERROR(__xludf.DUMMYFUNCTION("IF(OR(B200="""",A200&gt;TODAY(),E200=""Histórico mensual"",E200=""Base diaria""),"""",IFERROR(LET(prevDate,MAX(FILTER($A$2:A199,$B$2:B199&lt;&gt;"""",$A$2:A199&lt;A200)),prevValue,XLOOKUP(prevDate,$A$2:A199,$B$2:B199),gap,A200-prevDate,unknown,COUNTIFS(Movimientos!$D"&amp;"$6:$D$505,""&gt;""&amp;prevDate,Movimientos!$D$6:$D$505,""&lt;=""&amp;A200,Movimientos!$E$6:$E$505,FALSE,Movimientos!$C$6:$C$505,""&lt;&gt;Fecha inferida*""),flow,SUMIFS(Movimientos!$B$6:$B$505,Movimientos!$D$6:$D$505,""&gt;""&amp;prevDate,Movimientos!$D$6:$D$505,""&lt;=""&amp;A200,Movimi"&amp;"entos!$E$6:$E$505,TRUE)+SUMIFS(Movimientos!$B$6:$B$505,Movimientos!$D$6:$D$505,""&gt;""&amp;prevDate,Movimientos!$D$6:$D$505,""&lt;=""&amp;A200,Movimientos!$C$6:$C$505,""Fecha inferida*""),net,B200-flow,IF(OR(gap&lt;1,unknown&gt;0,prevValue&lt;=0,net&lt;=0),"""",(POWER(net/prevVal"&amp;"ue,1/gap)-1)*100)),""""))"),-0.473506780925914)</f>
        <v>-0.47350678092591397</v>
      </c>
      <c r="E200" s="95" t="str">
        <f t="shared" si="0"/>
        <v>Fin de semana</v>
      </c>
    </row>
    <row r="201" spans="1:5" x14ac:dyDescent="0.25">
      <c r="A201" s="92">
        <v>46222</v>
      </c>
      <c r="B201" s="93" t="str">
        <f>IF(Diario!B205="","",Diario!B205)</f>
        <v/>
      </c>
      <c r="C201" s="93">
        <f>SUMIFS(Movimientos!$B$6:$B$505,Movimientos!$D$6:$D$505,A201,Movimientos!$E$6:$E$505,TRUE)</f>
        <v>0</v>
      </c>
      <c r="D201" s="94" t="str">
        <f ca="1">IFERROR(__xludf.DUMMYFUNCTION("IF(OR(B201="""",A201&gt;TODAY(),E201=""Histórico mensual"",E201=""Base diaria""),"""",IFERROR(LET(prevDate,MAX(FILTER($A$2:A200,$B$2:B200&lt;&gt;"""",$A$2:A200&lt;A201)),prevValue,XLOOKUP(prevDate,$A$2:A200,$B$2:B200),gap,A201-prevDate,unknown,COUNTIFS(Movimientos!$D"&amp;"$6:$D$505,""&gt;""&amp;prevDate,Movimientos!$D$6:$D$505,""&lt;=""&amp;A201,Movimientos!$E$6:$E$505,FALSE,Movimientos!$C$6:$C$505,""&lt;&gt;Fecha inferida*""),flow,SUMIFS(Movimientos!$B$6:$B$505,Movimientos!$D$6:$D$505,""&gt;""&amp;prevDate,Movimientos!$D$6:$D$505,""&lt;=""&amp;A201,Movimi"&amp;"entos!$E$6:$E$505,TRUE)+SUMIFS(Movimientos!$B$6:$B$505,Movimientos!$D$6:$D$505,""&gt;""&amp;prevDate,Movimientos!$D$6:$D$505,""&lt;=""&amp;A201,Movimientos!$C$6:$C$505,""Fecha inferida*""),net,B201-flow,IF(OR(gap&lt;1,unknown&gt;0,prevValue&lt;=0,net&lt;=0),"""",(POWER(net/prevVal"&amp;"ue,1/gap)-1)*100)),""""))"),"")</f>
        <v/>
      </c>
      <c r="E201" s="95" t="str">
        <f t="shared" si="0"/>
        <v/>
      </c>
    </row>
    <row r="202" spans="1:5" x14ac:dyDescent="0.25">
      <c r="A202" s="92">
        <v>46223</v>
      </c>
      <c r="B202" s="93">
        <f>IF(Diario!B206="","",Diario!B206)</f>
        <v>77138</v>
      </c>
      <c r="C202" s="93">
        <f>SUMIFS(Movimientos!$B$6:$B$505,Movimientos!$D$6:$D$505,A202,Movimientos!$E$6:$E$505,TRUE)</f>
        <v>0</v>
      </c>
      <c r="D202" s="94">
        <f ca="1">IFERROR(__xludf.DUMMYFUNCTION("IF(OR(B202="""",A202&gt;TODAY(),E202=""Histórico mensual"",E202=""Base diaria""),"""",IFERROR(LET(prevDate,MAX(FILTER($A$2:A201,$B$2:B201&lt;&gt;"""",$A$2:A201&lt;A202)),prevValue,XLOOKUP(prevDate,$A$2:A201,$B$2:B201),gap,A202-prevDate,unknown,COUNTIFS(Movimientos!$D"&amp;"$6:$D$505,""&gt;""&amp;prevDate,Movimientos!$D$6:$D$505,""&lt;=""&amp;A202,Movimientos!$E$6:$E$505,FALSE,Movimientos!$C$6:$C$505,""&lt;&gt;Fecha inferida*""),flow,SUMIFS(Movimientos!$B$6:$B$505,Movimientos!$D$6:$D$505,""&gt;""&amp;prevDate,Movimientos!$D$6:$D$505,""&lt;=""&amp;A202,Movimi"&amp;"entos!$E$6:$E$505,TRUE)+SUMIFS(Movimientos!$B$6:$B$505,Movimientos!$D$6:$D$505,""&gt;""&amp;prevDate,Movimientos!$D$6:$D$505,""&lt;=""&amp;A202,Movimientos!$C$6:$C$505,""Fecha inferida*""),net,B202-flow,IF(OR(gap&lt;1,unknown&gt;0,prevValue&lt;=0,net&lt;=0),"""",(POWER(net/prevVal"&amp;"ue,1/gap)-1)*100)),""""))"),-0.137133459085081)</f>
        <v>-0.13713345908508101</v>
      </c>
      <c r="E202" s="95" t="str">
        <f t="shared" si="0"/>
        <v>Diario</v>
      </c>
    </row>
    <row r="203" spans="1:5" x14ac:dyDescent="0.25">
      <c r="A203" s="92">
        <v>46224</v>
      </c>
      <c r="B203" s="93">
        <f>IF(Diario!B207="","",Diario!B207)</f>
        <v>77050</v>
      </c>
      <c r="C203" s="93">
        <f>SUMIFS(Movimientos!$B$6:$B$505,Movimientos!$D$6:$D$505,A203,Movimientos!$E$6:$E$505,TRUE)</f>
        <v>0</v>
      </c>
      <c r="D203" s="94">
        <f ca="1">IFERROR(__xludf.DUMMYFUNCTION("IF(OR(B203="""",A203&gt;TODAY(),E203=""Histórico mensual"",E203=""Base diaria""),"""",IFERROR(LET(prevDate,MAX(FILTER($A$2:A202,$B$2:B202&lt;&gt;"""",$A$2:A202&lt;A203)),prevValue,XLOOKUP(prevDate,$A$2:A202,$B$2:B202),gap,A203-prevDate,unknown,COUNTIFS(Movimientos!$D"&amp;"$6:$D$505,""&gt;""&amp;prevDate,Movimientos!$D$6:$D$505,""&lt;=""&amp;A203,Movimientos!$E$6:$E$505,FALSE,Movimientos!$C$6:$C$505,""&lt;&gt;Fecha inferida*""),flow,SUMIFS(Movimientos!$B$6:$B$505,Movimientos!$D$6:$D$505,""&gt;""&amp;prevDate,Movimientos!$D$6:$D$505,""&lt;=""&amp;A203,Movimi"&amp;"entos!$E$6:$E$505,TRUE)+SUMIFS(Movimientos!$B$6:$B$505,Movimientos!$D$6:$D$505,""&gt;""&amp;prevDate,Movimientos!$D$6:$D$505,""&lt;=""&amp;A203,Movimientos!$C$6:$C$505,""Fecha inferida*""),net,B203-flow,IF(OR(gap&lt;1,unknown&gt;0,prevValue&lt;=0,net&lt;=0),"""",(POWER(net/prevVal"&amp;"ue,1/gap)-1)*100)),""""))"),-0.114081256968034)</f>
        <v>-0.11408125696803401</v>
      </c>
      <c r="E203" s="95" t="str">
        <f t="shared" si="0"/>
        <v>Diario</v>
      </c>
    </row>
    <row r="204" spans="1:5" x14ac:dyDescent="0.25">
      <c r="A204" s="92">
        <v>46225</v>
      </c>
      <c r="B204" s="93">
        <f>IF(Diario!B208="","",Diario!B208)</f>
        <v>77305</v>
      </c>
      <c r="C204" s="93">
        <f>SUMIFS(Movimientos!$B$6:$B$505,Movimientos!$D$6:$D$505,A204,Movimientos!$E$6:$E$505,TRUE)</f>
        <v>0</v>
      </c>
      <c r="D204" s="94">
        <f ca="1">IFERROR(__xludf.DUMMYFUNCTION("IF(OR(B204="""",A204&gt;TODAY(),E204=""Histórico mensual"",E204=""Base diaria""),"""",IFERROR(LET(prevDate,MAX(FILTER($A$2:A203,$B$2:B203&lt;&gt;"""",$A$2:A203&lt;A204)),prevValue,XLOOKUP(prevDate,$A$2:A203,$B$2:B203),gap,A204-prevDate,unknown,COUNTIFS(Movimientos!$D"&amp;"$6:$D$505,""&gt;""&amp;prevDate,Movimientos!$D$6:$D$505,""&lt;=""&amp;A204,Movimientos!$E$6:$E$505,FALSE,Movimientos!$C$6:$C$505,""&lt;&gt;Fecha inferida*""),flow,SUMIFS(Movimientos!$B$6:$B$505,Movimientos!$D$6:$D$505,""&gt;""&amp;prevDate,Movimientos!$D$6:$D$505,""&lt;=""&amp;A204,Movimi"&amp;"entos!$E$6:$E$505,TRUE)+SUMIFS(Movimientos!$B$6:$B$505,Movimientos!$D$6:$D$505,""&gt;""&amp;prevDate,Movimientos!$D$6:$D$505,""&lt;=""&amp;A204,Movimientos!$C$6:$C$505,""Fecha inferida*""),net,B204-flow,IF(OR(gap&lt;1,unknown&gt;0,prevValue&lt;=0,net&lt;=0),"""",(POWER(net/prevVal"&amp;"ue,1/gap)-1)*100)),""""))"),0.33095392602207)</f>
        <v>0.33095392602207002</v>
      </c>
      <c r="E204" s="95" t="str">
        <f t="shared" si="0"/>
        <v>Diario</v>
      </c>
    </row>
    <row r="205" spans="1:5" x14ac:dyDescent="0.25">
      <c r="A205" s="92">
        <v>46226</v>
      </c>
      <c r="B205" s="93">
        <f>IF(Diario!B209="","",Diario!B209)</f>
        <v>77010</v>
      </c>
      <c r="C205" s="93">
        <f>SUMIFS(Movimientos!$B$6:$B$505,Movimientos!$D$6:$D$505,A205,Movimientos!$E$6:$E$505,TRUE)</f>
        <v>0</v>
      </c>
      <c r="D205" s="94">
        <f ca="1">IFERROR(__xludf.DUMMYFUNCTION("IF(OR(B205="""",A205&gt;TODAY(),E205=""Histórico mensual"",E205=""Base diaria""),"""",IFERROR(LET(prevDate,MAX(FILTER($A$2:A204,$B$2:B204&lt;&gt;"""",$A$2:A204&lt;A205)),prevValue,XLOOKUP(prevDate,$A$2:A204,$B$2:B204),gap,A205-prevDate,unknown,COUNTIFS(Movimientos!$D"&amp;"$6:$D$505,""&gt;""&amp;prevDate,Movimientos!$D$6:$D$505,""&lt;=""&amp;A205,Movimientos!$E$6:$E$505,FALSE,Movimientos!$C$6:$C$505,""&lt;&gt;Fecha inferida*""),flow,SUMIFS(Movimientos!$B$6:$B$505,Movimientos!$D$6:$D$505,""&gt;""&amp;prevDate,Movimientos!$D$6:$D$505,""&lt;=""&amp;A205,Movimi"&amp;"entos!$E$6:$E$505,TRUE)+SUMIFS(Movimientos!$B$6:$B$505,Movimientos!$D$6:$D$505,""&gt;""&amp;prevDate,Movimientos!$D$6:$D$505,""&lt;=""&amp;A205,Movimientos!$C$6:$C$505,""Fecha inferida*""),net,B205-flow,IF(OR(gap&lt;1,unknown&gt;0,prevValue&lt;=0,net&lt;=0),"""",(POWER(net/prevVal"&amp;"ue,1/gap)-1)*100)),""""))"),-0.381605329538836)</f>
        <v>-0.38160532953883602</v>
      </c>
      <c r="E205" s="95" t="str">
        <f t="shared" si="0"/>
        <v>Diario</v>
      </c>
    </row>
    <row r="206" spans="1:5" x14ac:dyDescent="0.25">
      <c r="A206" s="92">
        <v>46227</v>
      </c>
      <c r="B206" s="93">
        <f>IF(Diario!B210="","",Diario!B210)</f>
        <v>76860</v>
      </c>
      <c r="C206" s="93">
        <f>SUMIFS(Movimientos!$B$6:$B$505,Movimientos!$D$6:$D$505,A206,Movimientos!$E$6:$E$505,TRUE)</f>
        <v>0</v>
      </c>
      <c r="D206" s="94">
        <f ca="1">IFERROR(__xludf.DUMMYFUNCTION("IF(OR(B206="""",A206&gt;TODAY(),E206=""Histórico mensual"",E206=""Base diaria""),"""",IFERROR(LET(prevDate,MAX(FILTER($A$2:A205,$B$2:B205&lt;&gt;"""",$A$2:A205&lt;A206)),prevValue,XLOOKUP(prevDate,$A$2:A205,$B$2:B205),gap,A206-prevDate,unknown,COUNTIFS(Movimientos!$D"&amp;"$6:$D$505,""&gt;""&amp;prevDate,Movimientos!$D$6:$D$505,""&lt;=""&amp;A206,Movimientos!$E$6:$E$505,FALSE,Movimientos!$C$6:$C$505,""&lt;&gt;Fecha inferida*""),flow,SUMIFS(Movimientos!$B$6:$B$505,Movimientos!$D$6:$D$505,""&gt;""&amp;prevDate,Movimientos!$D$6:$D$505,""&lt;=""&amp;A206,Movimi"&amp;"entos!$E$6:$E$505,TRUE)+SUMIFS(Movimientos!$B$6:$B$505,Movimientos!$D$6:$D$505,""&gt;""&amp;prevDate,Movimientos!$D$6:$D$505,""&lt;=""&amp;A206,Movimientos!$C$6:$C$505,""Fecha inferida*""),net,B206-flow,IF(OR(gap&lt;1,unknown&gt;0,prevValue&lt;=0,net&lt;=0),"""",(POWER(net/prevVal"&amp;"ue,1/gap)-1)*100)),""""))"),-0.194779898714447)</f>
        <v>-0.19477989871444701</v>
      </c>
      <c r="E206" s="95" t="str">
        <f t="shared" si="0"/>
        <v>Diario</v>
      </c>
    </row>
    <row r="207" spans="1:5" x14ac:dyDescent="0.25">
      <c r="A207" s="92">
        <v>46228</v>
      </c>
      <c r="B207" s="93" t="str">
        <f>IF(Diario!B211="","",Diario!B211)</f>
        <v/>
      </c>
      <c r="C207" s="93">
        <f>SUMIFS(Movimientos!$B$6:$B$505,Movimientos!$D$6:$D$505,A207,Movimientos!$E$6:$E$505,TRUE)</f>
        <v>0</v>
      </c>
      <c r="D207" s="94" t="str">
        <f ca="1">IFERROR(__xludf.DUMMYFUNCTION("IF(OR(B207="""",A207&gt;TODAY(),E207=""Histórico mensual"",E207=""Base diaria""),"""",IFERROR(LET(prevDate,MAX(FILTER($A$2:A206,$B$2:B206&lt;&gt;"""",$A$2:A206&lt;A207)),prevValue,XLOOKUP(prevDate,$A$2:A206,$B$2:B206),gap,A207-prevDate,unknown,COUNTIFS(Movimientos!$D"&amp;"$6:$D$505,""&gt;""&amp;prevDate,Movimientos!$D$6:$D$505,""&lt;=""&amp;A207,Movimientos!$E$6:$E$505,FALSE,Movimientos!$C$6:$C$505,""&lt;&gt;Fecha inferida*""),flow,SUMIFS(Movimientos!$B$6:$B$505,Movimientos!$D$6:$D$505,""&gt;""&amp;prevDate,Movimientos!$D$6:$D$505,""&lt;=""&amp;A207,Movimi"&amp;"entos!$E$6:$E$505,TRUE)+SUMIFS(Movimientos!$B$6:$B$505,Movimientos!$D$6:$D$505,""&gt;""&amp;prevDate,Movimientos!$D$6:$D$505,""&lt;=""&amp;A207,Movimientos!$C$6:$C$505,""Fecha inferida*""),net,B207-flow,IF(OR(gap&lt;1,unknown&gt;0,prevValue&lt;=0,net&lt;=0),"""",(POWER(net/prevVal"&amp;"ue,1/gap)-1)*100)),""""))"),"")</f>
        <v/>
      </c>
      <c r="E207" s="95" t="str">
        <f t="shared" si="0"/>
        <v/>
      </c>
    </row>
    <row r="208" spans="1:5" x14ac:dyDescent="0.25">
      <c r="A208" s="92">
        <v>46229</v>
      </c>
      <c r="B208" s="93" t="str">
        <f>IF(Diario!B212="","",Diario!B212)</f>
        <v/>
      </c>
      <c r="C208" s="93">
        <f>SUMIFS(Movimientos!$B$6:$B$505,Movimientos!$D$6:$D$505,A208,Movimientos!$E$6:$E$505,TRUE)</f>
        <v>0</v>
      </c>
      <c r="D208" s="94" t="str">
        <f ca="1">IFERROR(__xludf.DUMMYFUNCTION("IF(OR(B208="""",A208&gt;TODAY(),E208=""Histórico mensual"",E208=""Base diaria""),"""",IFERROR(LET(prevDate,MAX(FILTER($A$2:A207,$B$2:B207&lt;&gt;"""",$A$2:A207&lt;A208)),prevValue,XLOOKUP(prevDate,$A$2:A207,$B$2:B207),gap,A208-prevDate,unknown,COUNTIFS(Movimientos!$D"&amp;"$6:$D$505,""&gt;""&amp;prevDate,Movimientos!$D$6:$D$505,""&lt;=""&amp;A208,Movimientos!$E$6:$E$505,FALSE,Movimientos!$C$6:$C$505,""&lt;&gt;Fecha inferida*""),flow,SUMIFS(Movimientos!$B$6:$B$505,Movimientos!$D$6:$D$505,""&gt;""&amp;prevDate,Movimientos!$D$6:$D$505,""&lt;=""&amp;A208,Movimi"&amp;"entos!$E$6:$E$505,TRUE)+SUMIFS(Movimientos!$B$6:$B$505,Movimientos!$D$6:$D$505,""&gt;""&amp;prevDate,Movimientos!$D$6:$D$505,""&lt;=""&amp;A208,Movimientos!$C$6:$C$505,""Fecha inferida*""),net,B208-flow,IF(OR(gap&lt;1,unknown&gt;0,prevValue&lt;=0,net&lt;=0),"""",(POWER(net/prevVal"&amp;"ue,1/gap)-1)*100)),""""))"),"")</f>
        <v/>
      </c>
      <c r="E208" s="95" t="str">
        <f t="shared" si="0"/>
        <v/>
      </c>
    </row>
    <row r="209" spans="1:5" x14ac:dyDescent="0.25">
      <c r="A209" s="92">
        <v>46230</v>
      </c>
      <c r="B209" s="93">
        <f>IF(Diario!B213="","",Diario!B213)</f>
        <v>83088</v>
      </c>
      <c r="C209" s="93">
        <f>SUMIFS(Movimientos!$B$6:$B$505,Movimientos!$D$6:$D$505,A209,Movimientos!$E$6:$E$505,TRUE)</f>
        <v>6000</v>
      </c>
      <c r="D209" s="94">
        <f ca="1">IFERROR(__xludf.DUMMYFUNCTION("IF(OR(B209="""",A209&gt;TODAY(),E209=""Histórico mensual"",E209=""Base diaria""),"""",IFERROR(LET(prevDate,MAX(FILTER($A$2:A208,$B$2:B208&lt;&gt;"""",$A$2:A208&lt;A209)),prevValue,XLOOKUP(prevDate,$A$2:A208,$B$2:B208),gap,A209-prevDate,unknown,COUNTIFS(Movimientos!$D"&amp;"$6:$D$505,""&gt;""&amp;prevDate,Movimientos!$D$6:$D$505,""&lt;=""&amp;A209,Movimientos!$E$6:$E$505,FALSE,Movimientos!$C$6:$C$505,""&lt;&gt;Fecha inferida*""),flow,SUMIFS(Movimientos!$B$6:$B$505,Movimientos!$D$6:$D$505,""&gt;""&amp;prevDate,Movimientos!$D$6:$D$505,""&lt;=""&amp;A209,Movimi"&amp;"entos!$E$6:$E$505,TRUE)+SUMIFS(Movimientos!$B$6:$B$505,Movimientos!$D$6:$D$505,""&gt;""&amp;prevDate,Movimientos!$D$6:$D$505,""&lt;=""&amp;A209,Movimientos!$C$6:$C$505,""Fecha inferida*""),net,B209-flow,IF(OR(gap&lt;1,unknown&gt;0,prevValue&lt;=0,net&lt;=0),"""",(POWER(net/prevVal"&amp;"ue,1/gap)-1)*100)),""""))"),0.0987834686193789)</f>
        <v>9.8783468619378895E-2</v>
      </c>
      <c r="E209" s="95" t="str">
        <f t="shared" si="0"/>
        <v>Diario</v>
      </c>
    </row>
    <row r="210" spans="1:5" x14ac:dyDescent="0.25">
      <c r="A210" s="92">
        <v>46231</v>
      </c>
      <c r="B210" s="93">
        <f>IF(Diario!B214="","",Diario!B214)</f>
        <v>83266</v>
      </c>
      <c r="C210" s="93">
        <f>SUMIFS(Movimientos!$B$6:$B$505,Movimientos!$D$6:$D$505,A210,Movimientos!$E$6:$E$505,TRUE)</f>
        <v>0</v>
      </c>
      <c r="D210" s="94">
        <f ca="1">IFERROR(__xludf.DUMMYFUNCTION("IF(OR(B210="""",A210&gt;TODAY(),E210=""Histórico mensual"",E210=""Base diaria""),"""",IFERROR(LET(prevDate,MAX(FILTER($A$2:A209,$B$2:B209&lt;&gt;"""",$A$2:A209&lt;A210)),prevValue,XLOOKUP(prevDate,$A$2:A209,$B$2:B209),gap,A210-prevDate,unknown,COUNTIFS(Movimientos!$D"&amp;"$6:$D$505,""&gt;""&amp;prevDate,Movimientos!$D$6:$D$505,""&lt;=""&amp;A210,Movimientos!$E$6:$E$505,FALSE,Movimientos!$C$6:$C$505,""&lt;&gt;Fecha inferida*""),flow,SUMIFS(Movimientos!$B$6:$B$505,Movimientos!$D$6:$D$505,""&gt;""&amp;prevDate,Movimientos!$D$6:$D$505,""&lt;=""&amp;A210,Movimi"&amp;"entos!$E$6:$E$505,TRUE)+SUMIFS(Movimientos!$B$6:$B$505,Movimientos!$D$6:$D$505,""&gt;""&amp;prevDate,Movimientos!$D$6:$D$505,""&lt;=""&amp;A210,Movimientos!$C$6:$C$505,""Fecha inferida*""),net,B210-flow,IF(OR(gap&lt;1,unknown&gt;0,prevValue&lt;=0,net&lt;=0),"""",(POWER(net/prevVal"&amp;"ue,1/gap)-1)*100)),""""))"),0.214230695166572)</f>
        <v>0.214230695166572</v>
      </c>
      <c r="E210" s="95" t="str">
        <f t="shared" si="0"/>
        <v>Diario</v>
      </c>
    </row>
    <row r="211" spans="1:5" x14ac:dyDescent="0.25">
      <c r="A211" s="92">
        <v>46232</v>
      </c>
      <c r="B211" s="93">
        <f>IF(Diario!B215="","",Diario!B215)</f>
        <v>83587</v>
      </c>
      <c r="C211" s="93">
        <f>SUMIFS(Movimientos!$B$6:$B$505,Movimientos!$D$6:$D$505,A211,Movimientos!$E$6:$E$505,TRUE)</f>
        <v>0</v>
      </c>
      <c r="D211" s="94">
        <f ca="1">IFERROR(__xludf.DUMMYFUNCTION("IF(OR(B211="""",A211&gt;TODAY(),E211=""Histórico mensual"",E211=""Base diaria""),"""",IFERROR(LET(prevDate,MAX(FILTER($A$2:A210,$B$2:B210&lt;&gt;"""",$A$2:A210&lt;A211)),prevValue,XLOOKUP(prevDate,$A$2:A210,$B$2:B210),gap,A211-prevDate,unknown,COUNTIFS(Movimientos!$D"&amp;"$6:$D$505,""&gt;""&amp;prevDate,Movimientos!$D$6:$D$505,""&lt;=""&amp;A211,Movimientos!$E$6:$E$505,FALSE,Movimientos!$C$6:$C$505,""&lt;&gt;Fecha inferida*""),flow,SUMIFS(Movimientos!$B$6:$B$505,Movimientos!$D$6:$D$505,""&gt;""&amp;prevDate,Movimientos!$D$6:$D$505,""&lt;=""&amp;A211,Movimi"&amp;"entos!$E$6:$E$505,TRUE)+SUMIFS(Movimientos!$B$6:$B$505,Movimientos!$D$6:$D$505,""&gt;""&amp;prevDate,Movimientos!$D$6:$D$505,""&lt;=""&amp;A211,Movimientos!$C$6:$C$505,""Fecha inferida*""),net,B211-flow,IF(OR(gap&lt;1,unknown&gt;0,prevValue&lt;=0,net&lt;=0),"""",(POWER(net/prevVal"&amp;"ue,1/gap)-1)*100)),""""))"),0.385511493286583)</f>
        <v>0.38551149328658302</v>
      </c>
      <c r="E211" s="95" t="str">
        <f t="shared" si="0"/>
        <v>Diario</v>
      </c>
    </row>
    <row r="212" spans="1:5" x14ac:dyDescent="0.25">
      <c r="A212" s="92">
        <v>46233</v>
      </c>
      <c r="B212" s="93">
        <f>IF(Diario!B216="","",Diario!B216)</f>
        <v>84016</v>
      </c>
      <c r="C212" s="93">
        <f>SUMIFS(Movimientos!$B$6:$B$505,Movimientos!$D$6:$D$505,A212,Movimientos!$E$6:$E$505,TRUE)</f>
        <v>0</v>
      </c>
      <c r="D212" s="94">
        <f ca="1">IFERROR(__xludf.DUMMYFUNCTION("IF(OR(B212="""",A212&gt;TODAY(),E212=""Histórico mensual"",E212=""Base diaria""),"""",IFERROR(LET(prevDate,MAX(FILTER($A$2:A211,$B$2:B211&lt;&gt;"""",$A$2:A211&lt;A212)),prevValue,XLOOKUP(prevDate,$A$2:A211,$B$2:B211),gap,A212-prevDate,unknown,COUNTIFS(Movimientos!$D"&amp;"$6:$D$505,""&gt;""&amp;prevDate,Movimientos!$D$6:$D$505,""&lt;=""&amp;A212,Movimientos!$E$6:$E$505,FALSE,Movimientos!$C$6:$C$505,""&lt;&gt;Fecha inferida*""),flow,SUMIFS(Movimientos!$B$6:$B$505,Movimientos!$D$6:$D$505,""&gt;""&amp;prevDate,Movimientos!$D$6:$D$505,""&lt;=""&amp;A212,Movimi"&amp;"entos!$E$6:$E$505,TRUE)+SUMIFS(Movimientos!$B$6:$B$505,Movimientos!$D$6:$D$505,""&gt;""&amp;prevDate,Movimientos!$D$6:$D$505,""&lt;=""&amp;A212,Movimientos!$C$6:$C$505,""Fecha inferida*""),net,B212-flow,IF(OR(gap&lt;1,unknown&gt;0,prevValue&lt;=0,net&lt;=0),"""",(POWER(net/prevVal"&amp;"ue,1/gap)-1)*100)),""""))"),0.513237704427727)</f>
        <v>0.51323770442772698</v>
      </c>
      <c r="E212" s="95" t="str">
        <f t="shared" si="0"/>
        <v>Diario</v>
      </c>
    </row>
    <row r="213" spans="1:5" x14ac:dyDescent="0.25">
      <c r="A213" s="92">
        <v>46234</v>
      </c>
      <c r="B213" s="93">
        <f>IF(Diario!B217="","",Diario!B217)</f>
        <v>83862</v>
      </c>
      <c r="C213" s="93">
        <f>SUMIFS(Movimientos!$B$6:$B$505,Movimientos!$D$6:$D$505,A213,Movimientos!$E$6:$E$505,TRUE)</f>
        <v>0</v>
      </c>
      <c r="D213" s="94">
        <f ca="1">IFERROR(__xludf.DUMMYFUNCTION("IF(OR(B213="""",A213&gt;TODAY(),E213=""Histórico mensual"",E213=""Base diaria""),"""",IFERROR(LET(prevDate,MAX(FILTER($A$2:A212,$B$2:B212&lt;&gt;"""",$A$2:A212&lt;A213)),prevValue,XLOOKUP(prevDate,$A$2:A212,$B$2:B212),gap,A213-prevDate,unknown,COUNTIFS(Movimientos!$D"&amp;"$6:$D$505,""&gt;""&amp;prevDate,Movimientos!$D$6:$D$505,""&lt;=""&amp;A213,Movimientos!$E$6:$E$505,FALSE,Movimientos!$C$6:$C$505,""&lt;&gt;Fecha inferida*""),flow,SUMIFS(Movimientos!$B$6:$B$505,Movimientos!$D$6:$D$505,""&gt;""&amp;prevDate,Movimientos!$D$6:$D$505,""&lt;=""&amp;A213,Movimi"&amp;"entos!$E$6:$E$505,TRUE)+SUMIFS(Movimientos!$B$6:$B$505,Movimientos!$D$6:$D$505,""&gt;""&amp;prevDate,Movimientos!$D$6:$D$505,""&lt;=""&amp;A213,Movimientos!$C$6:$C$505,""Fecha inferida*""),net,B213-flow,IF(OR(gap&lt;1,unknown&gt;0,prevValue&lt;=0,net&lt;=0),"""",(POWER(net/prevVal"&amp;"ue,1/gap)-1)*100)),""""))"),-0.183298419348698)</f>
        <v>-0.18329841934869801</v>
      </c>
      <c r="E213" s="95" t="str">
        <f t="shared" si="0"/>
        <v>Diario</v>
      </c>
    </row>
    <row r="214" spans="1:5" x14ac:dyDescent="0.25">
      <c r="A214" s="92">
        <v>46235</v>
      </c>
      <c r="B214" s="93">
        <f>IF(Diario!B218="","",Diario!B218)</f>
        <v>84272</v>
      </c>
      <c r="C214" s="93">
        <f>SUMIFS(Movimientos!$B$6:$B$505,Movimientos!$D$6:$D$505,A214,Movimientos!$E$6:$E$505,TRUE)</f>
        <v>0</v>
      </c>
      <c r="D214" s="94">
        <f ca="1">IFERROR(__xludf.DUMMYFUNCTION("IF(OR(B214="""",A214&gt;TODAY(),E214=""Histórico mensual"",E214=""Base diaria""),"""",IFERROR(LET(prevDate,MAX(FILTER($A$2:A213,$B$2:B213&lt;&gt;"""",$A$2:A213&lt;A214)),prevValue,XLOOKUP(prevDate,$A$2:A213,$B$2:B213),gap,A214-prevDate,unknown,COUNTIFS(Movimientos!$D"&amp;"$6:$D$505,""&gt;""&amp;prevDate,Movimientos!$D$6:$D$505,""&lt;=""&amp;A214,Movimientos!$E$6:$E$505,FALSE,Movimientos!$C$6:$C$505,""&lt;&gt;Fecha inferida*""),flow,SUMIFS(Movimientos!$B$6:$B$505,Movimientos!$D$6:$D$505,""&gt;""&amp;prevDate,Movimientos!$D$6:$D$505,""&lt;=""&amp;A214,Movimi"&amp;"entos!$E$6:$E$505,TRUE)+SUMIFS(Movimientos!$B$6:$B$505,Movimientos!$D$6:$D$505,""&gt;""&amp;prevDate,Movimientos!$D$6:$D$505,""&lt;=""&amp;A214,Movimientos!$C$6:$C$505,""Fecha inferida*""),net,B214-flow,IF(OR(gap&lt;1,unknown&gt;0,prevValue&lt;=0,net&lt;=0),"""",(POWER(net/prevVal"&amp;"ue,1/gap)-1)*100)),""""))"),0.48889842837041)</f>
        <v>0.48889842837040998</v>
      </c>
      <c r="E214" s="95" t="str">
        <f t="shared" si="0"/>
        <v>Fin de semana</v>
      </c>
    </row>
    <row r="215" spans="1:5" x14ac:dyDescent="0.25">
      <c r="A215" s="92">
        <v>46236</v>
      </c>
      <c r="B215" s="93" t="str">
        <f>IF(Diario!B219="","",Diario!B219)</f>
        <v/>
      </c>
      <c r="C215" s="93">
        <f>SUMIFS(Movimientos!$B$6:$B$505,Movimientos!$D$6:$D$505,A215,Movimientos!$E$6:$E$505,TRUE)</f>
        <v>0</v>
      </c>
      <c r="D215" s="94" t="str">
        <f ca="1">IFERROR(__xludf.DUMMYFUNCTION("IF(OR(B215="""",A215&gt;TODAY(),E215=""Histórico mensual"",E215=""Base diaria""),"""",IFERROR(LET(prevDate,MAX(FILTER($A$2:A214,$B$2:B214&lt;&gt;"""",$A$2:A214&lt;A215)),prevValue,XLOOKUP(prevDate,$A$2:A214,$B$2:B214),gap,A215-prevDate,unknown,COUNTIFS(Movimientos!$D"&amp;"$6:$D$505,""&gt;""&amp;prevDate,Movimientos!$D$6:$D$505,""&lt;=""&amp;A215,Movimientos!$E$6:$E$505,FALSE,Movimientos!$C$6:$C$505,""&lt;&gt;Fecha inferida*""),flow,SUMIFS(Movimientos!$B$6:$B$505,Movimientos!$D$6:$D$505,""&gt;""&amp;prevDate,Movimientos!$D$6:$D$505,""&lt;=""&amp;A215,Movimi"&amp;"entos!$E$6:$E$505,TRUE)+SUMIFS(Movimientos!$B$6:$B$505,Movimientos!$D$6:$D$505,""&gt;""&amp;prevDate,Movimientos!$D$6:$D$505,""&lt;=""&amp;A215,Movimientos!$C$6:$C$505,""Fecha inferida*""),net,B215-flow,IF(OR(gap&lt;1,unknown&gt;0,prevValue&lt;=0,net&lt;=0),"""",(POWER(net/prevVal"&amp;"ue,1/gap)-1)*100)),""""))"),"")</f>
        <v/>
      </c>
      <c r="E215" s="95" t="str">
        <f t="shared" si="0"/>
        <v/>
      </c>
    </row>
    <row r="216" spans="1:5" x14ac:dyDescent="0.25">
      <c r="A216" s="92">
        <v>46237</v>
      </c>
      <c r="B216" s="93">
        <f>IF(Diario!B220="","",Diario!B220)</f>
        <v>84093</v>
      </c>
      <c r="C216" s="93">
        <f>SUMIFS(Movimientos!$B$6:$B$505,Movimientos!$D$6:$D$505,A216,Movimientos!$E$6:$E$505,TRUE)</f>
        <v>0</v>
      </c>
      <c r="D216" s="94">
        <f ca="1">IFERROR(__xludf.DUMMYFUNCTION("IF(OR(B216="""",A216&gt;TODAY(),E216=""Histórico mensual"",E216=""Base diaria""),"""",IFERROR(LET(prevDate,MAX(FILTER($A$2:A215,$B$2:B215&lt;&gt;"""",$A$2:A215&lt;A216)),prevValue,XLOOKUP(prevDate,$A$2:A215,$B$2:B215),gap,A216-prevDate,unknown,COUNTIFS(Movimientos!$D"&amp;"$6:$D$505,""&gt;""&amp;prevDate,Movimientos!$D$6:$D$505,""&lt;=""&amp;A216,Movimientos!$E$6:$E$505,FALSE,Movimientos!$C$6:$C$505,""&lt;&gt;Fecha inferida*""),flow,SUMIFS(Movimientos!$B$6:$B$505,Movimientos!$D$6:$D$505,""&gt;""&amp;prevDate,Movimientos!$D$6:$D$505,""&lt;=""&amp;A216,Movimi"&amp;"entos!$E$6:$E$505,TRUE)+SUMIFS(Movimientos!$B$6:$B$505,Movimientos!$D$6:$D$505,""&gt;""&amp;prevDate,Movimientos!$D$6:$D$505,""&lt;=""&amp;A216,Movimientos!$C$6:$C$505,""Fecha inferida*""),net,B216-flow,IF(OR(gap&lt;1,unknown&gt;0,prevValue&lt;=0,net&lt;=0),"""",(POWER(net/prevVal"&amp;"ue,1/gap)-1)*100)),""""))"),-0.106260177409978)</f>
        <v>-0.10626017740997799</v>
      </c>
      <c r="E216" s="95" t="str">
        <f t="shared" si="0"/>
        <v>Diario</v>
      </c>
    </row>
    <row r="217" spans="1:5" x14ac:dyDescent="0.25">
      <c r="A217" s="92">
        <v>46238</v>
      </c>
      <c r="B217" s="93">
        <f>IF(Diario!B221="","",Diario!B221)</f>
        <v>84595</v>
      </c>
      <c r="C217" s="93">
        <f>SUMIFS(Movimientos!$B$6:$B$505,Movimientos!$D$6:$D$505,A217,Movimientos!$E$6:$E$505,TRUE)</f>
        <v>0</v>
      </c>
      <c r="D217" s="94">
        <f ca="1">IFERROR(__xludf.DUMMYFUNCTION("IF(OR(B217="""",A217&gt;TODAY(),E217=""Histórico mensual"",E217=""Base diaria""),"""",IFERROR(LET(prevDate,MAX(FILTER($A$2:A216,$B$2:B216&lt;&gt;"""",$A$2:A216&lt;A217)),prevValue,XLOOKUP(prevDate,$A$2:A216,$B$2:B216),gap,A217-prevDate,unknown,COUNTIFS(Movimientos!$D"&amp;"$6:$D$505,""&gt;""&amp;prevDate,Movimientos!$D$6:$D$505,""&lt;=""&amp;A217,Movimientos!$E$6:$E$505,FALSE,Movimientos!$C$6:$C$505,""&lt;&gt;Fecha inferida*""),flow,SUMIFS(Movimientos!$B$6:$B$505,Movimientos!$D$6:$D$505,""&gt;""&amp;prevDate,Movimientos!$D$6:$D$505,""&lt;=""&amp;A217,Movimi"&amp;"entos!$E$6:$E$505,TRUE)+SUMIFS(Movimientos!$B$6:$B$505,Movimientos!$D$6:$D$505,""&gt;""&amp;prevDate,Movimientos!$D$6:$D$505,""&lt;=""&amp;A217,Movimientos!$C$6:$C$505,""Fecha inferida*""),net,B217-flow,IF(OR(gap&lt;1,unknown&gt;0,prevValue&lt;=0,net&lt;=0),"""",(POWER(net/prevVal"&amp;"ue,1/gap)-1)*100)),""""))"),0.596958129689739)</f>
        <v>0.59695812968973905</v>
      </c>
      <c r="E217" s="95" t="str">
        <f t="shared" si="0"/>
        <v>Diario</v>
      </c>
    </row>
    <row r="218" spans="1:5" x14ac:dyDescent="0.25">
      <c r="A218" s="92">
        <v>46239</v>
      </c>
      <c r="B218" s="93">
        <f>IF(Diario!B222="","",Diario!B222)</f>
        <v>84914</v>
      </c>
      <c r="C218" s="93">
        <f>SUMIFS(Movimientos!$B$6:$B$505,Movimientos!$D$6:$D$505,A218,Movimientos!$E$6:$E$505,TRUE)</f>
        <v>0</v>
      </c>
      <c r="D218" s="94">
        <f ca="1">IFERROR(__xludf.DUMMYFUNCTION("IF(OR(B218="""",A218&gt;TODAY(),E218=""Histórico mensual"",E218=""Base diaria""),"""",IFERROR(LET(prevDate,MAX(FILTER($A$2:A217,$B$2:B217&lt;&gt;"""",$A$2:A217&lt;A218)),prevValue,XLOOKUP(prevDate,$A$2:A217,$B$2:B217),gap,A218-prevDate,unknown,COUNTIFS(Movimientos!$D"&amp;"$6:$D$505,""&gt;""&amp;prevDate,Movimientos!$D$6:$D$505,""&lt;=""&amp;A218,Movimientos!$E$6:$E$505,FALSE,Movimientos!$C$6:$C$505,""&lt;&gt;Fecha inferida*""),flow,SUMIFS(Movimientos!$B$6:$B$505,Movimientos!$D$6:$D$505,""&gt;""&amp;prevDate,Movimientos!$D$6:$D$505,""&lt;=""&amp;A218,Movimi"&amp;"entos!$E$6:$E$505,TRUE)+SUMIFS(Movimientos!$B$6:$B$505,Movimientos!$D$6:$D$505,""&gt;""&amp;prevDate,Movimientos!$D$6:$D$505,""&lt;=""&amp;A218,Movimientos!$C$6:$C$505,""Fecha inferida*""),net,B218-flow,IF(OR(gap&lt;1,unknown&gt;0,prevValue&lt;=0,net&lt;=0),"""",(POWER(net/prevVal"&amp;"ue,1/gap)-1)*100)),""""))"),0.37709084461257)</f>
        <v>0.37709084461256998</v>
      </c>
      <c r="E218" s="95" t="str">
        <f t="shared" si="0"/>
        <v>Diario</v>
      </c>
    </row>
    <row r="219" spans="1:5" x14ac:dyDescent="0.25">
      <c r="A219" s="92">
        <v>46240</v>
      </c>
      <c r="B219" s="93">
        <f>IF(Diario!B223="","",Diario!B223)</f>
        <v>85738</v>
      </c>
      <c r="C219" s="93">
        <f>SUMIFS(Movimientos!$B$6:$B$505,Movimientos!$D$6:$D$505,A219,Movimientos!$E$6:$E$505,TRUE)</f>
        <v>0</v>
      </c>
      <c r="D219" s="94">
        <f ca="1">IFERROR(__xludf.DUMMYFUNCTION("IF(OR(B219="""",A219&gt;TODAY(),E219=""Histórico mensual"",E219=""Base diaria""),"""",IFERROR(LET(prevDate,MAX(FILTER($A$2:A218,$B$2:B218&lt;&gt;"""",$A$2:A218&lt;A219)),prevValue,XLOOKUP(prevDate,$A$2:A218,$B$2:B218),gap,A219-prevDate,unknown,COUNTIFS(Movimientos!$D"&amp;"$6:$D$505,""&gt;""&amp;prevDate,Movimientos!$D$6:$D$505,""&lt;=""&amp;A219,Movimientos!$E$6:$E$505,FALSE,Movimientos!$C$6:$C$505,""&lt;&gt;Fecha inferida*""),flow,SUMIFS(Movimientos!$B$6:$B$505,Movimientos!$D$6:$D$505,""&gt;""&amp;prevDate,Movimientos!$D$6:$D$505,""&lt;=""&amp;A219,Movimi"&amp;"entos!$E$6:$E$505,TRUE)+SUMIFS(Movimientos!$B$6:$B$505,Movimientos!$D$6:$D$505,""&gt;""&amp;prevDate,Movimientos!$D$6:$D$505,""&lt;=""&amp;A219,Movimientos!$C$6:$C$505,""Fecha inferida*""),net,B219-flow,IF(OR(gap&lt;1,unknown&gt;0,prevValue&lt;=0,net&lt;=0),"""",(POWER(net/prevVal"&amp;"ue,1/gap)-1)*100)),""""))"),0.970393574675543)</f>
        <v>0.97039357467554299</v>
      </c>
      <c r="E219" s="95" t="str">
        <f t="shared" si="0"/>
        <v>Diario</v>
      </c>
    </row>
    <row r="220" spans="1:5" x14ac:dyDescent="0.25">
      <c r="A220" s="92">
        <v>46241</v>
      </c>
      <c r="B220" s="93">
        <f>IF(Diario!B224="","",Diario!B224)</f>
        <v>85860</v>
      </c>
      <c r="C220" s="93">
        <f>SUMIFS(Movimientos!$B$6:$B$505,Movimientos!$D$6:$D$505,A220,Movimientos!$E$6:$E$505,TRUE)</f>
        <v>0</v>
      </c>
      <c r="D220" s="94">
        <f ca="1">IFERROR(__xludf.DUMMYFUNCTION("IF(OR(B220="""",A220&gt;TODAY(),E220=""Histórico mensual"",E220=""Base diaria""),"""",IFERROR(LET(prevDate,MAX(FILTER($A$2:A219,$B$2:B219&lt;&gt;"""",$A$2:A219&lt;A220)),prevValue,XLOOKUP(prevDate,$A$2:A219,$B$2:B219),gap,A220-prevDate,unknown,COUNTIFS(Movimientos!$D"&amp;"$6:$D$505,""&gt;""&amp;prevDate,Movimientos!$D$6:$D$505,""&lt;=""&amp;A220,Movimientos!$E$6:$E$505,FALSE,Movimientos!$C$6:$C$505,""&lt;&gt;Fecha inferida*""),flow,SUMIFS(Movimientos!$B$6:$B$505,Movimientos!$D$6:$D$505,""&gt;""&amp;prevDate,Movimientos!$D$6:$D$505,""&lt;=""&amp;A220,Movimi"&amp;"entos!$E$6:$E$505,TRUE)+SUMIFS(Movimientos!$B$6:$B$505,Movimientos!$D$6:$D$505,""&gt;""&amp;prevDate,Movimientos!$D$6:$D$505,""&lt;=""&amp;A220,Movimientos!$C$6:$C$505,""Fecha inferida*""),net,B220-flow,IF(OR(gap&lt;1,unknown&gt;0,prevValue&lt;=0,net&lt;=0),"""",(POWER(net/prevVal"&amp;"ue,1/gap)-1)*100)),""""))"),0.142293965336248)</f>
        <v>0.142293965336248</v>
      </c>
      <c r="E220" s="95" t="str">
        <f t="shared" si="0"/>
        <v>Diario</v>
      </c>
    </row>
    <row r="221" spans="1:5" x14ac:dyDescent="0.25">
      <c r="A221" s="92">
        <v>46242</v>
      </c>
      <c r="B221" s="93">
        <f>IF(Diario!B225="","",Diario!B225)</f>
        <v>85957</v>
      </c>
      <c r="C221" s="93">
        <f>SUMIFS(Movimientos!$B$6:$B$505,Movimientos!$D$6:$D$505,A221,Movimientos!$E$6:$E$505,TRUE)</f>
        <v>0</v>
      </c>
      <c r="D221" s="94">
        <f ca="1">IFERROR(__xludf.DUMMYFUNCTION("IF(OR(B221="""",A221&gt;TODAY(),E221=""Histórico mensual"",E221=""Base diaria""),"""",IFERROR(LET(prevDate,MAX(FILTER($A$2:A220,$B$2:B220&lt;&gt;"""",$A$2:A220&lt;A221)),prevValue,XLOOKUP(prevDate,$A$2:A220,$B$2:B220),gap,A221-prevDate,unknown,COUNTIFS(Movimientos!$D"&amp;"$6:$D$505,""&gt;""&amp;prevDate,Movimientos!$D$6:$D$505,""&lt;=""&amp;A221,Movimientos!$E$6:$E$505,FALSE,Movimientos!$C$6:$C$505,""&lt;&gt;Fecha inferida*""),flow,SUMIFS(Movimientos!$B$6:$B$505,Movimientos!$D$6:$D$505,""&gt;""&amp;prevDate,Movimientos!$D$6:$D$505,""&lt;=""&amp;A221,Movimi"&amp;"entos!$E$6:$E$505,TRUE)+SUMIFS(Movimientos!$B$6:$B$505,Movimientos!$D$6:$D$505,""&gt;""&amp;prevDate,Movimientos!$D$6:$D$505,""&lt;=""&amp;A221,Movimientos!$C$6:$C$505,""Fecha inferida*""),net,B221-flow,IF(OR(gap&lt;1,unknown&gt;0,prevValue&lt;=0,net&lt;=0),"""",(POWER(net/prevVal"&amp;"ue,1/gap)-1)*100)),""""))"),0.112974609829952)</f>
        <v>0.112974609829952</v>
      </c>
      <c r="E221" s="95" t="str">
        <f t="shared" si="0"/>
        <v>Fin de semana</v>
      </c>
    </row>
    <row r="222" spans="1:5" x14ac:dyDescent="0.25">
      <c r="A222" s="92">
        <v>46243</v>
      </c>
      <c r="B222" s="93" t="str">
        <f>IF(Diario!B226="","",Diario!B226)</f>
        <v/>
      </c>
      <c r="C222" s="93">
        <f>SUMIFS(Movimientos!$B$6:$B$505,Movimientos!$D$6:$D$505,A222,Movimientos!$E$6:$E$505,TRUE)</f>
        <v>0</v>
      </c>
      <c r="D222" s="94" t="str">
        <f ca="1">IFERROR(__xludf.DUMMYFUNCTION("IF(OR(B222="""",A222&gt;TODAY(),E222=""Histórico mensual"",E222=""Base diaria""),"""",IFERROR(LET(prevDate,MAX(FILTER($A$2:A221,$B$2:B221&lt;&gt;"""",$A$2:A221&lt;A222)),prevValue,XLOOKUP(prevDate,$A$2:A221,$B$2:B221),gap,A222-prevDate,unknown,COUNTIFS(Movimientos!$D"&amp;"$6:$D$505,""&gt;""&amp;prevDate,Movimientos!$D$6:$D$505,""&lt;=""&amp;A222,Movimientos!$E$6:$E$505,FALSE,Movimientos!$C$6:$C$505,""&lt;&gt;Fecha inferida*""),flow,SUMIFS(Movimientos!$B$6:$B$505,Movimientos!$D$6:$D$505,""&gt;""&amp;prevDate,Movimientos!$D$6:$D$505,""&lt;=""&amp;A222,Movimi"&amp;"entos!$E$6:$E$505,TRUE)+SUMIFS(Movimientos!$B$6:$B$505,Movimientos!$D$6:$D$505,""&gt;""&amp;prevDate,Movimientos!$D$6:$D$505,""&lt;=""&amp;A222,Movimientos!$C$6:$C$505,""Fecha inferida*""),net,B222-flow,IF(OR(gap&lt;1,unknown&gt;0,prevValue&lt;=0,net&lt;=0),"""",(POWER(net/prevVal"&amp;"ue,1/gap)-1)*100)),""""))"),"")</f>
        <v/>
      </c>
      <c r="E222" s="95" t="str">
        <f t="shared" si="0"/>
        <v/>
      </c>
    </row>
    <row r="223" spans="1:5" x14ac:dyDescent="0.25">
      <c r="A223" s="92">
        <v>46244</v>
      </c>
      <c r="B223" s="93">
        <f>IF(Diario!B227="","",Diario!B227)</f>
        <v>86523</v>
      </c>
      <c r="C223" s="93">
        <f>SUMIFS(Movimientos!$B$6:$B$505,Movimientos!$D$6:$D$505,A223,Movimientos!$E$6:$E$505,TRUE)</f>
        <v>0</v>
      </c>
      <c r="D223" s="94">
        <f ca="1">IFERROR(__xludf.DUMMYFUNCTION("IF(OR(B223="""",A223&gt;TODAY(),E223=""Histórico mensual"",E223=""Base diaria""),"""",IFERROR(LET(prevDate,MAX(FILTER($A$2:A222,$B$2:B222&lt;&gt;"""",$A$2:A222&lt;A223)),prevValue,XLOOKUP(prevDate,$A$2:A222,$B$2:B222),gap,A223-prevDate,unknown,COUNTIFS(Movimientos!$D"&amp;"$6:$D$505,""&gt;""&amp;prevDate,Movimientos!$D$6:$D$505,""&lt;=""&amp;A223,Movimientos!$E$6:$E$505,FALSE,Movimientos!$C$6:$C$505,""&lt;&gt;Fecha inferida*""),flow,SUMIFS(Movimientos!$B$6:$B$505,Movimientos!$D$6:$D$505,""&gt;""&amp;prevDate,Movimientos!$D$6:$D$505,""&lt;=""&amp;A223,Movimi"&amp;"entos!$E$6:$E$505,TRUE)+SUMIFS(Movimientos!$B$6:$B$505,Movimientos!$D$6:$D$505,""&gt;""&amp;prevDate,Movimientos!$D$6:$D$505,""&lt;=""&amp;A223,Movimientos!$C$6:$C$505,""Fecha inferida*""),net,B223-flow,IF(OR(gap&lt;1,unknown&gt;0,prevValue&lt;=0,net&lt;=0),"""",(POWER(net/prevVal"&amp;"ue,1/gap)-1)*100)),""""))"),0.328694185296929)</f>
        <v>0.32869418529692901</v>
      </c>
      <c r="E223" s="95" t="str">
        <f t="shared" si="0"/>
        <v>Diario</v>
      </c>
    </row>
    <row r="224" spans="1:5" x14ac:dyDescent="0.25">
      <c r="A224" s="92">
        <v>46245</v>
      </c>
      <c r="B224" s="93">
        <f>IF(Diario!B228="","",Diario!B228)</f>
        <v>86759</v>
      </c>
      <c r="C224" s="93">
        <f>SUMIFS(Movimientos!$B$6:$B$505,Movimientos!$D$6:$D$505,A224,Movimientos!$E$6:$E$505,TRUE)</f>
        <v>0</v>
      </c>
      <c r="D224" s="94">
        <f ca="1">IFERROR(__xludf.DUMMYFUNCTION("IF(OR(B224="""",A224&gt;TODAY(),E224=""Histórico mensual"",E224=""Base diaria""),"""",IFERROR(LET(prevDate,MAX(FILTER($A$2:A223,$B$2:B223&lt;&gt;"""",$A$2:A223&lt;A224)),prevValue,XLOOKUP(prevDate,$A$2:A223,$B$2:B223),gap,A224-prevDate,unknown,COUNTIFS(Movimientos!$D"&amp;"$6:$D$505,""&gt;""&amp;prevDate,Movimientos!$D$6:$D$505,""&lt;=""&amp;A224,Movimientos!$E$6:$E$505,FALSE,Movimientos!$C$6:$C$505,""&lt;&gt;Fecha inferida*""),flow,SUMIFS(Movimientos!$B$6:$B$505,Movimientos!$D$6:$D$505,""&gt;""&amp;prevDate,Movimientos!$D$6:$D$505,""&lt;=""&amp;A224,Movimi"&amp;"entos!$E$6:$E$505,TRUE)+SUMIFS(Movimientos!$B$6:$B$505,Movimientos!$D$6:$D$505,""&gt;""&amp;prevDate,Movimientos!$D$6:$D$505,""&lt;=""&amp;A224,Movimientos!$C$6:$C$505,""Fecha inferida*""),net,B224-flow,IF(OR(gap&lt;1,unknown&gt;0,prevValue&lt;=0,net&lt;=0),"""",(POWER(net/prevVal"&amp;"ue,1/gap)-1)*100)),""""))"),0.272759844203274)</f>
        <v>0.27275984420327398</v>
      </c>
      <c r="E224" s="95" t="str">
        <f t="shared" si="0"/>
        <v>Diario</v>
      </c>
    </row>
    <row r="225" spans="1:5" x14ac:dyDescent="0.25">
      <c r="A225" s="92">
        <v>46246</v>
      </c>
      <c r="B225" s="93">
        <f>IF(Diario!B229="","",Diario!B229)</f>
        <v>87111</v>
      </c>
      <c r="C225" s="93">
        <f>SUMIFS(Movimientos!$B$6:$B$505,Movimientos!$D$6:$D$505,A225,Movimientos!$E$6:$E$505,TRUE)</f>
        <v>0</v>
      </c>
      <c r="D225" s="94">
        <f ca="1">IFERROR(__xludf.DUMMYFUNCTION("IF(OR(B225="""",A225&gt;TODAY(),E225=""Histórico mensual"",E225=""Base diaria""),"""",IFERROR(LET(prevDate,MAX(FILTER($A$2:A224,$B$2:B224&lt;&gt;"""",$A$2:A224&lt;A225)),prevValue,XLOOKUP(prevDate,$A$2:A224,$B$2:B224),gap,A225-prevDate,unknown,COUNTIFS(Movimientos!$D"&amp;"$6:$D$505,""&gt;""&amp;prevDate,Movimientos!$D$6:$D$505,""&lt;=""&amp;A225,Movimientos!$E$6:$E$505,FALSE,Movimientos!$C$6:$C$505,""&lt;&gt;Fecha inferida*""),flow,SUMIFS(Movimientos!$B$6:$B$505,Movimientos!$D$6:$D$505,""&gt;""&amp;prevDate,Movimientos!$D$6:$D$505,""&lt;=""&amp;A225,Movimi"&amp;"entos!$E$6:$E$505,TRUE)+SUMIFS(Movimientos!$B$6:$B$505,Movimientos!$D$6:$D$505,""&gt;""&amp;prevDate,Movimientos!$D$6:$D$505,""&lt;=""&amp;A225,Movimientos!$C$6:$C$505,""Fecha inferida*""),net,B225-flow,IF(OR(gap&lt;1,unknown&gt;0,prevValue&lt;=0,net&lt;=0),"""",(POWER(net/prevVal"&amp;"ue,1/gap)-1)*100)),""""))"),0.4057215966067)</f>
        <v>0.40572159660669999</v>
      </c>
      <c r="E225" s="95" t="str">
        <f t="shared" si="0"/>
        <v>Diario</v>
      </c>
    </row>
    <row r="226" spans="1:5" x14ac:dyDescent="0.25">
      <c r="A226" s="92">
        <v>46247</v>
      </c>
      <c r="B226" s="93">
        <f>IF(Diario!B230="","",Diario!B230)</f>
        <v>87041</v>
      </c>
      <c r="C226" s="93">
        <f>SUMIFS(Movimientos!$B$6:$B$505,Movimientos!$D$6:$D$505,A226,Movimientos!$E$6:$E$505,TRUE)</f>
        <v>0</v>
      </c>
      <c r="D226" s="94">
        <f ca="1">IFERROR(__xludf.DUMMYFUNCTION("IF(OR(B226="""",A226&gt;TODAY(),E226=""Histórico mensual"",E226=""Base diaria""),"""",IFERROR(LET(prevDate,MAX(FILTER($A$2:A225,$B$2:B225&lt;&gt;"""",$A$2:A225&lt;A226)),prevValue,XLOOKUP(prevDate,$A$2:A225,$B$2:B225),gap,A226-prevDate,unknown,COUNTIFS(Movimientos!$D"&amp;"$6:$D$505,""&gt;""&amp;prevDate,Movimientos!$D$6:$D$505,""&lt;=""&amp;A226,Movimientos!$E$6:$E$505,FALSE,Movimientos!$C$6:$C$505,""&lt;&gt;Fecha inferida*""),flow,SUMIFS(Movimientos!$B$6:$B$505,Movimientos!$D$6:$D$505,""&gt;""&amp;prevDate,Movimientos!$D$6:$D$505,""&lt;=""&amp;A226,Movimi"&amp;"entos!$E$6:$E$505,TRUE)+SUMIFS(Movimientos!$B$6:$B$505,Movimientos!$D$6:$D$505,""&gt;""&amp;prevDate,Movimientos!$D$6:$D$505,""&lt;=""&amp;A226,Movimientos!$C$6:$C$505,""Fecha inferida*""),net,B226-flow,IF(OR(gap&lt;1,unknown&gt;0,prevValue&lt;=0,net&lt;=0),"""",(POWER(net/prevVal"&amp;"ue,1/gap)-1)*100)),""""))"),-0.0803572453536238)</f>
        <v>-8.0357245353623805E-2</v>
      </c>
      <c r="E226" s="95" t="str">
        <f t="shared" si="0"/>
        <v>Diario</v>
      </c>
    </row>
    <row r="227" spans="1:5" x14ac:dyDescent="0.25">
      <c r="A227" s="92">
        <v>46248</v>
      </c>
      <c r="B227" s="93">
        <f>IF(Diario!B231="","",Diario!B231)</f>
        <v>86854</v>
      </c>
      <c r="C227" s="93">
        <f>SUMIFS(Movimientos!$B$6:$B$505,Movimientos!$D$6:$D$505,A227,Movimientos!$E$6:$E$505,TRUE)</f>
        <v>0</v>
      </c>
      <c r="D227" s="94">
        <f ca="1">IFERROR(__xludf.DUMMYFUNCTION("IF(OR(B227="""",A227&gt;TODAY(),E227=""Histórico mensual"",E227=""Base diaria""),"""",IFERROR(LET(prevDate,MAX(FILTER($A$2:A226,$B$2:B226&lt;&gt;"""",$A$2:A226&lt;A227)),prevValue,XLOOKUP(prevDate,$A$2:A226,$B$2:B226),gap,A227-prevDate,unknown,COUNTIFS(Movimientos!$D"&amp;"$6:$D$505,""&gt;""&amp;prevDate,Movimientos!$D$6:$D$505,""&lt;=""&amp;A227,Movimientos!$E$6:$E$505,FALSE,Movimientos!$C$6:$C$505,""&lt;&gt;Fecha inferida*""),flow,SUMIFS(Movimientos!$B$6:$B$505,Movimientos!$D$6:$D$505,""&gt;""&amp;prevDate,Movimientos!$D$6:$D$505,""&lt;=""&amp;A227,Movimi"&amp;"entos!$E$6:$E$505,TRUE)+SUMIFS(Movimientos!$B$6:$B$505,Movimientos!$D$6:$D$505,""&gt;""&amp;prevDate,Movimientos!$D$6:$D$505,""&lt;=""&amp;A227,Movimientos!$C$6:$C$505,""Fecha inferida*""),net,B227-flow,IF(OR(gap&lt;1,unknown&gt;0,prevValue&lt;=0,net&lt;=0),"""",(POWER(net/prevVal"&amp;"ue,1/gap)-1)*100)),""""))"),-0.214841281694833)</f>
        <v>-0.21484128169483299</v>
      </c>
      <c r="E227" s="95" t="str">
        <f t="shared" si="0"/>
        <v>Diario</v>
      </c>
    </row>
    <row r="228" spans="1:5" x14ac:dyDescent="0.25">
      <c r="A228" s="92">
        <v>46249</v>
      </c>
      <c r="B228" s="93">
        <f>IF(Diario!B232="","",Diario!B232)</f>
        <v>86771</v>
      </c>
      <c r="C228" s="93">
        <f>SUMIFS(Movimientos!$B$6:$B$505,Movimientos!$D$6:$D$505,A228,Movimientos!$E$6:$E$505,TRUE)</f>
        <v>0</v>
      </c>
      <c r="D228" s="94">
        <f ca="1">IFERROR(__xludf.DUMMYFUNCTION("IF(OR(B228="""",A228&gt;TODAY(),E228=""Histórico mensual"",E228=""Base diaria""),"""",IFERROR(LET(prevDate,MAX(FILTER($A$2:A227,$B$2:B227&lt;&gt;"""",$A$2:A227&lt;A228)),prevValue,XLOOKUP(prevDate,$A$2:A227,$B$2:B227),gap,A228-prevDate,unknown,COUNTIFS(Movimientos!$D"&amp;"$6:$D$505,""&gt;""&amp;prevDate,Movimientos!$D$6:$D$505,""&lt;=""&amp;A228,Movimientos!$E$6:$E$505,FALSE,Movimientos!$C$6:$C$505,""&lt;&gt;Fecha inferida*""),flow,SUMIFS(Movimientos!$B$6:$B$505,Movimientos!$D$6:$D$505,""&gt;""&amp;prevDate,Movimientos!$D$6:$D$505,""&lt;=""&amp;A228,Movimi"&amp;"entos!$E$6:$E$505,TRUE)+SUMIFS(Movimientos!$B$6:$B$505,Movimientos!$D$6:$D$505,""&gt;""&amp;prevDate,Movimientos!$D$6:$D$505,""&lt;=""&amp;A228,Movimientos!$C$6:$C$505,""Fecha inferida*""),net,B228-flow,IF(OR(gap&lt;1,unknown&gt;0,prevValue&lt;=0,net&lt;=0),"""",(POWER(net/prevVal"&amp;"ue,1/gap)-1)*100)),""""))"),-0.0955626683860288)</f>
        <v>-9.5562668386028796E-2</v>
      </c>
      <c r="E228" s="95" t="str">
        <f t="shared" si="0"/>
        <v>Fin de semana</v>
      </c>
    </row>
    <row r="229" spans="1:5" x14ac:dyDescent="0.25">
      <c r="A229" s="92">
        <v>46250</v>
      </c>
      <c r="B229" s="93" t="str">
        <f>IF(Diario!B233="","",Diario!B233)</f>
        <v/>
      </c>
      <c r="C229" s="93">
        <f>SUMIFS(Movimientos!$B$6:$B$505,Movimientos!$D$6:$D$505,A229,Movimientos!$E$6:$E$505,TRUE)</f>
        <v>0</v>
      </c>
      <c r="D229" s="94" t="str">
        <f ca="1">IFERROR(__xludf.DUMMYFUNCTION("IF(OR(B229="""",A229&gt;TODAY(),E229=""Histórico mensual"",E229=""Base diaria""),"""",IFERROR(LET(prevDate,MAX(FILTER($A$2:A228,$B$2:B228&lt;&gt;"""",$A$2:A228&lt;A229)),prevValue,XLOOKUP(prevDate,$A$2:A228,$B$2:B228),gap,A229-prevDate,unknown,COUNTIFS(Movimientos!$D"&amp;"$6:$D$505,""&gt;""&amp;prevDate,Movimientos!$D$6:$D$505,""&lt;=""&amp;A229,Movimientos!$E$6:$E$505,FALSE,Movimientos!$C$6:$C$505,""&lt;&gt;Fecha inferida*""),flow,SUMIFS(Movimientos!$B$6:$B$505,Movimientos!$D$6:$D$505,""&gt;""&amp;prevDate,Movimientos!$D$6:$D$505,""&lt;=""&amp;A229,Movimi"&amp;"entos!$E$6:$E$505,TRUE)+SUMIFS(Movimientos!$B$6:$B$505,Movimientos!$D$6:$D$505,""&gt;""&amp;prevDate,Movimientos!$D$6:$D$505,""&lt;=""&amp;A229,Movimientos!$C$6:$C$505,""Fecha inferida*""),net,B229-flow,IF(OR(gap&lt;1,unknown&gt;0,prevValue&lt;=0,net&lt;=0),"""",(POWER(net/prevVal"&amp;"ue,1/gap)-1)*100)),""""))"),"")</f>
        <v/>
      </c>
      <c r="E229" s="95" t="str">
        <f t="shared" si="0"/>
        <v/>
      </c>
    </row>
    <row r="230" spans="1:5" x14ac:dyDescent="0.25">
      <c r="A230" s="92">
        <v>46251</v>
      </c>
      <c r="B230" s="93">
        <f>IF(Diario!B234="","",Diario!B234)</f>
        <v>86631</v>
      </c>
      <c r="C230" s="93">
        <f>SUMIFS(Movimientos!$B$6:$B$505,Movimientos!$D$6:$D$505,A230,Movimientos!$E$6:$E$505,TRUE)</f>
        <v>0</v>
      </c>
      <c r="D230" s="94">
        <f ca="1">IFERROR(__xludf.DUMMYFUNCTION("IF(OR(B230="""",A230&gt;TODAY(),E230=""Histórico mensual"",E230=""Base diaria""),"""",IFERROR(LET(prevDate,MAX(FILTER($A$2:A229,$B$2:B229&lt;&gt;"""",$A$2:A229&lt;A230)),prevValue,XLOOKUP(prevDate,$A$2:A229,$B$2:B229),gap,A230-prevDate,unknown,COUNTIFS(Movimientos!$D"&amp;"$6:$D$505,""&gt;""&amp;prevDate,Movimientos!$D$6:$D$505,""&lt;=""&amp;A230,Movimientos!$E$6:$E$505,FALSE,Movimientos!$C$6:$C$505,""&lt;&gt;Fecha inferida*""),flow,SUMIFS(Movimientos!$B$6:$B$505,Movimientos!$D$6:$D$505,""&gt;""&amp;prevDate,Movimientos!$D$6:$D$505,""&lt;=""&amp;A230,Movimi"&amp;"entos!$E$6:$E$505,TRUE)+SUMIFS(Movimientos!$B$6:$B$505,Movimientos!$D$6:$D$505,""&gt;""&amp;prevDate,Movimientos!$D$6:$D$505,""&lt;=""&amp;A230,Movimientos!$C$6:$C$505,""Fecha inferida*""),net,B230-flow,IF(OR(gap&lt;1,unknown&gt;0,prevValue&lt;=0,net&lt;=0),"""",(POWER(net/prevVal"&amp;"ue,1/gap)-1)*100)),""""))"),-0.080704680182142)</f>
        <v>-8.0704680182141997E-2</v>
      </c>
      <c r="E230" s="95" t="str">
        <f t="shared" si="0"/>
        <v>Diario</v>
      </c>
    </row>
    <row r="231" spans="1:5" x14ac:dyDescent="0.25">
      <c r="A231" s="92">
        <v>46252</v>
      </c>
      <c r="B231" s="93">
        <f>IF(Diario!B235="","",Diario!B235)</f>
        <v>86146</v>
      </c>
      <c r="C231" s="93">
        <f>SUMIFS(Movimientos!$B$6:$B$505,Movimientos!$D$6:$D$505,A231,Movimientos!$E$6:$E$505,TRUE)</f>
        <v>0</v>
      </c>
      <c r="D231" s="94">
        <f ca="1">IFERROR(__xludf.DUMMYFUNCTION("IF(OR(B231="""",A231&gt;TODAY(),E231=""Histórico mensual"",E231=""Base diaria""),"""",IFERROR(LET(prevDate,MAX(FILTER($A$2:A230,$B$2:B230&lt;&gt;"""",$A$2:A230&lt;A231)),prevValue,XLOOKUP(prevDate,$A$2:A230,$B$2:B230),gap,A231-prevDate,unknown,COUNTIFS(Movimientos!$D"&amp;"$6:$D$505,""&gt;""&amp;prevDate,Movimientos!$D$6:$D$505,""&lt;=""&amp;A231,Movimientos!$E$6:$E$505,FALSE,Movimientos!$C$6:$C$505,""&lt;&gt;Fecha inferida*""),flow,SUMIFS(Movimientos!$B$6:$B$505,Movimientos!$D$6:$D$505,""&gt;""&amp;prevDate,Movimientos!$D$6:$D$505,""&lt;=""&amp;A231,Movimi"&amp;"entos!$E$6:$E$505,TRUE)+SUMIFS(Movimientos!$B$6:$B$505,Movimientos!$D$6:$D$505,""&gt;""&amp;prevDate,Movimientos!$D$6:$D$505,""&lt;=""&amp;A231,Movimientos!$C$6:$C$505,""Fecha inferida*""),net,B231-flow,IF(OR(gap&lt;1,unknown&gt;0,prevValue&lt;=0,net&lt;=0),"""",(POWER(net/prevVal"&amp;"ue,1/gap)-1)*100)),""""))"),-0.559845782687495)</f>
        <v>-0.55984578268749496</v>
      </c>
      <c r="E231" s="95" t="str">
        <f t="shared" si="0"/>
        <v>Diario</v>
      </c>
    </row>
    <row r="232" spans="1:5" x14ac:dyDescent="0.25">
      <c r="A232" s="92">
        <v>46253</v>
      </c>
      <c r="B232" s="93">
        <f>IF(Diario!B236="","",Diario!B236)</f>
        <v>85203</v>
      </c>
      <c r="C232" s="93">
        <f>SUMIFS(Movimientos!$B$6:$B$505,Movimientos!$D$6:$D$505,A232,Movimientos!$E$6:$E$505,TRUE)</f>
        <v>0</v>
      </c>
      <c r="D232" s="94">
        <f ca="1">IFERROR(__xludf.DUMMYFUNCTION("IF(OR(B232="""",A232&gt;TODAY(),E232=""Histórico mensual"",E232=""Base diaria""),"""",IFERROR(LET(prevDate,MAX(FILTER($A$2:A231,$B$2:B231&lt;&gt;"""",$A$2:A231&lt;A232)),prevValue,XLOOKUP(prevDate,$A$2:A231,$B$2:B231),gap,A232-prevDate,unknown,COUNTIFS(Movimientos!$D"&amp;"$6:$D$505,""&gt;""&amp;prevDate,Movimientos!$D$6:$D$505,""&lt;=""&amp;A232,Movimientos!$E$6:$E$505,FALSE,Movimientos!$C$6:$C$505,""&lt;&gt;Fecha inferida*""),flow,SUMIFS(Movimientos!$B$6:$B$505,Movimientos!$D$6:$D$505,""&gt;""&amp;prevDate,Movimientos!$D$6:$D$505,""&lt;=""&amp;A232,Movimi"&amp;"entos!$E$6:$E$505,TRUE)+SUMIFS(Movimientos!$B$6:$B$505,Movimientos!$D$6:$D$505,""&gt;""&amp;prevDate,Movimientos!$D$6:$D$505,""&lt;=""&amp;A232,Movimientos!$C$6:$C$505,""Fecha inferida*""),net,B232-flow,IF(OR(gap&lt;1,unknown&gt;0,prevValue&lt;=0,net&lt;=0),"""",(POWER(net/prevVal"&amp;"ue,1/gap)-1)*100)),""""))"),-1.09465326306502)</f>
        <v>-1.0946532630650201</v>
      </c>
      <c r="E232" s="95" t="str">
        <f t="shared" si="0"/>
        <v>Diario</v>
      </c>
    </row>
    <row r="233" spans="1:5" x14ac:dyDescent="0.25">
      <c r="A233" s="92">
        <v>46254</v>
      </c>
      <c r="B233" s="93">
        <f>IF(Diario!B237="","",Diario!B237)</f>
        <v>84628</v>
      </c>
      <c r="C233" s="93">
        <f>SUMIFS(Movimientos!$B$6:$B$505,Movimientos!$D$6:$D$505,A233,Movimientos!$E$6:$E$505,TRUE)</f>
        <v>0</v>
      </c>
      <c r="D233" s="94">
        <f ca="1">IFERROR(__xludf.DUMMYFUNCTION("IF(OR(B233="""",A233&gt;TODAY(),E233=""Histórico mensual"",E233=""Base diaria""),"""",IFERROR(LET(prevDate,MAX(FILTER($A$2:A232,$B$2:B232&lt;&gt;"""",$A$2:A232&lt;A233)),prevValue,XLOOKUP(prevDate,$A$2:A232,$B$2:B232),gap,A233-prevDate,unknown,COUNTIFS(Movimientos!$D"&amp;"$6:$D$505,""&gt;""&amp;prevDate,Movimientos!$D$6:$D$505,""&lt;=""&amp;A233,Movimientos!$E$6:$E$505,FALSE,Movimientos!$C$6:$C$505,""&lt;&gt;Fecha inferida*""),flow,SUMIFS(Movimientos!$B$6:$B$505,Movimientos!$D$6:$D$505,""&gt;""&amp;prevDate,Movimientos!$D$6:$D$505,""&lt;=""&amp;A233,Movimi"&amp;"entos!$E$6:$E$505,TRUE)+SUMIFS(Movimientos!$B$6:$B$505,Movimientos!$D$6:$D$505,""&gt;""&amp;prevDate,Movimientos!$D$6:$D$505,""&lt;=""&amp;A233,Movimientos!$C$6:$C$505,""Fecha inferida*""),net,B233-flow,IF(OR(gap&lt;1,unknown&gt;0,prevValue&lt;=0,net&lt;=0),"""",(POWER(net/prevVal"&amp;"ue,1/gap)-1)*100)),""""))"),-0.674858866471839)</f>
        <v>-0.67485886647183901</v>
      </c>
      <c r="E233" s="95" t="str">
        <f t="shared" si="0"/>
        <v>Diario</v>
      </c>
    </row>
    <row r="234" spans="1:5" x14ac:dyDescent="0.25">
      <c r="A234" s="92">
        <v>46255</v>
      </c>
      <c r="B234" s="93">
        <f>IF(Diario!B238="","",Diario!B238)</f>
        <v>84640</v>
      </c>
      <c r="C234" s="93">
        <f>SUMIFS(Movimientos!$B$6:$B$505,Movimientos!$D$6:$D$505,A234,Movimientos!$E$6:$E$505,TRUE)</f>
        <v>0</v>
      </c>
      <c r="D234" s="94">
        <f ca="1">IFERROR(__xludf.DUMMYFUNCTION("IF(OR(B234="""",A234&gt;TODAY(),E234=""Histórico mensual"",E234=""Base diaria""),"""",IFERROR(LET(prevDate,MAX(FILTER($A$2:A233,$B$2:B233&lt;&gt;"""",$A$2:A233&lt;A234)),prevValue,XLOOKUP(prevDate,$A$2:A233,$B$2:B233),gap,A234-prevDate,unknown,COUNTIFS(Movimientos!$D"&amp;"$6:$D$505,""&gt;""&amp;prevDate,Movimientos!$D$6:$D$505,""&lt;=""&amp;A234,Movimientos!$E$6:$E$505,FALSE,Movimientos!$C$6:$C$505,""&lt;&gt;Fecha inferida*""),flow,SUMIFS(Movimientos!$B$6:$B$505,Movimientos!$D$6:$D$505,""&gt;""&amp;prevDate,Movimientos!$D$6:$D$505,""&lt;=""&amp;A234,Movimi"&amp;"entos!$E$6:$E$505,TRUE)+SUMIFS(Movimientos!$B$6:$B$505,Movimientos!$D$6:$D$505,""&gt;""&amp;prevDate,Movimientos!$D$6:$D$505,""&lt;=""&amp;A234,Movimientos!$C$6:$C$505,""Fecha inferida*""),net,B234-flow,IF(OR(gap&lt;1,unknown&gt;0,prevValue&lt;=0,net&lt;=0),"""",(POWER(net/prevVal"&amp;"ue,1/gap)-1)*100)),""""))"),0.0141797041168345)</f>
        <v>1.41797041168345E-2</v>
      </c>
      <c r="E234" s="95" t="str">
        <f t="shared" si="0"/>
        <v>Diario</v>
      </c>
    </row>
    <row r="235" spans="1:5" x14ac:dyDescent="0.25">
      <c r="A235" s="92">
        <v>46256</v>
      </c>
      <c r="B235" s="93">
        <f>IF(Diario!B239="","",Diario!B239)</f>
        <v>84847</v>
      </c>
      <c r="C235" s="93">
        <f>SUMIFS(Movimientos!$B$6:$B$505,Movimientos!$D$6:$D$505,A235,Movimientos!$E$6:$E$505,TRUE)</f>
        <v>0</v>
      </c>
      <c r="D235" s="94">
        <f ca="1">IFERROR(__xludf.DUMMYFUNCTION("IF(OR(B235="""",A235&gt;TODAY(),E235=""Histórico mensual"",E235=""Base diaria""),"""",IFERROR(LET(prevDate,MAX(FILTER($A$2:A234,$B$2:B234&lt;&gt;"""",$A$2:A234&lt;A235)),prevValue,XLOOKUP(prevDate,$A$2:A234,$B$2:B234),gap,A235-prevDate,unknown,COUNTIFS(Movimientos!$D"&amp;"$6:$D$505,""&gt;""&amp;prevDate,Movimientos!$D$6:$D$505,""&lt;=""&amp;A235,Movimientos!$E$6:$E$505,FALSE,Movimientos!$C$6:$C$505,""&lt;&gt;Fecha inferida*""),flow,SUMIFS(Movimientos!$B$6:$B$505,Movimientos!$D$6:$D$505,""&gt;""&amp;prevDate,Movimientos!$D$6:$D$505,""&lt;=""&amp;A235,Movimi"&amp;"entos!$E$6:$E$505,TRUE)+SUMIFS(Movimientos!$B$6:$B$505,Movimientos!$D$6:$D$505,""&gt;""&amp;prevDate,Movimientos!$D$6:$D$505,""&lt;=""&amp;A235,Movimientos!$C$6:$C$505,""Fecha inferida*""),net,B235-flow,IF(OR(gap&lt;1,unknown&gt;0,prevValue&lt;=0,net&lt;=0),"""",(POWER(net/prevVal"&amp;"ue,1/gap)-1)*100)),""""))"),0.244565217391312)</f>
        <v>0.24456521739131201</v>
      </c>
      <c r="E235" s="95" t="str">
        <f t="shared" si="0"/>
        <v>Fin de semana</v>
      </c>
    </row>
    <row r="236" spans="1:5" x14ac:dyDescent="0.25">
      <c r="A236" s="92">
        <v>46257</v>
      </c>
      <c r="B236" s="93" t="str">
        <f>IF(Diario!B240="","",Diario!B240)</f>
        <v/>
      </c>
      <c r="C236" s="93">
        <f>SUMIFS(Movimientos!$B$6:$B$505,Movimientos!$D$6:$D$505,A236,Movimientos!$E$6:$E$505,TRUE)</f>
        <v>0</v>
      </c>
      <c r="D236" s="94" t="str">
        <f ca="1">IFERROR(__xludf.DUMMYFUNCTION("IF(OR(B236="""",A236&gt;TODAY(),E236=""Histórico mensual"",E236=""Base diaria""),"""",IFERROR(LET(prevDate,MAX(FILTER($A$2:A235,$B$2:B235&lt;&gt;"""",$A$2:A235&lt;A236)),prevValue,XLOOKUP(prevDate,$A$2:A235,$B$2:B235),gap,A236-prevDate,unknown,COUNTIFS(Movimientos!$D"&amp;"$6:$D$505,""&gt;""&amp;prevDate,Movimientos!$D$6:$D$505,""&lt;=""&amp;A236,Movimientos!$E$6:$E$505,FALSE,Movimientos!$C$6:$C$505,""&lt;&gt;Fecha inferida*""),flow,SUMIFS(Movimientos!$B$6:$B$505,Movimientos!$D$6:$D$505,""&gt;""&amp;prevDate,Movimientos!$D$6:$D$505,""&lt;=""&amp;A236,Movimi"&amp;"entos!$E$6:$E$505,TRUE)+SUMIFS(Movimientos!$B$6:$B$505,Movimientos!$D$6:$D$505,""&gt;""&amp;prevDate,Movimientos!$D$6:$D$505,""&lt;=""&amp;A236,Movimientos!$C$6:$C$505,""Fecha inferida*""),net,B236-flow,IF(OR(gap&lt;1,unknown&gt;0,prevValue&lt;=0,net&lt;=0),"""",(POWER(net/prevVal"&amp;"ue,1/gap)-1)*100)),""""))"),"")</f>
        <v/>
      </c>
      <c r="E236" s="95" t="str">
        <f t="shared" si="0"/>
        <v/>
      </c>
    </row>
    <row r="237" spans="1:5" x14ac:dyDescent="0.25">
      <c r="A237" s="92">
        <v>46258</v>
      </c>
      <c r="B237" s="93">
        <f>IF(Diario!B241="","",Diario!B241)</f>
        <v>84741</v>
      </c>
      <c r="C237" s="93">
        <f>SUMIFS(Movimientos!$B$6:$B$505,Movimientos!$D$6:$D$505,A237,Movimientos!$E$6:$E$505,TRUE)</f>
        <v>0</v>
      </c>
      <c r="D237" s="94">
        <f ca="1">IFERROR(__xludf.DUMMYFUNCTION("IF(OR(B237="""",A237&gt;TODAY(),E237=""Histórico mensual"",E237=""Base diaria""),"""",IFERROR(LET(prevDate,MAX(FILTER($A$2:A236,$B$2:B236&lt;&gt;"""",$A$2:A236&lt;A237)),prevValue,XLOOKUP(prevDate,$A$2:A236,$B$2:B236),gap,A237-prevDate,unknown,COUNTIFS(Movimientos!$D"&amp;"$6:$D$505,""&gt;""&amp;prevDate,Movimientos!$D$6:$D$505,""&lt;=""&amp;A237,Movimientos!$E$6:$E$505,FALSE,Movimientos!$C$6:$C$505,""&lt;&gt;Fecha inferida*""),flow,SUMIFS(Movimientos!$B$6:$B$505,Movimientos!$D$6:$D$505,""&gt;""&amp;prevDate,Movimientos!$D$6:$D$505,""&lt;=""&amp;A237,Movimi"&amp;"entos!$E$6:$E$505,TRUE)+SUMIFS(Movimientos!$B$6:$B$505,Movimientos!$D$6:$D$505,""&gt;""&amp;prevDate,Movimientos!$D$6:$D$505,""&lt;=""&amp;A237,Movimientos!$C$6:$C$505,""Fecha inferida*""),net,B237-flow,IF(OR(gap&lt;1,unknown&gt;0,prevValue&lt;=0,net&lt;=0),"""",(POWER(net/prevVal"&amp;"ue,1/gap)-1)*100)),""""))"),-0.062484900672477)</f>
        <v>-6.2484900672477001E-2</v>
      </c>
      <c r="E237" s="95" t="str">
        <f t="shared" si="0"/>
        <v>Diario</v>
      </c>
    </row>
    <row r="238" spans="1:5" x14ac:dyDescent="0.25">
      <c r="A238" s="92">
        <v>46259</v>
      </c>
      <c r="B238" s="93">
        <f>IF(Diario!B242="","",Diario!B242)</f>
        <v>84802</v>
      </c>
      <c r="C238" s="93">
        <f>SUMIFS(Movimientos!$B$6:$B$505,Movimientos!$D$6:$D$505,A238,Movimientos!$E$6:$E$505,TRUE)</f>
        <v>0</v>
      </c>
      <c r="D238" s="94">
        <f ca="1">IFERROR(__xludf.DUMMYFUNCTION("IF(OR(B238="""",A238&gt;TODAY(),E238=""Histórico mensual"",E238=""Base diaria""),"""",IFERROR(LET(prevDate,MAX(FILTER($A$2:A237,$B$2:B237&lt;&gt;"""",$A$2:A237&lt;A238)),prevValue,XLOOKUP(prevDate,$A$2:A237,$B$2:B237),gap,A238-prevDate,unknown,COUNTIFS(Movimientos!$D"&amp;"$6:$D$505,""&gt;""&amp;prevDate,Movimientos!$D$6:$D$505,""&lt;=""&amp;A238,Movimientos!$E$6:$E$505,FALSE,Movimientos!$C$6:$C$505,""&lt;&gt;Fecha inferida*""),flow,SUMIFS(Movimientos!$B$6:$B$505,Movimientos!$D$6:$D$505,""&gt;""&amp;prevDate,Movimientos!$D$6:$D$505,""&lt;=""&amp;A238,Movimi"&amp;"entos!$E$6:$E$505,TRUE)+SUMIFS(Movimientos!$B$6:$B$505,Movimientos!$D$6:$D$505,""&gt;""&amp;prevDate,Movimientos!$D$6:$D$505,""&lt;=""&amp;A238,Movimientos!$C$6:$C$505,""Fecha inferida*""),net,B238-flow,IF(OR(gap&lt;1,unknown&gt;0,prevValue&lt;=0,net&lt;=0),"""",(POWER(net/prevVal"&amp;"ue,1/gap)-1)*100)),""""))"),0.0719840455033482)</f>
        <v>7.1984045503348207E-2</v>
      </c>
      <c r="E238" s="95" t="str">
        <f t="shared" si="0"/>
        <v>Diario</v>
      </c>
    </row>
    <row r="239" spans="1:5" x14ac:dyDescent="0.25">
      <c r="A239" s="92">
        <v>46260</v>
      </c>
      <c r="B239" s="93">
        <f>IF(Diario!B243="","",Diario!B243)</f>
        <v>85736</v>
      </c>
      <c r="C239" s="93">
        <f>SUMIFS(Movimientos!$B$6:$B$505,Movimientos!$D$6:$D$505,A239,Movimientos!$E$6:$E$505,TRUE)</f>
        <v>1508</v>
      </c>
      <c r="D239" s="94">
        <f ca="1">IFERROR(__xludf.DUMMYFUNCTION("IF(OR(B239="""",A239&gt;TODAY(),E239=""Histórico mensual"",E239=""Base diaria""),"""",IFERROR(LET(prevDate,MAX(FILTER($A$2:A238,$B$2:B238&lt;&gt;"""",$A$2:A238&lt;A239)),prevValue,XLOOKUP(prevDate,$A$2:A238,$B$2:B238),gap,A239-prevDate,unknown,COUNTIFS(Movimientos!$D"&amp;"$6:$D$505,""&gt;""&amp;prevDate,Movimientos!$D$6:$D$505,""&lt;=""&amp;A239,Movimientos!$E$6:$E$505,FALSE,Movimientos!$C$6:$C$505,""&lt;&gt;Fecha inferida*""),flow,SUMIFS(Movimientos!$B$6:$B$505,Movimientos!$D$6:$D$505,""&gt;""&amp;prevDate,Movimientos!$D$6:$D$505,""&lt;=""&amp;A239,Movimi"&amp;"entos!$E$6:$E$505,TRUE)+SUMIFS(Movimientos!$B$6:$B$505,Movimientos!$D$6:$D$505,""&gt;""&amp;prevDate,Movimientos!$D$6:$D$505,""&lt;=""&amp;A239,Movimientos!$C$6:$C$505,""Fecha inferida*""),net,B239-flow,IF(OR(gap&lt;1,unknown&gt;0,prevValue&lt;=0,net&lt;=0),"""",(POWER(net/prevVal"&amp;"ue,1/gap)-1)*100)),""""))"),-0.676870828518194)</f>
        <v>-0.67687082851819402</v>
      </c>
      <c r="E239" s="95" t="str">
        <f t="shared" si="0"/>
        <v>Diario</v>
      </c>
    </row>
    <row r="240" spans="1:5" x14ac:dyDescent="0.25">
      <c r="A240" s="92">
        <v>46261</v>
      </c>
      <c r="B240" s="93">
        <f>IF(Diario!B244="","",Diario!B244)</f>
        <v>86036</v>
      </c>
      <c r="C240" s="93">
        <f>SUMIFS(Movimientos!$B$6:$B$505,Movimientos!$D$6:$D$505,A240,Movimientos!$E$6:$E$505,TRUE)</f>
        <v>0</v>
      </c>
      <c r="D240" s="94">
        <f ca="1">IFERROR(__xludf.DUMMYFUNCTION("IF(OR(B240="""",A240&gt;TODAY(),E240=""Histórico mensual"",E240=""Base diaria""),"""",IFERROR(LET(prevDate,MAX(FILTER($A$2:A239,$B$2:B239&lt;&gt;"""",$A$2:A239&lt;A240)),prevValue,XLOOKUP(prevDate,$A$2:A239,$B$2:B239),gap,A240-prevDate,unknown,COUNTIFS(Movimientos!$D"&amp;"$6:$D$505,""&gt;""&amp;prevDate,Movimientos!$D$6:$D$505,""&lt;=""&amp;A240,Movimientos!$E$6:$E$505,FALSE,Movimientos!$C$6:$C$505,""&lt;&gt;Fecha inferida*""),flow,SUMIFS(Movimientos!$B$6:$B$505,Movimientos!$D$6:$D$505,""&gt;""&amp;prevDate,Movimientos!$D$6:$D$505,""&lt;=""&amp;A240,Movimi"&amp;"entos!$E$6:$E$505,TRUE)+SUMIFS(Movimientos!$B$6:$B$505,Movimientos!$D$6:$D$505,""&gt;""&amp;prevDate,Movimientos!$D$6:$D$505,""&lt;=""&amp;A240,Movimientos!$C$6:$C$505,""Fecha inferida*""),net,B240-flow,IF(OR(gap&lt;1,unknown&gt;0,prevValue&lt;=0,net&lt;=0),"""",(POWER(net/prevVal"&amp;"ue,1/gap)-1)*100)),""""))"),0.349911355789855)</f>
        <v>0.34991135578985499</v>
      </c>
      <c r="E240" s="95" t="str">
        <f t="shared" si="0"/>
        <v>Diario</v>
      </c>
    </row>
    <row r="241" spans="1:5" x14ac:dyDescent="0.25">
      <c r="A241" s="92">
        <v>46262</v>
      </c>
      <c r="B241" s="93">
        <f>IF(Diario!B245="","",Diario!B245)</f>
        <v>86590</v>
      </c>
      <c r="C241" s="93">
        <f>SUMIFS(Movimientos!$B$6:$B$505,Movimientos!$D$6:$D$505,A241,Movimientos!$E$6:$E$505,TRUE)</f>
        <v>0</v>
      </c>
      <c r="D241" s="94">
        <f ca="1">IFERROR(__xludf.DUMMYFUNCTION("IF(OR(B241="""",A241&gt;TODAY(),E241=""Histórico mensual"",E241=""Base diaria""),"""",IFERROR(LET(prevDate,MAX(FILTER($A$2:A240,$B$2:B240&lt;&gt;"""",$A$2:A240&lt;A241)),prevValue,XLOOKUP(prevDate,$A$2:A240,$B$2:B240),gap,A241-prevDate,unknown,COUNTIFS(Movimientos!$D"&amp;"$6:$D$505,""&gt;""&amp;prevDate,Movimientos!$D$6:$D$505,""&lt;=""&amp;A241,Movimientos!$E$6:$E$505,FALSE,Movimientos!$C$6:$C$505,""&lt;&gt;Fecha inferida*""),flow,SUMIFS(Movimientos!$B$6:$B$505,Movimientos!$D$6:$D$505,""&gt;""&amp;prevDate,Movimientos!$D$6:$D$505,""&lt;=""&amp;A241,Movimi"&amp;"entos!$E$6:$E$505,TRUE)+SUMIFS(Movimientos!$B$6:$B$505,Movimientos!$D$6:$D$505,""&gt;""&amp;prevDate,Movimientos!$D$6:$D$505,""&lt;=""&amp;A241,Movimientos!$C$6:$C$505,""Fecha inferida*""),net,B241-flow,IF(OR(gap&lt;1,unknown&gt;0,prevValue&lt;=0,net&lt;=0),"""",(POWER(net/prevVal"&amp;"ue,1/gap)-1)*100)),""""))"),0.643916500069741)</f>
        <v>0.64391650006974099</v>
      </c>
      <c r="E241" s="95" t="str">
        <f t="shared" si="0"/>
        <v>Diario</v>
      </c>
    </row>
    <row r="242" spans="1:5" x14ac:dyDescent="0.25">
      <c r="A242" s="92">
        <v>46263</v>
      </c>
      <c r="B242" s="93">
        <f>IF(Diario!B246="","",Diario!B246)</f>
        <v>86623</v>
      </c>
      <c r="C242" s="93">
        <f>SUMIFS(Movimientos!$B$6:$B$505,Movimientos!$D$6:$D$505,A242,Movimientos!$E$6:$E$505,TRUE)</f>
        <v>0</v>
      </c>
      <c r="D242" s="94">
        <f ca="1">IFERROR(__xludf.DUMMYFUNCTION("IF(OR(B242="""",A242&gt;TODAY(),E242=""Histórico mensual"",E242=""Base diaria""),"""",IFERROR(LET(prevDate,MAX(FILTER($A$2:A241,$B$2:B241&lt;&gt;"""",$A$2:A241&lt;A242)),prevValue,XLOOKUP(prevDate,$A$2:A241,$B$2:B241),gap,A242-prevDate,unknown,COUNTIFS(Movimientos!$D"&amp;"$6:$D$505,""&gt;""&amp;prevDate,Movimientos!$D$6:$D$505,""&lt;=""&amp;A242,Movimientos!$E$6:$E$505,FALSE,Movimientos!$C$6:$C$505,""&lt;&gt;Fecha inferida*""),flow,SUMIFS(Movimientos!$B$6:$B$505,Movimientos!$D$6:$D$505,""&gt;""&amp;prevDate,Movimientos!$D$6:$D$505,""&lt;=""&amp;A242,Movimi"&amp;"entos!$E$6:$E$505,TRUE)+SUMIFS(Movimientos!$B$6:$B$505,Movimientos!$D$6:$D$505,""&gt;""&amp;prevDate,Movimientos!$D$6:$D$505,""&lt;=""&amp;A242,Movimientos!$C$6:$C$505,""Fecha inferida*""),net,B242-flow,IF(OR(gap&lt;1,unknown&gt;0,prevValue&lt;=0,net&lt;=0),"""",(POWER(net/prevVal"&amp;"ue,1/gap)-1)*100)),""""))"),0.0381106363321448)</f>
        <v>3.8110636332144801E-2</v>
      </c>
      <c r="E242" s="95" t="str">
        <f t="shared" si="0"/>
        <v>Fin de semana</v>
      </c>
    </row>
    <row r="243" spans="1:5" x14ac:dyDescent="0.25">
      <c r="A243" s="92">
        <v>46264</v>
      </c>
      <c r="B243" s="93" t="str">
        <f>IF(Diario!B247="","",Diario!B247)</f>
        <v/>
      </c>
      <c r="C243" s="93">
        <f>SUMIFS(Movimientos!$B$6:$B$505,Movimientos!$D$6:$D$505,A243,Movimientos!$E$6:$E$505,TRUE)</f>
        <v>0</v>
      </c>
      <c r="D243" s="94" t="str">
        <f ca="1">IFERROR(__xludf.DUMMYFUNCTION("IF(OR(B243="""",A243&gt;TODAY(),E243=""Histórico mensual"",E243=""Base diaria""),"""",IFERROR(LET(prevDate,MAX(FILTER($A$2:A242,$B$2:B242&lt;&gt;"""",$A$2:A242&lt;A243)),prevValue,XLOOKUP(prevDate,$A$2:A242,$B$2:B242),gap,A243-prevDate,unknown,COUNTIFS(Movimientos!$D"&amp;"$6:$D$505,""&gt;""&amp;prevDate,Movimientos!$D$6:$D$505,""&lt;=""&amp;A243,Movimientos!$E$6:$E$505,FALSE,Movimientos!$C$6:$C$505,""&lt;&gt;Fecha inferida*""),flow,SUMIFS(Movimientos!$B$6:$B$505,Movimientos!$D$6:$D$505,""&gt;""&amp;prevDate,Movimientos!$D$6:$D$505,""&lt;=""&amp;A243,Movimi"&amp;"entos!$E$6:$E$505,TRUE)+SUMIFS(Movimientos!$B$6:$B$505,Movimientos!$D$6:$D$505,""&gt;""&amp;prevDate,Movimientos!$D$6:$D$505,""&lt;=""&amp;A243,Movimientos!$C$6:$C$505,""Fecha inferida*""),net,B243-flow,IF(OR(gap&lt;1,unknown&gt;0,prevValue&lt;=0,net&lt;=0),"""",(POWER(net/prevVal"&amp;"ue,1/gap)-1)*100)),""""))"),"")</f>
        <v/>
      </c>
      <c r="E243" s="95" t="str">
        <f t="shared" si="0"/>
        <v/>
      </c>
    </row>
    <row r="244" spans="1:5" x14ac:dyDescent="0.25">
      <c r="A244" s="92">
        <v>46265</v>
      </c>
      <c r="B244" s="93">
        <f>IF(Diario!B248="","",Diario!B248)</f>
        <v>86713</v>
      </c>
      <c r="C244" s="93">
        <f>SUMIFS(Movimientos!$B$6:$B$505,Movimientos!$D$6:$D$505,A244,Movimientos!$E$6:$E$505,TRUE)</f>
        <v>0</v>
      </c>
      <c r="D244" s="94">
        <f ca="1">IFERROR(__xludf.DUMMYFUNCTION("IF(OR(B244="""",A244&gt;TODAY(),E244=""Histórico mensual"",E244=""Base diaria""),"""",IFERROR(LET(prevDate,MAX(FILTER($A$2:A243,$B$2:B243&lt;&gt;"""",$A$2:A243&lt;A244)),prevValue,XLOOKUP(prevDate,$A$2:A243,$B$2:B243),gap,A244-prevDate,unknown,COUNTIFS(Movimientos!$D"&amp;"$6:$D$505,""&gt;""&amp;prevDate,Movimientos!$D$6:$D$505,""&lt;=""&amp;A244,Movimientos!$E$6:$E$505,FALSE,Movimientos!$C$6:$C$505,""&lt;&gt;Fecha inferida*""),flow,SUMIFS(Movimientos!$B$6:$B$505,Movimientos!$D$6:$D$505,""&gt;""&amp;prevDate,Movimientos!$D$6:$D$505,""&lt;=""&amp;A244,Movimi"&amp;"entos!$E$6:$E$505,TRUE)+SUMIFS(Movimientos!$B$6:$B$505,Movimientos!$D$6:$D$505,""&gt;""&amp;prevDate,Movimientos!$D$6:$D$505,""&lt;=""&amp;A244,Movimientos!$C$6:$C$505,""Fecha inferida*""),net,B244-flow,IF(OR(gap&lt;1,unknown&gt;0,prevValue&lt;=0,net&lt;=0),"""",(POWER(net/prevVal"&amp;"ue,1/gap)-1)*100)),""""))"),0.051935764735278)</f>
        <v>5.1935764735278001E-2</v>
      </c>
      <c r="E244" s="95" t="str">
        <f t="shared" si="0"/>
        <v>Diario</v>
      </c>
    </row>
    <row r="245" spans="1:5" x14ac:dyDescent="0.25">
      <c r="A245" s="92">
        <v>46266</v>
      </c>
      <c r="B245" s="93">
        <f>IF(Diario!B249="","",Diario!B249)</f>
        <v>86471</v>
      </c>
      <c r="C245" s="93">
        <f>SUMIFS(Movimientos!$B$6:$B$505,Movimientos!$D$6:$D$505,A245,Movimientos!$E$6:$E$505,TRUE)</f>
        <v>0</v>
      </c>
      <c r="D245" s="94">
        <f ca="1">IFERROR(__xludf.DUMMYFUNCTION("IF(OR(B245="""",A245&gt;TODAY(),E245=""Histórico mensual"",E245=""Base diaria""),"""",IFERROR(LET(prevDate,MAX(FILTER($A$2:A244,$B$2:B244&lt;&gt;"""",$A$2:A244&lt;A245)),prevValue,XLOOKUP(prevDate,$A$2:A244,$B$2:B244),gap,A245-prevDate,unknown,COUNTIFS(Movimientos!$D"&amp;"$6:$D$505,""&gt;""&amp;prevDate,Movimientos!$D$6:$D$505,""&lt;=""&amp;A245,Movimientos!$E$6:$E$505,FALSE,Movimientos!$C$6:$C$505,""&lt;&gt;Fecha inferida*""),flow,SUMIFS(Movimientos!$B$6:$B$505,Movimientos!$D$6:$D$505,""&gt;""&amp;prevDate,Movimientos!$D$6:$D$505,""&lt;=""&amp;A245,Movimi"&amp;"entos!$E$6:$E$505,TRUE)+SUMIFS(Movimientos!$B$6:$B$505,Movimientos!$D$6:$D$505,""&gt;""&amp;prevDate,Movimientos!$D$6:$D$505,""&lt;=""&amp;A245,Movimientos!$C$6:$C$505,""Fecha inferida*""),net,B245-flow,IF(OR(gap&lt;1,unknown&gt;0,prevValue&lt;=0,net&lt;=0),"""",(POWER(net/prevVal"&amp;"ue,1/gap)-1)*100)),""""))"),-0.279081567930994)</f>
        <v>-0.27908156793099398</v>
      </c>
      <c r="E245" s="95" t="str">
        <f t="shared" si="0"/>
        <v>Diario</v>
      </c>
    </row>
    <row r="246" spans="1:5" x14ac:dyDescent="0.25">
      <c r="A246" s="92">
        <v>46267</v>
      </c>
      <c r="B246" s="93">
        <f>IF(Diario!B250="","",Diario!B250)</f>
        <v>86038</v>
      </c>
      <c r="C246" s="93">
        <f>SUMIFS(Movimientos!$B$6:$B$505,Movimientos!$D$6:$D$505,A246,Movimientos!$E$6:$E$505,TRUE)</f>
        <v>0</v>
      </c>
      <c r="D246" s="94">
        <f ca="1">IFERROR(__xludf.DUMMYFUNCTION("IF(OR(B246="""",A246&gt;TODAY(),E246=""Histórico mensual"",E246=""Base diaria""),"""",IFERROR(LET(prevDate,MAX(FILTER($A$2:A245,$B$2:B245&lt;&gt;"""",$A$2:A245&lt;A246)),prevValue,XLOOKUP(prevDate,$A$2:A245,$B$2:B245),gap,A246-prevDate,unknown,COUNTIFS(Movimientos!$D"&amp;"$6:$D$505,""&gt;""&amp;prevDate,Movimientos!$D$6:$D$505,""&lt;=""&amp;A246,Movimientos!$E$6:$E$505,FALSE,Movimientos!$C$6:$C$505,""&lt;&gt;Fecha inferida*""),flow,SUMIFS(Movimientos!$B$6:$B$505,Movimientos!$D$6:$D$505,""&gt;""&amp;prevDate,Movimientos!$D$6:$D$505,""&lt;=""&amp;A246,Movimi"&amp;"entos!$E$6:$E$505,TRUE)+SUMIFS(Movimientos!$B$6:$B$505,Movimientos!$D$6:$D$505,""&gt;""&amp;prevDate,Movimientos!$D$6:$D$505,""&lt;=""&amp;A246,Movimientos!$C$6:$C$505,""Fecha inferida*""),net,B246-flow,IF(OR(gap&lt;1,unknown&gt;0,prevValue&lt;=0,net&lt;=0),"""",(POWER(net/prevVal"&amp;"ue,1/gap)-1)*100)),""""))"),-0.50074591481537)</f>
        <v>-0.50074591481537001</v>
      </c>
      <c r="E246" s="95" t="str">
        <f t="shared" si="0"/>
        <v>Diario</v>
      </c>
    </row>
    <row r="247" spans="1:5" x14ac:dyDescent="0.25">
      <c r="A247" s="92">
        <v>46268</v>
      </c>
      <c r="B247" s="93">
        <f>IF(Diario!B251="","",Diario!B251)</f>
        <v>86042</v>
      </c>
      <c r="C247" s="93">
        <f>SUMIFS(Movimientos!$B$6:$B$505,Movimientos!$D$6:$D$505,A247,Movimientos!$E$6:$E$505,TRUE)</f>
        <v>0</v>
      </c>
      <c r="D247" s="94">
        <f ca="1">IFERROR(__xludf.DUMMYFUNCTION("IF(OR(B247="""",A247&gt;TODAY(),E247=""Histórico mensual"",E247=""Base diaria""),"""",IFERROR(LET(prevDate,MAX(FILTER($A$2:A246,$B$2:B246&lt;&gt;"""",$A$2:A246&lt;A247)),prevValue,XLOOKUP(prevDate,$A$2:A246,$B$2:B246),gap,A247-prevDate,unknown,COUNTIFS(Movimientos!$D"&amp;"$6:$D$505,""&gt;""&amp;prevDate,Movimientos!$D$6:$D$505,""&lt;=""&amp;A247,Movimientos!$E$6:$E$505,FALSE,Movimientos!$C$6:$C$505,""&lt;&gt;Fecha inferida*""),flow,SUMIFS(Movimientos!$B$6:$B$505,Movimientos!$D$6:$D$505,""&gt;""&amp;prevDate,Movimientos!$D$6:$D$505,""&lt;=""&amp;A247,Movimi"&amp;"entos!$E$6:$E$505,TRUE)+SUMIFS(Movimientos!$B$6:$B$505,Movimientos!$D$6:$D$505,""&gt;""&amp;prevDate,Movimientos!$D$6:$D$505,""&lt;=""&amp;A247,Movimientos!$C$6:$C$505,""Fecha inferida*""),net,B247-flow,IF(OR(gap&lt;1,unknown&gt;0,prevValue&lt;=0,net&lt;=0),"""",(POWER(net/prevVal"&amp;"ue,1/gap)-1)*100)),""""))"),0.0046491085334388)</f>
        <v>4.6491085334388E-3</v>
      </c>
      <c r="E247" s="95" t="str">
        <f t="shared" si="0"/>
        <v>Diario</v>
      </c>
    </row>
    <row r="248" spans="1:5" x14ac:dyDescent="0.25">
      <c r="A248" s="92">
        <v>46269</v>
      </c>
      <c r="B248" s="93">
        <f>IF(Diario!B252="","",Diario!B252)</f>
        <v>86302</v>
      </c>
      <c r="C248" s="93">
        <f>SUMIFS(Movimientos!$B$6:$B$505,Movimientos!$D$6:$D$505,A248,Movimientos!$E$6:$E$505,TRUE)</f>
        <v>0</v>
      </c>
      <c r="D248" s="94">
        <f ca="1">IFERROR(__xludf.DUMMYFUNCTION("IF(OR(B248="""",A248&gt;TODAY(),E248=""Histórico mensual"",E248=""Base diaria""),"""",IFERROR(LET(prevDate,MAX(FILTER($A$2:A247,$B$2:B247&lt;&gt;"""",$A$2:A247&lt;A248)),prevValue,XLOOKUP(prevDate,$A$2:A247,$B$2:B247),gap,A248-prevDate,unknown,COUNTIFS(Movimientos!$D"&amp;"$6:$D$505,""&gt;""&amp;prevDate,Movimientos!$D$6:$D$505,""&lt;=""&amp;A248,Movimientos!$E$6:$E$505,FALSE,Movimientos!$C$6:$C$505,""&lt;&gt;Fecha inferida*""),flow,SUMIFS(Movimientos!$B$6:$B$505,Movimientos!$D$6:$D$505,""&gt;""&amp;prevDate,Movimientos!$D$6:$D$505,""&lt;=""&amp;A248,Movimi"&amp;"entos!$E$6:$E$505,TRUE)+SUMIFS(Movimientos!$B$6:$B$505,Movimientos!$D$6:$D$505,""&gt;""&amp;prevDate,Movimientos!$D$6:$D$505,""&lt;=""&amp;A248,Movimientos!$C$6:$C$505,""Fecha inferida*""),net,B248-flow,IF(OR(gap&lt;1,unknown&gt;0,prevValue&lt;=0,net&lt;=0),"""",(POWER(net/prevVal"&amp;"ue,1/gap)-1)*100)),""""))"),0.302178006090048)</f>
        <v>0.30217800609004802</v>
      </c>
      <c r="E248" s="95" t="str">
        <f t="shared" si="0"/>
        <v>Diario</v>
      </c>
    </row>
    <row r="249" spans="1:5" x14ac:dyDescent="0.25">
      <c r="A249" s="92">
        <v>46270</v>
      </c>
      <c r="B249" s="93">
        <f>IF(Diario!B253="","",Diario!B253)</f>
        <v>86361</v>
      </c>
      <c r="C249" s="93">
        <f>SUMIFS(Movimientos!$B$6:$B$505,Movimientos!$D$6:$D$505,A249,Movimientos!$E$6:$E$505,TRUE)</f>
        <v>0</v>
      </c>
      <c r="D249" s="94">
        <f ca="1">IFERROR(__xludf.DUMMYFUNCTION("IF(OR(B249="""",A249&gt;TODAY(),E249=""Histórico mensual"",E249=""Base diaria""),"""",IFERROR(LET(prevDate,MAX(FILTER($A$2:A248,$B$2:B248&lt;&gt;"""",$A$2:A248&lt;A249)),prevValue,XLOOKUP(prevDate,$A$2:A248,$B$2:B248),gap,A249-prevDate,unknown,COUNTIFS(Movimientos!$D"&amp;"$6:$D$505,""&gt;""&amp;prevDate,Movimientos!$D$6:$D$505,""&lt;=""&amp;A249,Movimientos!$E$6:$E$505,FALSE,Movimientos!$C$6:$C$505,""&lt;&gt;Fecha inferida*""),flow,SUMIFS(Movimientos!$B$6:$B$505,Movimientos!$D$6:$D$505,""&gt;""&amp;prevDate,Movimientos!$D$6:$D$505,""&lt;=""&amp;A249,Movimi"&amp;"entos!$E$6:$E$505,TRUE)+SUMIFS(Movimientos!$B$6:$B$505,Movimientos!$D$6:$D$505,""&gt;""&amp;prevDate,Movimientos!$D$6:$D$505,""&lt;=""&amp;A249,Movimientos!$C$6:$C$505,""Fecha inferida*""),net,B249-flow,IF(OR(gap&lt;1,unknown&gt;0,prevValue&lt;=0,net&lt;=0),"""",(POWER(net/prevVal"&amp;"ue,1/gap)-1)*100)),""""))"),0.0683645801951238)</f>
        <v>6.83645801951238E-2</v>
      </c>
      <c r="E249" s="95" t="str">
        <f t="shared" si="0"/>
        <v>Fin de semana</v>
      </c>
    </row>
    <row r="250" spans="1:5" x14ac:dyDescent="0.25">
      <c r="A250" s="92">
        <v>46271</v>
      </c>
      <c r="B250" s="93">
        <f>IF(Diario!B254="","",Diario!B254)</f>
        <v>86371</v>
      </c>
      <c r="C250" s="93">
        <f>SUMIFS(Movimientos!$B$6:$B$505,Movimientos!$D$6:$D$505,A250,Movimientos!$E$6:$E$505,TRUE)</f>
        <v>0</v>
      </c>
      <c r="D250" s="94">
        <f ca="1">IFERROR(__xludf.DUMMYFUNCTION("IF(OR(B250="""",A250&gt;TODAY(),E250=""Histórico mensual"",E250=""Base diaria""),"""",IFERROR(LET(prevDate,MAX(FILTER($A$2:A249,$B$2:B249&lt;&gt;"""",$A$2:A249&lt;A250)),prevValue,XLOOKUP(prevDate,$A$2:A249,$B$2:B249),gap,A250-prevDate,unknown,COUNTIFS(Movimientos!$D"&amp;"$6:$D$505,""&gt;""&amp;prevDate,Movimientos!$D$6:$D$505,""&lt;=""&amp;A250,Movimientos!$E$6:$E$505,FALSE,Movimientos!$C$6:$C$505,""&lt;&gt;Fecha inferida*""),flow,SUMIFS(Movimientos!$B$6:$B$505,Movimientos!$D$6:$D$505,""&gt;""&amp;prevDate,Movimientos!$D$6:$D$505,""&lt;=""&amp;A250,Movimi"&amp;"entos!$E$6:$E$505,TRUE)+SUMIFS(Movimientos!$B$6:$B$505,Movimientos!$D$6:$D$505,""&gt;""&amp;prevDate,Movimientos!$D$6:$D$505,""&lt;=""&amp;A250,Movimientos!$C$6:$C$505,""Fecha inferida*""),net,B250-flow,IF(OR(gap&lt;1,unknown&gt;0,prevValue&lt;=0,net&lt;=0),"""",(POWER(net/prevVal"&amp;"ue,1/gap)-1)*100)),""""))"),0.011579300841813)</f>
        <v>1.1579300841813E-2</v>
      </c>
      <c r="E250" s="95" t="str">
        <f t="shared" si="0"/>
        <v>Fin de semana</v>
      </c>
    </row>
    <row r="251" spans="1:5" x14ac:dyDescent="0.25">
      <c r="A251" s="92">
        <v>46272</v>
      </c>
      <c r="B251" s="93">
        <f>IF(Diario!B255="","",Diario!B255)</f>
        <v>86256</v>
      </c>
      <c r="C251" s="93">
        <f>SUMIFS(Movimientos!$B$6:$B$505,Movimientos!$D$6:$D$505,A251,Movimientos!$E$6:$E$505,TRUE)</f>
        <v>0</v>
      </c>
      <c r="D251" s="94">
        <f ca="1">IFERROR(__xludf.DUMMYFUNCTION("IF(OR(B251="""",A251&gt;TODAY(),E251=""Histórico mensual"",E251=""Base diaria""),"""",IFERROR(LET(prevDate,MAX(FILTER($A$2:A250,$B$2:B250&lt;&gt;"""",$A$2:A250&lt;A251)),prevValue,XLOOKUP(prevDate,$A$2:A250,$B$2:B250),gap,A251-prevDate,unknown,COUNTIFS(Movimientos!$D"&amp;"$6:$D$505,""&gt;""&amp;prevDate,Movimientos!$D$6:$D$505,""&lt;=""&amp;A251,Movimientos!$E$6:$E$505,FALSE,Movimientos!$C$6:$C$505,""&lt;&gt;Fecha inferida*""),flow,SUMIFS(Movimientos!$B$6:$B$505,Movimientos!$D$6:$D$505,""&gt;""&amp;prevDate,Movimientos!$D$6:$D$505,""&lt;=""&amp;A251,Movimi"&amp;"entos!$E$6:$E$505,TRUE)+SUMIFS(Movimientos!$B$6:$B$505,Movimientos!$D$6:$D$505,""&gt;""&amp;prevDate,Movimientos!$D$6:$D$505,""&lt;=""&amp;A251,Movimientos!$C$6:$C$505,""Fecha inferida*""),net,B251-flow,IF(OR(gap&lt;1,unknown&gt;0,prevValue&lt;=0,net&lt;=0),"""",(POWER(net/prevVal"&amp;"ue,1/gap)-1)*100)),""""))"),-0.13314654224219)</f>
        <v>-0.13314654224219</v>
      </c>
      <c r="E251" s="95" t="str">
        <f t="shared" si="0"/>
        <v>Diario</v>
      </c>
    </row>
    <row r="252" spans="1:5" x14ac:dyDescent="0.25">
      <c r="A252" s="92">
        <v>46273</v>
      </c>
      <c r="B252" s="93">
        <f>IF(Diario!B256="","",Diario!B256)</f>
        <v>86358</v>
      </c>
      <c r="C252" s="93">
        <f>SUMIFS(Movimientos!$B$6:$B$505,Movimientos!$D$6:$D$505,A252,Movimientos!$E$6:$E$505,TRUE)</f>
        <v>0</v>
      </c>
      <c r="D252" s="94">
        <f ca="1">IFERROR(__xludf.DUMMYFUNCTION("IF(OR(B252="""",A252&gt;TODAY(),E252=""Histórico mensual"",E252=""Base diaria""),"""",IFERROR(LET(prevDate,MAX(FILTER($A$2:A251,$B$2:B251&lt;&gt;"""",$A$2:A251&lt;A252)),prevValue,XLOOKUP(prevDate,$A$2:A251,$B$2:B251),gap,A252-prevDate,unknown,COUNTIFS(Movimientos!$D"&amp;"$6:$D$505,""&gt;""&amp;prevDate,Movimientos!$D$6:$D$505,""&lt;=""&amp;A252,Movimientos!$E$6:$E$505,FALSE,Movimientos!$C$6:$C$505,""&lt;&gt;Fecha inferida*""),flow,SUMIFS(Movimientos!$B$6:$B$505,Movimientos!$D$6:$D$505,""&gt;""&amp;prevDate,Movimientos!$D$6:$D$505,""&lt;=""&amp;A252,Movimi"&amp;"entos!$E$6:$E$505,TRUE)+SUMIFS(Movimientos!$B$6:$B$505,Movimientos!$D$6:$D$505,""&gt;""&amp;prevDate,Movimientos!$D$6:$D$505,""&lt;=""&amp;A252,Movimientos!$C$6:$C$505,""Fecha inferida*""),net,B252-flow,IF(OR(gap&lt;1,unknown&gt;0,prevValue&lt;=0,net&lt;=0),"""",(POWER(net/prevVal"&amp;"ue,1/gap)-1)*100)),""""))"),0.118252643294369)</f>
        <v>0.11825264329436901</v>
      </c>
      <c r="E252" s="95" t="str">
        <f t="shared" si="0"/>
        <v>Diario</v>
      </c>
    </row>
    <row r="253" spans="1:5" x14ac:dyDescent="0.25">
      <c r="A253" s="92">
        <v>46274</v>
      </c>
      <c r="B253" s="93">
        <f>IF(Diario!B257="","",Diario!B257)</f>
        <v>85913</v>
      </c>
      <c r="C253" s="93">
        <f>SUMIFS(Movimientos!$B$6:$B$505,Movimientos!$D$6:$D$505,A253,Movimientos!$E$6:$E$505,TRUE)</f>
        <v>0</v>
      </c>
      <c r="D253" s="94">
        <f ca="1">IFERROR(__xludf.DUMMYFUNCTION("IF(OR(B253="""",A253&gt;TODAY(),E253=""Histórico mensual"",E253=""Base diaria""),"""",IFERROR(LET(prevDate,MAX(FILTER($A$2:A252,$B$2:B252&lt;&gt;"""",$A$2:A252&lt;A253)),prevValue,XLOOKUP(prevDate,$A$2:A252,$B$2:B252),gap,A253-prevDate,unknown,COUNTIFS(Movimientos!$D"&amp;"$6:$D$505,""&gt;""&amp;prevDate,Movimientos!$D$6:$D$505,""&lt;=""&amp;A253,Movimientos!$E$6:$E$505,FALSE,Movimientos!$C$6:$C$505,""&lt;&gt;Fecha inferida*""),flow,SUMIFS(Movimientos!$B$6:$B$505,Movimientos!$D$6:$D$505,""&gt;""&amp;prevDate,Movimientos!$D$6:$D$505,""&lt;=""&amp;A253,Movimi"&amp;"entos!$E$6:$E$505,TRUE)+SUMIFS(Movimientos!$B$6:$B$505,Movimientos!$D$6:$D$505,""&gt;""&amp;prevDate,Movimientos!$D$6:$D$505,""&lt;=""&amp;A253,Movimientos!$C$6:$C$505,""Fecha inferida*""),net,B253-flow,IF(OR(gap&lt;1,unknown&gt;0,prevValue&lt;=0,net&lt;=0),"""",(POWER(net/prevVal"&amp;"ue,1/gap)-1)*100)),""""))"),-0.515296787790364)</f>
        <v>-0.51529678779036403</v>
      </c>
      <c r="E253" s="95" t="str">
        <f t="shared" si="0"/>
        <v>Diario</v>
      </c>
    </row>
    <row r="254" spans="1:5" x14ac:dyDescent="0.25">
      <c r="A254" s="92">
        <v>46275</v>
      </c>
      <c r="B254" s="93">
        <f>IF(Diario!B258="","",Diario!B258)</f>
        <v>85387</v>
      </c>
      <c r="C254" s="93">
        <f>SUMIFS(Movimientos!$B$6:$B$505,Movimientos!$D$6:$D$505,A254,Movimientos!$E$6:$E$505,TRUE)</f>
        <v>0</v>
      </c>
      <c r="D254" s="94">
        <f ca="1">IFERROR(__xludf.DUMMYFUNCTION("IF(OR(B254="""",A254&gt;TODAY(),E254=""Histórico mensual"",E254=""Base diaria""),"""",IFERROR(LET(prevDate,MAX(FILTER($A$2:A253,$B$2:B253&lt;&gt;"""",$A$2:A253&lt;A254)),prevValue,XLOOKUP(prevDate,$A$2:A253,$B$2:B253),gap,A254-prevDate,unknown,COUNTIFS(Movimientos!$D"&amp;"$6:$D$505,""&gt;""&amp;prevDate,Movimientos!$D$6:$D$505,""&lt;=""&amp;A254,Movimientos!$E$6:$E$505,FALSE,Movimientos!$C$6:$C$505,""&lt;&gt;Fecha inferida*""),flow,SUMIFS(Movimientos!$B$6:$B$505,Movimientos!$D$6:$D$505,""&gt;""&amp;prevDate,Movimientos!$D$6:$D$505,""&lt;=""&amp;A254,Movimi"&amp;"entos!$E$6:$E$505,TRUE)+SUMIFS(Movimientos!$B$6:$B$505,Movimientos!$D$6:$D$505,""&gt;""&amp;prevDate,Movimientos!$D$6:$D$505,""&lt;=""&amp;A254,Movimientos!$C$6:$C$505,""Fecha inferida*""),net,B254-flow,IF(OR(gap&lt;1,unknown&gt;0,prevValue&lt;=0,net&lt;=0),"""",(POWER(net/prevVal"&amp;"ue,1/gap)-1)*100)),""""))"),-0.612247273404487)</f>
        <v>-0.61224727340448704</v>
      </c>
      <c r="E254" s="95" t="str">
        <f t="shared" si="0"/>
        <v>Diario</v>
      </c>
    </row>
    <row r="255" spans="1:5" x14ac:dyDescent="0.25">
      <c r="A255" s="92">
        <v>46276</v>
      </c>
      <c r="B255" s="93" t="str">
        <f>IF(Diario!B259="","",Diario!B259)</f>
        <v/>
      </c>
      <c r="C255" s="93">
        <f>SUMIFS(Movimientos!$B$6:$B$505,Movimientos!$D$6:$D$505,A255,Movimientos!$E$6:$E$505,TRUE)</f>
        <v>0</v>
      </c>
      <c r="D255" s="94" t="str">
        <f ca="1">IFERROR(__xludf.DUMMYFUNCTION("IF(OR(B255="""",A255&gt;TODAY(),E255=""Histórico mensual"",E255=""Base diaria""),"""",IFERROR(LET(prevDate,MAX(FILTER($A$2:A254,$B$2:B254&lt;&gt;"""",$A$2:A254&lt;A255)),prevValue,XLOOKUP(prevDate,$A$2:A254,$B$2:B254),gap,A255-prevDate,unknown,COUNTIFS(Movimientos!$D"&amp;"$6:$D$505,""&gt;""&amp;prevDate,Movimientos!$D$6:$D$505,""&lt;=""&amp;A255,Movimientos!$E$6:$E$505,FALSE,Movimientos!$C$6:$C$505,""&lt;&gt;Fecha inferida*""),flow,SUMIFS(Movimientos!$B$6:$B$505,Movimientos!$D$6:$D$505,""&gt;""&amp;prevDate,Movimientos!$D$6:$D$505,""&lt;=""&amp;A255,Movimi"&amp;"entos!$E$6:$E$505,TRUE)+SUMIFS(Movimientos!$B$6:$B$505,Movimientos!$D$6:$D$505,""&gt;""&amp;prevDate,Movimientos!$D$6:$D$505,""&lt;=""&amp;A255,Movimientos!$C$6:$C$505,""Fecha inferida*""),net,B255-flow,IF(OR(gap&lt;1,unknown&gt;0,prevValue&lt;=0,net&lt;=0),"""",(POWER(net/prevVal"&amp;"ue,1/gap)-1)*100)),""""))"),"")</f>
        <v/>
      </c>
      <c r="E255" s="95" t="str">
        <f t="shared" si="0"/>
        <v/>
      </c>
    </row>
    <row r="256" spans="1:5" x14ac:dyDescent="0.25">
      <c r="A256" s="92">
        <v>46277</v>
      </c>
      <c r="B256" s="93" t="str">
        <f>IF(Diario!B260="","",Diario!B260)</f>
        <v/>
      </c>
      <c r="C256" s="93">
        <f>SUMIFS(Movimientos!$B$6:$B$505,Movimientos!$D$6:$D$505,A256,Movimientos!$E$6:$E$505,TRUE)</f>
        <v>0</v>
      </c>
      <c r="D256" s="94" t="str">
        <f ca="1">IFERROR(__xludf.DUMMYFUNCTION("IF(OR(B256="""",A256&gt;TODAY(),E256=""Histórico mensual"",E256=""Base diaria""),"""",IFERROR(LET(prevDate,MAX(FILTER($A$2:A255,$B$2:B255&lt;&gt;"""",$A$2:A255&lt;A256)),prevValue,XLOOKUP(prevDate,$A$2:A255,$B$2:B255),gap,A256-prevDate,unknown,COUNTIFS(Movimientos!$D"&amp;"$6:$D$505,""&gt;""&amp;prevDate,Movimientos!$D$6:$D$505,""&lt;=""&amp;A256,Movimientos!$E$6:$E$505,FALSE,Movimientos!$C$6:$C$505,""&lt;&gt;Fecha inferida*""),flow,SUMIFS(Movimientos!$B$6:$B$505,Movimientos!$D$6:$D$505,""&gt;""&amp;prevDate,Movimientos!$D$6:$D$505,""&lt;=""&amp;A256,Movimi"&amp;"entos!$E$6:$E$505,TRUE)+SUMIFS(Movimientos!$B$6:$B$505,Movimientos!$D$6:$D$505,""&gt;""&amp;prevDate,Movimientos!$D$6:$D$505,""&lt;=""&amp;A256,Movimientos!$C$6:$C$505,""Fecha inferida*""),net,B256-flow,IF(OR(gap&lt;1,unknown&gt;0,prevValue&lt;=0,net&lt;=0),"""",(POWER(net/prevVal"&amp;"ue,1/gap)-1)*100)),""""))"),"")</f>
        <v/>
      </c>
      <c r="E256" s="95" t="str">
        <f t="shared" si="0"/>
        <v/>
      </c>
    </row>
    <row r="257" spans="1:5" x14ac:dyDescent="0.25">
      <c r="A257" s="92">
        <v>46278</v>
      </c>
      <c r="B257" s="93" t="str">
        <f>IF(Diario!B261="","",Diario!B261)</f>
        <v/>
      </c>
      <c r="C257" s="93">
        <f>SUMIFS(Movimientos!$B$6:$B$505,Movimientos!$D$6:$D$505,A257,Movimientos!$E$6:$E$505,TRUE)</f>
        <v>0</v>
      </c>
      <c r="D257" s="94" t="str">
        <f ca="1">IFERROR(__xludf.DUMMYFUNCTION("IF(OR(B257="""",A257&gt;TODAY(),E257=""Histórico mensual"",E257=""Base diaria""),"""",IFERROR(LET(prevDate,MAX(FILTER($A$2:A256,$B$2:B256&lt;&gt;"""",$A$2:A256&lt;A257)),prevValue,XLOOKUP(prevDate,$A$2:A256,$B$2:B256),gap,A257-prevDate,unknown,COUNTIFS(Movimientos!$D"&amp;"$6:$D$505,""&gt;""&amp;prevDate,Movimientos!$D$6:$D$505,""&lt;=""&amp;A257,Movimientos!$E$6:$E$505,FALSE,Movimientos!$C$6:$C$505,""&lt;&gt;Fecha inferida*""),flow,SUMIFS(Movimientos!$B$6:$B$505,Movimientos!$D$6:$D$505,""&gt;""&amp;prevDate,Movimientos!$D$6:$D$505,""&lt;=""&amp;A257,Movimi"&amp;"entos!$E$6:$E$505,TRUE)+SUMIFS(Movimientos!$B$6:$B$505,Movimientos!$D$6:$D$505,""&gt;""&amp;prevDate,Movimientos!$D$6:$D$505,""&lt;=""&amp;A257,Movimientos!$C$6:$C$505,""Fecha inferida*""),net,B257-flow,IF(OR(gap&lt;1,unknown&gt;0,prevValue&lt;=0,net&lt;=0),"""",(POWER(net/prevVal"&amp;"ue,1/gap)-1)*100)),""""))"),"")</f>
        <v/>
      </c>
      <c r="E257" s="95" t="str">
        <f t="shared" ref="E257:E366" si="1">IF(B257="","",IF(OR(A257=DATE(2026,1,30),A257=DATE(2026,2,27),A257=DATE(2026,3,31),A257=DATE(2026,4,30),A257=DATE(2026,5,29),A257=DATE(2026,6,30)),"Histórico mensual",IF(A257=DATE(2026,7,9),"Base diaria",IF(WEEKDAY(A257,2)&gt;5,"Fin de semana","Diario"))))</f>
        <v/>
      </c>
    </row>
    <row r="258" spans="1:5" x14ac:dyDescent="0.25">
      <c r="A258" s="92">
        <v>46279</v>
      </c>
      <c r="B258" s="93" t="str">
        <f>IF(Diario!B262="","",Diario!B262)</f>
        <v/>
      </c>
      <c r="C258" s="93">
        <f>SUMIFS(Movimientos!$B$6:$B$505,Movimientos!$D$6:$D$505,A258,Movimientos!$E$6:$E$505,TRUE)</f>
        <v>0</v>
      </c>
      <c r="D258" s="94" t="str">
        <f ca="1">IFERROR(__xludf.DUMMYFUNCTION("IF(OR(B258="""",A258&gt;TODAY(),E258=""Histórico mensual"",E258=""Base diaria""),"""",IFERROR(LET(prevDate,MAX(FILTER($A$2:A257,$B$2:B257&lt;&gt;"""",$A$2:A257&lt;A258)),prevValue,XLOOKUP(prevDate,$A$2:A257,$B$2:B257),gap,A258-prevDate,unknown,COUNTIFS(Movimientos!$D"&amp;"$6:$D$505,""&gt;""&amp;prevDate,Movimientos!$D$6:$D$505,""&lt;=""&amp;A258,Movimientos!$E$6:$E$505,FALSE,Movimientos!$C$6:$C$505,""&lt;&gt;Fecha inferida*""),flow,SUMIFS(Movimientos!$B$6:$B$505,Movimientos!$D$6:$D$505,""&gt;""&amp;prevDate,Movimientos!$D$6:$D$505,""&lt;=""&amp;A258,Movimi"&amp;"entos!$E$6:$E$505,TRUE)+SUMIFS(Movimientos!$B$6:$B$505,Movimientos!$D$6:$D$505,""&gt;""&amp;prevDate,Movimientos!$D$6:$D$505,""&lt;=""&amp;A258,Movimientos!$C$6:$C$505,""Fecha inferida*""),net,B258-flow,IF(OR(gap&lt;1,unknown&gt;0,prevValue&lt;=0,net&lt;=0),"""",(POWER(net/prevVal"&amp;"ue,1/gap)-1)*100)),""""))"),"")</f>
        <v/>
      </c>
      <c r="E258" s="95" t="str">
        <f t="shared" si="1"/>
        <v/>
      </c>
    </row>
    <row r="259" spans="1:5" x14ac:dyDescent="0.25">
      <c r="A259" s="92">
        <v>46280</v>
      </c>
      <c r="B259" s="93" t="str">
        <f>IF(Diario!B263="","",Diario!B263)</f>
        <v/>
      </c>
      <c r="C259" s="93">
        <f>SUMIFS(Movimientos!$B$6:$B$505,Movimientos!$D$6:$D$505,A259,Movimientos!$E$6:$E$505,TRUE)</f>
        <v>0</v>
      </c>
      <c r="D259" s="94" t="str">
        <f ca="1">IFERROR(__xludf.DUMMYFUNCTION("IF(OR(B259="""",A259&gt;TODAY(),E259=""Histórico mensual"",E259=""Base diaria""),"""",IFERROR(LET(prevDate,MAX(FILTER($A$2:A258,$B$2:B258&lt;&gt;"""",$A$2:A258&lt;A259)),prevValue,XLOOKUP(prevDate,$A$2:A258,$B$2:B258),gap,A259-prevDate,unknown,COUNTIFS(Movimientos!$D"&amp;"$6:$D$505,""&gt;""&amp;prevDate,Movimientos!$D$6:$D$505,""&lt;=""&amp;A259,Movimientos!$E$6:$E$505,FALSE,Movimientos!$C$6:$C$505,""&lt;&gt;Fecha inferida*""),flow,SUMIFS(Movimientos!$B$6:$B$505,Movimientos!$D$6:$D$505,""&gt;""&amp;prevDate,Movimientos!$D$6:$D$505,""&lt;=""&amp;A259,Movimi"&amp;"entos!$E$6:$E$505,TRUE)+SUMIFS(Movimientos!$B$6:$B$505,Movimientos!$D$6:$D$505,""&gt;""&amp;prevDate,Movimientos!$D$6:$D$505,""&lt;=""&amp;A259,Movimientos!$C$6:$C$505,""Fecha inferida*""),net,B259-flow,IF(OR(gap&lt;1,unknown&gt;0,prevValue&lt;=0,net&lt;=0),"""",(POWER(net/prevVal"&amp;"ue,1/gap)-1)*100)),""""))"),"")</f>
        <v/>
      </c>
      <c r="E259" s="95" t="str">
        <f t="shared" si="1"/>
        <v/>
      </c>
    </row>
    <row r="260" spans="1:5" x14ac:dyDescent="0.25">
      <c r="A260" s="92">
        <v>46281</v>
      </c>
      <c r="B260" s="93" t="str">
        <f>IF(Diario!B264="","",Diario!B264)</f>
        <v/>
      </c>
      <c r="C260" s="93">
        <f>SUMIFS(Movimientos!$B$6:$B$505,Movimientos!$D$6:$D$505,A260,Movimientos!$E$6:$E$505,TRUE)</f>
        <v>0</v>
      </c>
      <c r="D260" s="94" t="str">
        <f ca="1">IFERROR(__xludf.DUMMYFUNCTION("IF(OR(B260="""",A260&gt;TODAY(),E260=""Histórico mensual"",E260=""Base diaria""),"""",IFERROR(LET(prevDate,MAX(FILTER($A$2:A259,$B$2:B259&lt;&gt;"""",$A$2:A259&lt;A260)),prevValue,XLOOKUP(prevDate,$A$2:A259,$B$2:B259),gap,A260-prevDate,unknown,COUNTIFS(Movimientos!$D"&amp;"$6:$D$505,""&gt;""&amp;prevDate,Movimientos!$D$6:$D$505,""&lt;=""&amp;A260,Movimientos!$E$6:$E$505,FALSE,Movimientos!$C$6:$C$505,""&lt;&gt;Fecha inferida*""),flow,SUMIFS(Movimientos!$B$6:$B$505,Movimientos!$D$6:$D$505,""&gt;""&amp;prevDate,Movimientos!$D$6:$D$505,""&lt;=""&amp;A260,Movimi"&amp;"entos!$E$6:$E$505,TRUE)+SUMIFS(Movimientos!$B$6:$B$505,Movimientos!$D$6:$D$505,""&gt;""&amp;prevDate,Movimientos!$D$6:$D$505,""&lt;=""&amp;A260,Movimientos!$C$6:$C$505,""Fecha inferida*""),net,B260-flow,IF(OR(gap&lt;1,unknown&gt;0,prevValue&lt;=0,net&lt;=0),"""",(POWER(net/prevVal"&amp;"ue,1/gap)-1)*100)),""""))"),"")</f>
        <v/>
      </c>
      <c r="E260" s="95" t="str">
        <f t="shared" si="1"/>
        <v/>
      </c>
    </row>
    <row r="261" spans="1:5" x14ac:dyDescent="0.25">
      <c r="A261" s="92">
        <v>46282</v>
      </c>
      <c r="B261" s="93" t="str">
        <f>IF(Diario!B265="","",Diario!B265)</f>
        <v/>
      </c>
      <c r="C261" s="93">
        <f>SUMIFS(Movimientos!$B$6:$B$505,Movimientos!$D$6:$D$505,A261,Movimientos!$E$6:$E$505,TRUE)</f>
        <v>0</v>
      </c>
      <c r="D261" s="94" t="str">
        <f ca="1">IFERROR(__xludf.DUMMYFUNCTION("IF(OR(B261="""",A261&gt;TODAY(),E261=""Histórico mensual"",E261=""Base diaria""),"""",IFERROR(LET(prevDate,MAX(FILTER($A$2:A260,$B$2:B260&lt;&gt;"""",$A$2:A260&lt;A261)),prevValue,XLOOKUP(prevDate,$A$2:A260,$B$2:B260),gap,A261-prevDate,unknown,COUNTIFS(Movimientos!$D"&amp;"$6:$D$505,""&gt;""&amp;prevDate,Movimientos!$D$6:$D$505,""&lt;=""&amp;A261,Movimientos!$E$6:$E$505,FALSE,Movimientos!$C$6:$C$505,""&lt;&gt;Fecha inferida*""),flow,SUMIFS(Movimientos!$B$6:$B$505,Movimientos!$D$6:$D$505,""&gt;""&amp;prevDate,Movimientos!$D$6:$D$505,""&lt;=""&amp;A261,Movimi"&amp;"entos!$E$6:$E$505,TRUE)+SUMIFS(Movimientos!$B$6:$B$505,Movimientos!$D$6:$D$505,""&gt;""&amp;prevDate,Movimientos!$D$6:$D$505,""&lt;=""&amp;A261,Movimientos!$C$6:$C$505,""Fecha inferida*""),net,B261-flow,IF(OR(gap&lt;1,unknown&gt;0,prevValue&lt;=0,net&lt;=0),"""",(POWER(net/prevVal"&amp;"ue,1/gap)-1)*100)),""""))"),"")</f>
        <v/>
      </c>
      <c r="E261" s="95" t="str">
        <f t="shared" si="1"/>
        <v/>
      </c>
    </row>
    <row r="262" spans="1:5" x14ac:dyDescent="0.25">
      <c r="A262" s="92">
        <v>46283</v>
      </c>
      <c r="B262" s="93" t="str">
        <f>IF(Diario!B266="","",Diario!B266)</f>
        <v/>
      </c>
      <c r="C262" s="93">
        <f>SUMIFS(Movimientos!$B$6:$B$505,Movimientos!$D$6:$D$505,A262,Movimientos!$E$6:$E$505,TRUE)</f>
        <v>0</v>
      </c>
      <c r="D262" s="94" t="str">
        <f ca="1">IFERROR(__xludf.DUMMYFUNCTION("IF(OR(B262="""",A262&gt;TODAY(),E262=""Histórico mensual"",E262=""Base diaria""),"""",IFERROR(LET(prevDate,MAX(FILTER($A$2:A261,$B$2:B261&lt;&gt;"""",$A$2:A261&lt;A262)),prevValue,XLOOKUP(prevDate,$A$2:A261,$B$2:B261),gap,A262-prevDate,unknown,COUNTIFS(Movimientos!$D"&amp;"$6:$D$505,""&gt;""&amp;prevDate,Movimientos!$D$6:$D$505,""&lt;=""&amp;A262,Movimientos!$E$6:$E$505,FALSE,Movimientos!$C$6:$C$505,""&lt;&gt;Fecha inferida*""),flow,SUMIFS(Movimientos!$B$6:$B$505,Movimientos!$D$6:$D$505,""&gt;""&amp;prevDate,Movimientos!$D$6:$D$505,""&lt;=""&amp;A262,Movimi"&amp;"entos!$E$6:$E$505,TRUE)+SUMIFS(Movimientos!$B$6:$B$505,Movimientos!$D$6:$D$505,""&gt;""&amp;prevDate,Movimientos!$D$6:$D$505,""&lt;=""&amp;A262,Movimientos!$C$6:$C$505,""Fecha inferida*""),net,B262-flow,IF(OR(gap&lt;1,unknown&gt;0,prevValue&lt;=0,net&lt;=0),"""",(POWER(net/prevVal"&amp;"ue,1/gap)-1)*100)),""""))"),"")</f>
        <v/>
      </c>
      <c r="E262" s="95" t="str">
        <f t="shared" si="1"/>
        <v/>
      </c>
    </row>
    <row r="263" spans="1:5" x14ac:dyDescent="0.25">
      <c r="A263" s="92">
        <v>46284</v>
      </c>
      <c r="B263" s="93" t="str">
        <f>IF(Diario!B267="","",Diario!B267)</f>
        <v/>
      </c>
      <c r="C263" s="93">
        <f>SUMIFS(Movimientos!$B$6:$B$505,Movimientos!$D$6:$D$505,A263,Movimientos!$E$6:$E$505,TRUE)</f>
        <v>0</v>
      </c>
      <c r="D263" s="94" t="str">
        <f ca="1">IFERROR(__xludf.DUMMYFUNCTION("IF(OR(B263="""",A263&gt;TODAY(),E263=""Histórico mensual"",E263=""Base diaria""),"""",IFERROR(LET(prevDate,MAX(FILTER($A$2:A262,$B$2:B262&lt;&gt;"""",$A$2:A262&lt;A263)),prevValue,XLOOKUP(prevDate,$A$2:A262,$B$2:B262),gap,A263-prevDate,unknown,COUNTIFS(Movimientos!$D"&amp;"$6:$D$505,""&gt;""&amp;prevDate,Movimientos!$D$6:$D$505,""&lt;=""&amp;A263,Movimientos!$E$6:$E$505,FALSE,Movimientos!$C$6:$C$505,""&lt;&gt;Fecha inferida*""),flow,SUMIFS(Movimientos!$B$6:$B$505,Movimientos!$D$6:$D$505,""&gt;""&amp;prevDate,Movimientos!$D$6:$D$505,""&lt;=""&amp;A263,Movimi"&amp;"entos!$E$6:$E$505,TRUE)+SUMIFS(Movimientos!$B$6:$B$505,Movimientos!$D$6:$D$505,""&gt;""&amp;prevDate,Movimientos!$D$6:$D$505,""&lt;=""&amp;A263,Movimientos!$C$6:$C$505,""Fecha inferida*""),net,B263-flow,IF(OR(gap&lt;1,unknown&gt;0,prevValue&lt;=0,net&lt;=0),"""",(POWER(net/prevVal"&amp;"ue,1/gap)-1)*100)),""""))"),"")</f>
        <v/>
      </c>
      <c r="E263" s="95" t="str">
        <f t="shared" si="1"/>
        <v/>
      </c>
    </row>
    <row r="264" spans="1:5" x14ac:dyDescent="0.25">
      <c r="A264" s="92">
        <v>46285</v>
      </c>
      <c r="B264" s="93" t="str">
        <f>IF(Diario!B268="","",Diario!B268)</f>
        <v/>
      </c>
      <c r="C264" s="93">
        <f>SUMIFS(Movimientos!$B$6:$B$505,Movimientos!$D$6:$D$505,A264,Movimientos!$E$6:$E$505,TRUE)</f>
        <v>0</v>
      </c>
      <c r="D264" s="94" t="str">
        <f ca="1">IFERROR(__xludf.DUMMYFUNCTION("IF(OR(B264="""",A264&gt;TODAY(),E264=""Histórico mensual"",E264=""Base diaria""),"""",IFERROR(LET(prevDate,MAX(FILTER($A$2:A263,$B$2:B263&lt;&gt;"""",$A$2:A263&lt;A264)),prevValue,XLOOKUP(prevDate,$A$2:A263,$B$2:B263),gap,A264-prevDate,unknown,COUNTIFS(Movimientos!$D"&amp;"$6:$D$505,""&gt;""&amp;prevDate,Movimientos!$D$6:$D$505,""&lt;=""&amp;A264,Movimientos!$E$6:$E$505,FALSE,Movimientos!$C$6:$C$505,""&lt;&gt;Fecha inferida*""),flow,SUMIFS(Movimientos!$B$6:$B$505,Movimientos!$D$6:$D$505,""&gt;""&amp;prevDate,Movimientos!$D$6:$D$505,""&lt;=""&amp;A264,Movimi"&amp;"entos!$E$6:$E$505,TRUE)+SUMIFS(Movimientos!$B$6:$B$505,Movimientos!$D$6:$D$505,""&gt;""&amp;prevDate,Movimientos!$D$6:$D$505,""&lt;=""&amp;A264,Movimientos!$C$6:$C$505,""Fecha inferida*""),net,B264-flow,IF(OR(gap&lt;1,unknown&gt;0,prevValue&lt;=0,net&lt;=0),"""",(POWER(net/prevVal"&amp;"ue,1/gap)-1)*100)),""""))"),"")</f>
        <v/>
      </c>
      <c r="E264" s="95" t="str">
        <f t="shared" si="1"/>
        <v/>
      </c>
    </row>
    <row r="265" spans="1:5" x14ac:dyDescent="0.25">
      <c r="A265" s="92">
        <v>46286</v>
      </c>
      <c r="B265" s="93" t="str">
        <f>IF(Diario!B269="","",Diario!B269)</f>
        <v/>
      </c>
      <c r="C265" s="93">
        <f>SUMIFS(Movimientos!$B$6:$B$505,Movimientos!$D$6:$D$505,A265,Movimientos!$E$6:$E$505,TRUE)</f>
        <v>0</v>
      </c>
      <c r="D265" s="94" t="str">
        <f ca="1">IFERROR(__xludf.DUMMYFUNCTION("IF(OR(B265="""",A265&gt;TODAY(),E265=""Histórico mensual"",E265=""Base diaria""),"""",IFERROR(LET(prevDate,MAX(FILTER($A$2:A264,$B$2:B264&lt;&gt;"""",$A$2:A264&lt;A265)),prevValue,XLOOKUP(prevDate,$A$2:A264,$B$2:B264),gap,A265-prevDate,unknown,COUNTIFS(Movimientos!$D"&amp;"$6:$D$505,""&gt;""&amp;prevDate,Movimientos!$D$6:$D$505,""&lt;=""&amp;A265,Movimientos!$E$6:$E$505,FALSE,Movimientos!$C$6:$C$505,""&lt;&gt;Fecha inferida*""),flow,SUMIFS(Movimientos!$B$6:$B$505,Movimientos!$D$6:$D$505,""&gt;""&amp;prevDate,Movimientos!$D$6:$D$505,""&lt;=""&amp;A265,Movimi"&amp;"entos!$E$6:$E$505,TRUE)+SUMIFS(Movimientos!$B$6:$B$505,Movimientos!$D$6:$D$505,""&gt;""&amp;prevDate,Movimientos!$D$6:$D$505,""&lt;=""&amp;A265,Movimientos!$C$6:$C$505,""Fecha inferida*""),net,B265-flow,IF(OR(gap&lt;1,unknown&gt;0,prevValue&lt;=0,net&lt;=0),"""",(POWER(net/prevVal"&amp;"ue,1/gap)-1)*100)),""""))"),"")</f>
        <v/>
      </c>
      <c r="E265" s="95" t="str">
        <f t="shared" si="1"/>
        <v/>
      </c>
    </row>
    <row r="266" spans="1:5" x14ac:dyDescent="0.25">
      <c r="A266" s="92">
        <v>46287</v>
      </c>
      <c r="B266" s="93" t="str">
        <f>IF(Diario!B270="","",Diario!B270)</f>
        <v/>
      </c>
      <c r="C266" s="93">
        <f>SUMIFS(Movimientos!$B$6:$B$505,Movimientos!$D$6:$D$505,A266,Movimientos!$E$6:$E$505,TRUE)</f>
        <v>0</v>
      </c>
      <c r="D266" s="94" t="str">
        <f ca="1">IFERROR(__xludf.DUMMYFUNCTION("IF(OR(B266="""",A266&gt;TODAY(),E266=""Histórico mensual"",E266=""Base diaria""),"""",IFERROR(LET(prevDate,MAX(FILTER($A$2:A265,$B$2:B265&lt;&gt;"""",$A$2:A265&lt;A266)),prevValue,XLOOKUP(prevDate,$A$2:A265,$B$2:B265),gap,A266-prevDate,unknown,COUNTIFS(Movimientos!$D"&amp;"$6:$D$505,""&gt;""&amp;prevDate,Movimientos!$D$6:$D$505,""&lt;=""&amp;A266,Movimientos!$E$6:$E$505,FALSE,Movimientos!$C$6:$C$505,""&lt;&gt;Fecha inferida*""),flow,SUMIFS(Movimientos!$B$6:$B$505,Movimientos!$D$6:$D$505,""&gt;""&amp;prevDate,Movimientos!$D$6:$D$505,""&lt;=""&amp;A266,Movimi"&amp;"entos!$E$6:$E$505,TRUE)+SUMIFS(Movimientos!$B$6:$B$505,Movimientos!$D$6:$D$505,""&gt;""&amp;prevDate,Movimientos!$D$6:$D$505,""&lt;=""&amp;A266,Movimientos!$C$6:$C$505,""Fecha inferida*""),net,B266-flow,IF(OR(gap&lt;1,unknown&gt;0,prevValue&lt;=0,net&lt;=0),"""",(POWER(net/prevVal"&amp;"ue,1/gap)-1)*100)),""""))"),"")</f>
        <v/>
      </c>
      <c r="E266" s="95" t="str">
        <f t="shared" si="1"/>
        <v/>
      </c>
    </row>
    <row r="267" spans="1:5" x14ac:dyDescent="0.25">
      <c r="A267" s="92">
        <v>46288</v>
      </c>
      <c r="B267" s="93" t="str">
        <f>IF(Diario!B271="","",Diario!B271)</f>
        <v/>
      </c>
      <c r="C267" s="93">
        <f>SUMIFS(Movimientos!$B$6:$B$505,Movimientos!$D$6:$D$505,A267,Movimientos!$E$6:$E$505,TRUE)</f>
        <v>0</v>
      </c>
      <c r="D267" s="94" t="str">
        <f ca="1">IFERROR(__xludf.DUMMYFUNCTION("IF(OR(B267="""",A267&gt;TODAY(),E267=""Histórico mensual"",E267=""Base diaria""),"""",IFERROR(LET(prevDate,MAX(FILTER($A$2:A266,$B$2:B266&lt;&gt;"""",$A$2:A266&lt;A267)),prevValue,XLOOKUP(prevDate,$A$2:A266,$B$2:B266),gap,A267-prevDate,unknown,COUNTIFS(Movimientos!$D"&amp;"$6:$D$505,""&gt;""&amp;prevDate,Movimientos!$D$6:$D$505,""&lt;=""&amp;A267,Movimientos!$E$6:$E$505,FALSE,Movimientos!$C$6:$C$505,""&lt;&gt;Fecha inferida*""),flow,SUMIFS(Movimientos!$B$6:$B$505,Movimientos!$D$6:$D$505,""&gt;""&amp;prevDate,Movimientos!$D$6:$D$505,""&lt;=""&amp;A267,Movimi"&amp;"entos!$E$6:$E$505,TRUE)+SUMIFS(Movimientos!$B$6:$B$505,Movimientos!$D$6:$D$505,""&gt;""&amp;prevDate,Movimientos!$D$6:$D$505,""&lt;=""&amp;A267,Movimientos!$C$6:$C$505,""Fecha inferida*""),net,B267-flow,IF(OR(gap&lt;1,unknown&gt;0,prevValue&lt;=0,net&lt;=0),"""",(POWER(net/prevVal"&amp;"ue,1/gap)-1)*100)),""""))"),"")</f>
        <v/>
      </c>
      <c r="E267" s="95" t="str">
        <f t="shared" si="1"/>
        <v/>
      </c>
    </row>
    <row r="268" spans="1:5" x14ac:dyDescent="0.25">
      <c r="A268" s="92">
        <v>46289</v>
      </c>
      <c r="B268" s="93" t="str">
        <f>IF(Diario!B272="","",Diario!B272)</f>
        <v/>
      </c>
      <c r="C268" s="93">
        <f>SUMIFS(Movimientos!$B$6:$B$505,Movimientos!$D$6:$D$505,A268,Movimientos!$E$6:$E$505,TRUE)</f>
        <v>0</v>
      </c>
      <c r="D268" s="94" t="str">
        <f ca="1">IFERROR(__xludf.DUMMYFUNCTION("IF(OR(B268="""",A268&gt;TODAY(),E268=""Histórico mensual"",E268=""Base diaria""),"""",IFERROR(LET(prevDate,MAX(FILTER($A$2:A267,$B$2:B267&lt;&gt;"""",$A$2:A267&lt;A268)),prevValue,XLOOKUP(prevDate,$A$2:A267,$B$2:B267),gap,A268-prevDate,unknown,COUNTIFS(Movimientos!$D"&amp;"$6:$D$505,""&gt;""&amp;prevDate,Movimientos!$D$6:$D$505,""&lt;=""&amp;A268,Movimientos!$E$6:$E$505,FALSE,Movimientos!$C$6:$C$505,""&lt;&gt;Fecha inferida*""),flow,SUMIFS(Movimientos!$B$6:$B$505,Movimientos!$D$6:$D$505,""&gt;""&amp;prevDate,Movimientos!$D$6:$D$505,""&lt;=""&amp;A268,Movimi"&amp;"entos!$E$6:$E$505,TRUE)+SUMIFS(Movimientos!$B$6:$B$505,Movimientos!$D$6:$D$505,""&gt;""&amp;prevDate,Movimientos!$D$6:$D$505,""&lt;=""&amp;A268,Movimientos!$C$6:$C$505,""Fecha inferida*""),net,B268-flow,IF(OR(gap&lt;1,unknown&gt;0,prevValue&lt;=0,net&lt;=0),"""",(POWER(net/prevVal"&amp;"ue,1/gap)-1)*100)),""""))"),"")</f>
        <v/>
      </c>
      <c r="E268" s="95" t="str">
        <f t="shared" si="1"/>
        <v/>
      </c>
    </row>
    <row r="269" spans="1:5" x14ac:dyDescent="0.25">
      <c r="A269" s="92">
        <v>46290</v>
      </c>
      <c r="B269" s="93" t="str">
        <f>IF(Diario!B273="","",Diario!B273)</f>
        <v/>
      </c>
      <c r="C269" s="93">
        <f>SUMIFS(Movimientos!$B$6:$B$505,Movimientos!$D$6:$D$505,A269,Movimientos!$E$6:$E$505,TRUE)</f>
        <v>0</v>
      </c>
      <c r="D269" s="94" t="str">
        <f ca="1">IFERROR(__xludf.DUMMYFUNCTION("IF(OR(B269="""",A269&gt;TODAY(),E269=""Histórico mensual"",E269=""Base diaria""),"""",IFERROR(LET(prevDate,MAX(FILTER($A$2:A268,$B$2:B268&lt;&gt;"""",$A$2:A268&lt;A269)),prevValue,XLOOKUP(prevDate,$A$2:A268,$B$2:B268),gap,A269-prevDate,unknown,COUNTIFS(Movimientos!$D"&amp;"$6:$D$505,""&gt;""&amp;prevDate,Movimientos!$D$6:$D$505,""&lt;=""&amp;A269,Movimientos!$E$6:$E$505,FALSE,Movimientos!$C$6:$C$505,""&lt;&gt;Fecha inferida*""),flow,SUMIFS(Movimientos!$B$6:$B$505,Movimientos!$D$6:$D$505,""&gt;""&amp;prevDate,Movimientos!$D$6:$D$505,""&lt;=""&amp;A269,Movimi"&amp;"entos!$E$6:$E$505,TRUE)+SUMIFS(Movimientos!$B$6:$B$505,Movimientos!$D$6:$D$505,""&gt;""&amp;prevDate,Movimientos!$D$6:$D$505,""&lt;=""&amp;A269,Movimientos!$C$6:$C$505,""Fecha inferida*""),net,B269-flow,IF(OR(gap&lt;1,unknown&gt;0,prevValue&lt;=0,net&lt;=0),"""",(POWER(net/prevVal"&amp;"ue,1/gap)-1)*100)),""""))"),"")</f>
        <v/>
      </c>
      <c r="E269" s="95" t="str">
        <f t="shared" si="1"/>
        <v/>
      </c>
    </row>
    <row r="270" spans="1:5" x14ac:dyDescent="0.25">
      <c r="A270" s="92">
        <v>46291</v>
      </c>
      <c r="B270" s="93" t="str">
        <f>IF(Diario!B274="","",Diario!B274)</f>
        <v/>
      </c>
      <c r="C270" s="93">
        <f>SUMIFS(Movimientos!$B$6:$B$505,Movimientos!$D$6:$D$505,A270,Movimientos!$E$6:$E$505,TRUE)</f>
        <v>0</v>
      </c>
      <c r="D270" s="94" t="str">
        <f ca="1">IFERROR(__xludf.DUMMYFUNCTION("IF(OR(B270="""",A270&gt;TODAY(),E270=""Histórico mensual"",E270=""Base diaria""),"""",IFERROR(LET(prevDate,MAX(FILTER($A$2:A269,$B$2:B269&lt;&gt;"""",$A$2:A269&lt;A270)),prevValue,XLOOKUP(prevDate,$A$2:A269,$B$2:B269),gap,A270-prevDate,unknown,COUNTIFS(Movimientos!$D"&amp;"$6:$D$505,""&gt;""&amp;prevDate,Movimientos!$D$6:$D$505,""&lt;=""&amp;A270,Movimientos!$E$6:$E$505,FALSE,Movimientos!$C$6:$C$505,""&lt;&gt;Fecha inferida*""),flow,SUMIFS(Movimientos!$B$6:$B$505,Movimientos!$D$6:$D$505,""&gt;""&amp;prevDate,Movimientos!$D$6:$D$505,""&lt;=""&amp;A270,Movimi"&amp;"entos!$E$6:$E$505,TRUE)+SUMIFS(Movimientos!$B$6:$B$505,Movimientos!$D$6:$D$505,""&gt;""&amp;prevDate,Movimientos!$D$6:$D$505,""&lt;=""&amp;A270,Movimientos!$C$6:$C$505,""Fecha inferida*""),net,B270-flow,IF(OR(gap&lt;1,unknown&gt;0,prevValue&lt;=0,net&lt;=0),"""",(POWER(net/prevVal"&amp;"ue,1/gap)-1)*100)),""""))"),"")</f>
        <v/>
      </c>
      <c r="E270" s="95" t="str">
        <f t="shared" si="1"/>
        <v/>
      </c>
    </row>
    <row r="271" spans="1:5" x14ac:dyDescent="0.25">
      <c r="A271" s="92">
        <v>46292</v>
      </c>
      <c r="B271" s="93" t="str">
        <f>IF(Diario!B275="","",Diario!B275)</f>
        <v/>
      </c>
      <c r="C271" s="93">
        <f>SUMIFS(Movimientos!$B$6:$B$505,Movimientos!$D$6:$D$505,A271,Movimientos!$E$6:$E$505,TRUE)</f>
        <v>0</v>
      </c>
      <c r="D271" s="94" t="str">
        <f ca="1">IFERROR(__xludf.DUMMYFUNCTION("IF(OR(B271="""",A271&gt;TODAY(),E271=""Histórico mensual"",E271=""Base diaria""),"""",IFERROR(LET(prevDate,MAX(FILTER($A$2:A270,$B$2:B270&lt;&gt;"""",$A$2:A270&lt;A271)),prevValue,XLOOKUP(prevDate,$A$2:A270,$B$2:B270),gap,A271-prevDate,unknown,COUNTIFS(Movimientos!$D"&amp;"$6:$D$505,""&gt;""&amp;prevDate,Movimientos!$D$6:$D$505,""&lt;=""&amp;A271,Movimientos!$E$6:$E$505,FALSE,Movimientos!$C$6:$C$505,""&lt;&gt;Fecha inferida*""),flow,SUMIFS(Movimientos!$B$6:$B$505,Movimientos!$D$6:$D$505,""&gt;""&amp;prevDate,Movimientos!$D$6:$D$505,""&lt;=""&amp;A271,Movimi"&amp;"entos!$E$6:$E$505,TRUE)+SUMIFS(Movimientos!$B$6:$B$505,Movimientos!$D$6:$D$505,""&gt;""&amp;prevDate,Movimientos!$D$6:$D$505,""&lt;=""&amp;A271,Movimientos!$C$6:$C$505,""Fecha inferida*""),net,B271-flow,IF(OR(gap&lt;1,unknown&gt;0,prevValue&lt;=0,net&lt;=0),"""",(POWER(net/prevVal"&amp;"ue,1/gap)-1)*100)),""""))"),"")</f>
        <v/>
      </c>
      <c r="E271" s="95" t="str">
        <f t="shared" si="1"/>
        <v/>
      </c>
    </row>
    <row r="272" spans="1:5" x14ac:dyDescent="0.25">
      <c r="A272" s="92">
        <v>46293</v>
      </c>
      <c r="B272" s="93" t="str">
        <f>IF(Diario!B276="","",Diario!B276)</f>
        <v/>
      </c>
      <c r="C272" s="93">
        <f>SUMIFS(Movimientos!$B$6:$B$505,Movimientos!$D$6:$D$505,A272,Movimientos!$E$6:$E$505,TRUE)</f>
        <v>0</v>
      </c>
      <c r="D272" s="94" t="str">
        <f ca="1">IFERROR(__xludf.DUMMYFUNCTION("IF(OR(B272="""",A272&gt;TODAY(),E272=""Histórico mensual"",E272=""Base diaria""),"""",IFERROR(LET(prevDate,MAX(FILTER($A$2:A271,$B$2:B271&lt;&gt;"""",$A$2:A271&lt;A272)),prevValue,XLOOKUP(prevDate,$A$2:A271,$B$2:B271),gap,A272-prevDate,unknown,COUNTIFS(Movimientos!$D"&amp;"$6:$D$505,""&gt;""&amp;prevDate,Movimientos!$D$6:$D$505,""&lt;=""&amp;A272,Movimientos!$E$6:$E$505,FALSE,Movimientos!$C$6:$C$505,""&lt;&gt;Fecha inferida*""),flow,SUMIFS(Movimientos!$B$6:$B$505,Movimientos!$D$6:$D$505,""&gt;""&amp;prevDate,Movimientos!$D$6:$D$505,""&lt;=""&amp;A272,Movimi"&amp;"entos!$E$6:$E$505,TRUE)+SUMIFS(Movimientos!$B$6:$B$505,Movimientos!$D$6:$D$505,""&gt;""&amp;prevDate,Movimientos!$D$6:$D$505,""&lt;=""&amp;A272,Movimientos!$C$6:$C$505,""Fecha inferida*""),net,B272-flow,IF(OR(gap&lt;1,unknown&gt;0,prevValue&lt;=0,net&lt;=0),"""",(POWER(net/prevVal"&amp;"ue,1/gap)-1)*100)),""""))"),"")</f>
        <v/>
      </c>
      <c r="E272" s="95" t="str">
        <f t="shared" si="1"/>
        <v/>
      </c>
    </row>
    <row r="273" spans="1:5" x14ac:dyDescent="0.25">
      <c r="A273" s="92">
        <v>46294</v>
      </c>
      <c r="B273" s="93" t="str">
        <f>IF(Diario!B277="","",Diario!B277)</f>
        <v/>
      </c>
      <c r="C273" s="93">
        <f>SUMIFS(Movimientos!$B$6:$B$505,Movimientos!$D$6:$D$505,A273,Movimientos!$E$6:$E$505,TRUE)</f>
        <v>0</v>
      </c>
      <c r="D273" s="94" t="str">
        <f ca="1">IFERROR(__xludf.DUMMYFUNCTION("IF(OR(B273="""",A273&gt;TODAY(),E273=""Histórico mensual"",E273=""Base diaria""),"""",IFERROR(LET(prevDate,MAX(FILTER($A$2:A272,$B$2:B272&lt;&gt;"""",$A$2:A272&lt;A273)),prevValue,XLOOKUP(prevDate,$A$2:A272,$B$2:B272),gap,A273-prevDate,unknown,COUNTIFS(Movimientos!$D"&amp;"$6:$D$505,""&gt;""&amp;prevDate,Movimientos!$D$6:$D$505,""&lt;=""&amp;A273,Movimientos!$E$6:$E$505,FALSE,Movimientos!$C$6:$C$505,""&lt;&gt;Fecha inferida*""),flow,SUMIFS(Movimientos!$B$6:$B$505,Movimientos!$D$6:$D$505,""&gt;""&amp;prevDate,Movimientos!$D$6:$D$505,""&lt;=""&amp;A273,Movimi"&amp;"entos!$E$6:$E$505,TRUE)+SUMIFS(Movimientos!$B$6:$B$505,Movimientos!$D$6:$D$505,""&gt;""&amp;prevDate,Movimientos!$D$6:$D$505,""&lt;=""&amp;A273,Movimientos!$C$6:$C$505,""Fecha inferida*""),net,B273-flow,IF(OR(gap&lt;1,unknown&gt;0,prevValue&lt;=0,net&lt;=0),"""",(POWER(net/prevVal"&amp;"ue,1/gap)-1)*100)),""""))"),"")</f>
        <v/>
      </c>
      <c r="E273" s="95" t="str">
        <f t="shared" si="1"/>
        <v/>
      </c>
    </row>
    <row r="274" spans="1:5" x14ac:dyDescent="0.25">
      <c r="A274" s="92">
        <v>46295</v>
      </c>
      <c r="B274" s="93" t="str">
        <f>IF(Diario!B278="","",Diario!B278)</f>
        <v/>
      </c>
      <c r="C274" s="93">
        <f>SUMIFS(Movimientos!$B$6:$B$505,Movimientos!$D$6:$D$505,A274,Movimientos!$E$6:$E$505,TRUE)</f>
        <v>0</v>
      </c>
      <c r="D274" s="94" t="str">
        <f ca="1">IFERROR(__xludf.DUMMYFUNCTION("IF(OR(B274="""",A274&gt;TODAY(),E274=""Histórico mensual"",E274=""Base diaria""),"""",IFERROR(LET(prevDate,MAX(FILTER($A$2:A273,$B$2:B273&lt;&gt;"""",$A$2:A273&lt;A274)),prevValue,XLOOKUP(prevDate,$A$2:A273,$B$2:B273),gap,A274-prevDate,unknown,COUNTIFS(Movimientos!$D"&amp;"$6:$D$505,""&gt;""&amp;prevDate,Movimientos!$D$6:$D$505,""&lt;=""&amp;A274,Movimientos!$E$6:$E$505,FALSE,Movimientos!$C$6:$C$505,""&lt;&gt;Fecha inferida*""),flow,SUMIFS(Movimientos!$B$6:$B$505,Movimientos!$D$6:$D$505,""&gt;""&amp;prevDate,Movimientos!$D$6:$D$505,""&lt;=""&amp;A274,Movimi"&amp;"entos!$E$6:$E$505,TRUE)+SUMIFS(Movimientos!$B$6:$B$505,Movimientos!$D$6:$D$505,""&gt;""&amp;prevDate,Movimientos!$D$6:$D$505,""&lt;=""&amp;A274,Movimientos!$C$6:$C$505,""Fecha inferida*""),net,B274-flow,IF(OR(gap&lt;1,unknown&gt;0,prevValue&lt;=0,net&lt;=0),"""",(POWER(net/prevVal"&amp;"ue,1/gap)-1)*100)),""""))"),"")</f>
        <v/>
      </c>
      <c r="E274" s="95" t="str">
        <f t="shared" si="1"/>
        <v/>
      </c>
    </row>
    <row r="275" spans="1:5" x14ac:dyDescent="0.25">
      <c r="A275" s="92">
        <v>46296</v>
      </c>
      <c r="B275" s="93" t="str">
        <f>IF(Diario!B279="","",Diario!B279)</f>
        <v/>
      </c>
      <c r="C275" s="93">
        <f>SUMIFS(Movimientos!$B$6:$B$505,Movimientos!$D$6:$D$505,A275,Movimientos!$E$6:$E$505,TRUE)</f>
        <v>0</v>
      </c>
      <c r="D275" s="94" t="str">
        <f ca="1">IFERROR(__xludf.DUMMYFUNCTION("IF(OR(B275="""",A275&gt;TODAY(),E275=""Histórico mensual"",E275=""Base diaria""),"""",IFERROR(LET(prevDate,MAX(FILTER($A$2:A274,$B$2:B274&lt;&gt;"""",$A$2:A274&lt;A275)),prevValue,XLOOKUP(prevDate,$A$2:A274,$B$2:B274),gap,A275-prevDate,unknown,COUNTIFS(Movimientos!$D"&amp;"$6:$D$505,""&gt;""&amp;prevDate,Movimientos!$D$6:$D$505,""&lt;=""&amp;A275,Movimientos!$E$6:$E$505,FALSE,Movimientos!$C$6:$C$505,""&lt;&gt;Fecha inferida*""),flow,SUMIFS(Movimientos!$B$6:$B$505,Movimientos!$D$6:$D$505,""&gt;""&amp;prevDate,Movimientos!$D$6:$D$505,""&lt;=""&amp;A275,Movimi"&amp;"entos!$E$6:$E$505,TRUE)+SUMIFS(Movimientos!$B$6:$B$505,Movimientos!$D$6:$D$505,""&gt;""&amp;prevDate,Movimientos!$D$6:$D$505,""&lt;=""&amp;A275,Movimientos!$C$6:$C$505,""Fecha inferida*""),net,B275-flow,IF(OR(gap&lt;1,unknown&gt;0,prevValue&lt;=0,net&lt;=0),"""",(POWER(net/prevVal"&amp;"ue,1/gap)-1)*100)),""""))"),"")</f>
        <v/>
      </c>
      <c r="E275" s="95" t="str">
        <f t="shared" si="1"/>
        <v/>
      </c>
    </row>
    <row r="276" spans="1:5" x14ac:dyDescent="0.25">
      <c r="A276" s="92">
        <v>46297</v>
      </c>
      <c r="B276" s="93" t="str">
        <f>IF(Diario!B280="","",Diario!B280)</f>
        <v/>
      </c>
      <c r="C276" s="93">
        <f>SUMIFS(Movimientos!$B$6:$B$505,Movimientos!$D$6:$D$505,A276,Movimientos!$E$6:$E$505,TRUE)</f>
        <v>0</v>
      </c>
      <c r="D276" s="94" t="str">
        <f ca="1">IFERROR(__xludf.DUMMYFUNCTION("IF(OR(B276="""",A276&gt;TODAY(),E276=""Histórico mensual"",E276=""Base diaria""),"""",IFERROR(LET(prevDate,MAX(FILTER($A$2:A275,$B$2:B275&lt;&gt;"""",$A$2:A275&lt;A276)),prevValue,XLOOKUP(prevDate,$A$2:A275,$B$2:B275),gap,A276-prevDate,unknown,COUNTIFS(Movimientos!$D"&amp;"$6:$D$505,""&gt;""&amp;prevDate,Movimientos!$D$6:$D$505,""&lt;=""&amp;A276,Movimientos!$E$6:$E$505,FALSE,Movimientos!$C$6:$C$505,""&lt;&gt;Fecha inferida*""),flow,SUMIFS(Movimientos!$B$6:$B$505,Movimientos!$D$6:$D$505,""&gt;""&amp;prevDate,Movimientos!$D$6:$D$505,""&lt;=""&amp;A276,Movimi"&amp;"entos!$E$6:$E$505,TRUE)+SUMIFS(Movimientos!$B$6:$B$505,Movimientos!$D$6:$D$505,""&gt;""&amp;prevDate,Movimientos!$D$6:$D$505,""&lt;=""&amp;A276,Movimientos!$C$6:$C$505,""Fecha inferida*""),net,B276-flow,IF(OR(gap&lt;1,unknown&gt;0,prevValue&lt;=0,net&lt;=0),"""",(POWER(net/prevVal"&amp;"ue,1/gap)-1)*100)),""""))"),"")</f>
        <v/>
      </c>
      <c r="E276" s="95" t="str">
        <f t="shared" si="1"/>
        <v/>
      </c>
    </row>
    <row r="277" spans="1:5" x14ac:dyDescent="0.25">
      <c r="A277" s="92">
        <v>46298</v>
      </c>
      <c r="B277" s="93" t="str">
        <f>IF(Diario!B281="","",Diario!B281)</f>
        <v/>
      </c>
      <c r="C277" s="93">
        <f>SUMIFS(Movimientos!$B$6:$B$505,Movimientos!$D$6:$D$505,A277,Movimientos!$E$6:$E$505,TRUE)</f>
        <v>0</v>
      </c>
      <c r="D277" s="94" t="str">
        <f ca="1">IFERROR(__xludf.DUMMYFUNCTION("IF(OR(B277="""",A277&gt;TODAY(),E277=""Histórico mensual"",E277=""Base diaria""),"""",IFERROR(LET(prevDate,MAX(FILTER($A$2:A276,$B$2:B276&lt;&gt;"""",$A$2:A276&lt;A277)),prevValue,XLOOKUP(prevDate,$A$2:A276,$B$2:B276),gap,A277-prevDate,unknown,COUNTIFS(Movimientos!$D"&amp;"$6:$D$505,""&gt;""&amp;prevDate,Movimientos!$D$6:$D$505,""&lt;=""&amp;A277,Movimientos!$E$6:$E$505,FALSE,Movimientos!$C$6:$C$505,""&lt;&gt;Fecha inferida*""),flow,SUMIFS(Movimientos!$B$6:$B$505,Movimientos!$D$6:$D$505,""&gt;""&amp;prevDate,Movimientos!$D$6:$D$505,""&lt;=""&amp;A277,Movimi"&amp;"entos!$E$6:$E$505,TRUE)+SUMIFS(Movimientos!$B$6:$B$505,Movimientos!$D$6:$D$505,""&gt;""&amp;prevDate,Movimientos!$D$6:$D$505,""&lt;=""&amp;A277,Movimientos!$C$6:$C$505,""Fecha inferida*""),net,B277-flow,IF(OR(gap&lt;1,unknown&gt;0,prevValue&lt;=0,net&lt;=0),"""",(POWER(net/prevVal"&amp;"ue,1/gap)-1)*100)),""""))"),"")</f>
        <v/>
      </c>
      <c r="E277" s="95" t="str">
        <f t="shared" si="1"/>
        <v/>
      </c>
    </row>
    <row r="278" spans="1:5" x14ac:dyDescent="0.25">
      <c r="A278" s="92">
        <v>46299</v>
      </c>
      <c r="B278" s="93" t="str">
        <f>IF(Diario!B282="","",Diario!B282)</f>
        <v/>
      </c>
      <c r="C278" s="93">
        <f>SUMIFS(Movimientos!$B$6:$B$505,Movimientos!$D$6:$D$505,A278,Movimientos!$E$6:$E$505,TRUE)</f>
        <v>0</v>
      </c>
      <c r="D278" s="94" t="str">
        <f ca="1">IFERROR(__xludf.DUMMYFUNCTION("IF(OR(B278="""",A278&gt;TODAY(),E278=""Histórico mensual"",E278=""Base diaria""),"""",IFERROR(LET(prevDate,MAX(FILTER($A$2:A277,$B$2:B277&lt;&gt;"""",$A$2:A277&lt;A278)),prevValue,XLOOKUP(prevDate,$A$2:A277,$B$2:B277),gap,A278-prevDate,unknown,COUNTIFS(Movimientos!$D"&amp;"$6:$D$505,""&gt;""&amp;prevDate,Movimientos!$D$6:$D$505,""&lt;=""&amp;A278,Movimientos!$E$6:$E$505,FALSE,Movimientos!$C$6:$C$505,""&lt;&gt;Fecha inferida*""),flow,SUMIFS(Movimientos!$B$6:$B$505,Movimientos!$D$6:$D$505,""&gt;""&amp;prevDate,Movimientos!$D$6:$D$505,""&lt;=""&amp;A278,Movimi"&amp;"entos!$E$6:$E$505,TRUE)+SUMIFS(Movimientos!$B$6:$B$505,Movimientos!$D$6:$D$505,""&gt;""&amp;prevDate,Movimientos!$D$6:$D$505,""&lt;=""&amp;A278,Movimientos!$C$6:$C$505,""Fecha inferida*""),net,B278-flow,IF(OR(gap&lt;1,unknown&gt;0,prevValue&lt;=0,net&lt;=0),"""",(POWER(net/prevVal"&amp;"ue,1/gap)-1)*100)),""""))"),"")</f>
        <v/>
      </c>
      <c r="E278" s="95" t="str">
        <f t="shared" si="1"/>
        <v/>
      </c>
    </row>
    <row r="279" spans="1:5" x14ac:dyDescent="0.25">
      <c r="A279" s="92">
        <v>46300</v>
      </c>
      <c r="B279" s="93" t="str">
        <f>IF(Diario!B283="","",Diario!B283)</f>
        <v/>
      </c>
      <c r="C279" s="93">
        <f>SUMIFS(Movimientos!$B$6:$B$505,Movimientos!$D$6:$D$505,A279,Movimientos!$E$6:$E$505,TRUE)</f>
        <v>0</v>
      </c>
      <c r="D279" s="94" t="str">
        <f ca="1">IFERROR(__xludf.DUMMYFUNCTION("IF(OR(B279="""",A279&gt;TODAY(),E279=""Histórico mensual"",E279=""Base diaria""),"""",IFERROR(LET(prevDate,MAX(FILTER($A$2:A278,$B$2:B278&lt;&gt;"""",$A$2:A278&lt;A279)),prevValue,XLOOKUP(prevDate,$A$2:A278,$B$2:B278),gap,A279-prevDate,unknown,COUNTIFS(Movimientos!$D"&amp;"$6:$D$505,""&gt;""&amp;prevDate,Movimientos!$D$6:$D$505,""&lt;=""&amp;A279,Movimientos!$E$6:$E$505,FALSE,Movimientos!$C$6:$C$505,""&lt;&gt;Fecha inferida*""),flow,SUMIFS(Movimientos!$B$6:$B$505,Movimientos!$D$6:$D$505,""&gt;""&amp;prevDate,Movimientos!$D$6:$D$505,""&lt;=""&amp;A279,Movimi"&amp;"entos!$E$6:$E$505,TRUE)+SUMIFS(Movimientos!$B$6:$B$505,Movimientos!$D$6:$D$505,""&gt;""&amp;prevDate,Movimientos!$D$6:$D$505,""&lt;=""&amp;A279,Movimientos!$C$6:$C$505,""Fecha inferida*""),net,B279-flow,IF(OR(gap&lt;1,unknown&gt;0,prevValue&lt;=0,net&lt;=0),"""",(POWER(net/prevVal"&amp;"ue,1/gap)-1)*100)),""""))"),"")</f>
        <v/>
      </c>
      <c r="E279" s="95" t="str">
        <f t="shared" si="1"/>
        <v/>
      </c>
    </row>
    <row r="280" spans="1:5" x14ac:dyDescent="0.25">
      <c r="A280" s="92">
        <v>46301</v>
      </c>
      <c r="B280" s="93" t="str">
        <f>IF(Diario!B284="","",Diario!B284)</f>
        <v/>
      </c>
      <c r="C280" s="93">
        <f>SUMIFS(Movimientos!$B$6:$B$505,Movimientos!$D$6:$D$505,A280,Movimientos!$E$6:$E$505,TRUE)</f>
        <v>0</v>
      </c>
      <c r="D280" s="94" t="str">
        <f ca="1">IFERROR(__xludf.DUMMYFUNCTION("IF(OR(B280="""",A280&gt;TODAY(),E280=""Histórico mensual"",E280=""Base diaria""),"""",IFERROR(LET(prevDate,MAX(FILTER($A$2:A279,$B$2:B279&lt;&gt;"""",$A$2:A279&lt;A280)),prevValue,XLOOKUP(prevDate,$A$2:A279,$B$2:B279),gap,A280-prevDate,unknown,COUNTIFS(Movimientos!$D"&amp;"$6:$D$505,""&gt;""&amp;prevDate,Movimientos!$D$6:$D$505,""&lt;=""&amp;A280,Movimientos!$E$6:$E$505,FALSE,Movimientos!$C$6:$C$505,""&lt;&gt;Fecha inferida*""),flow,SUMIFS(Movimientos!$B$6:$B$505,Movimientos!$D$6:$D$505,""&gt;""&amp;prevDate,Movimientos!$D$6:$D$505,""&lt;=""&amp;A280,Movimi"&amp;"entos!$E$6:$E$505,TRUE)+SUMIFS(Movimientos!$B$6:$B$505,Movimientos!$D$6:$D$505,""&gt;""&amp;prevDate,Movimientos!$D$6:$D$505,""&lt;=""&amp;A280,Movimientos!$C$6:$C$505,""Fecha inferida*""),net,B280-flow,IF(OR(gap&lt;1,unknown&gt;0,prevValue&lt;=0,net&lt;=0),"""",(POWER(net/prevVal"&amp;"ue,1/gap)-1)*100)),""""))"),"")</f>
        <v/>
      </c>
      <c r="E280" s="95" t="str">
        <f t="shared" si="1"/>
        <v/>
      </c>
    </row>
    <row r="281" spans="1:5" x14ac:dyDescent="0.25">
      <c r="A281" s="92">
        <v>46302</v>
      </c>
      <c r="B281" s="93" t="str">
        <f>IF(Diario!B285="","",Diario!B285)</f>
        <v/>
      </c>
      <c r="C281" s="93">
        <f>SUMIFS(Movimientos!$B$6:$B$505,Movimientos!$D$6:$D$505,A281,Movimientos!$E$6:$E$505,TRUE)</f>
        <v>0</v>
      </c>
      <c r="D281" s="94" t="str">
        <f ca="1">IFERROR(__xludf.DUMMYFUNCTION("IF(OR(B281="""",A281&gt;TODAY(),E281=""Histórico mensual"",E281=""Base diaria""),"""",IFERROR(LET(prevDate,MAX(FILTER($A$2:A280,$B$2:B280&lt;&gt;"""",$A$2:A280&lt;A281)),prevValue,XLOOKUP(prevDate,$A$2:A280,$B$2:B280),gap,A281-prevDate,unknown,COUNTIFS(Movimientos!$D"&amp;"$6:$D$505,""&gt;""&amp;prevDate,Movimientos!$D$6:$D$505,""&lt;=""&amp;A281,Movimientos!$E$6:$E$505,FALSE,Movimientos!$C$6:$C$505,""&lt;&gt;Fecha inferida*""),flow,SUMIFS(Movimientos!$B$6:$B$505,Movimientos!$D$6:$D$505,""&gt;""&amp;prevDate,Movimientos!$D$6:$D$505,""&lt;=""&amp;A281,Movimi"&amp;"entos!$E$6:$E$505,TRUE)+SUMIFS(Movimientos!$B$6:$B$505,Movimientos!$D$6:$D$505,""&gt;""&amp;prevDate,Movimientos!$D$6:$D$505,""&lt;=""&amp;A281,Movimientos!$C$6:$C$505,""Fecha inferida*""),net,B281-flow,IF(OR(gap&lt;1,unknown&gt;0,prevValue&lt;=0,net&lt;=0),"""",(POWER(net/prevVal"&amp;"ue,1/gap)-1)*100)),""""))"),"")</f>
        <v/>
      </c>
      <c r="E281" s="95" t="str">
        <f t="shared" si="1"/>
        <v/>
      </c>
    </row>
    <row r="282" spans="1:5" x14ac:dyDescent="0.25">
      <c r="A282" s="92">
        <v>46303</v>
      </c>
      <c r="B282" s="93" t="str">
        <f>IF(Diario!B286="","",Diario!B286)</f>
        <v/>
      </c>
      <c r="C282" s="93">
        <f>SUMIFS(Movimientos!$B$6:$B$505,Movimientos!$D$6:$D$505,A282,Movimientos!$E$6:$E$505,TRUE)</f>
        <v>0</v>
      </c>
      <c r="D282" s="94" t="str">
        <f ca="1">IFERROR(__xludf.DUMMYFUNCTION("IF(OR(B282="""",A282&gt;TODAY(),E282=""Histórico mensual"",E282=""Base diaria""),"""",IFERROR(LET(prevDate,MAX(FILTER($A$2:A281,$B$2:B281&lt;&gt;"""",$A$2:A281&lt;A282)),prevValue,XLOOKUP(prevDate,$A$2:A281,$B$2:B281),gap,A282-prevDate,unknown,COUNTIFS(Movimientos!$D"&amp;"$6:$D$505,""&gt;""&amp;prevDate,Movimientos!$D$6:$D$505,""&lt;=""&amp;A282,Movimientos!$E$6:$E$505,FALSE,Movimientos!$C$6:$C$505,""&lt;&gt;Fecha inferida*""),flow,SUMIFS(Movimientos!$B$6:$B$505,Movimientos!$D$6:$D$505,""&gt;""&amp;prevDate,Movimientos!$D$6:$D$505,""&lt;=""&amp;A282,Movimi"&amp;"entos!$E$6:$E$505,TRUE)+SUMIFS(Movimientos!$B$6:$B$505,Movimientos!$D$6:$D$505,""&gt;""&amp;prevDate,Movimientos!$D$6:$D$505,""&lt;=""&amp;A282,Movimientos!$C$6:$C$505,""Fecha inferida*""),net,B282-flow,IF(OR(gap&lt;1,unknown&gt;0,prevValue&lt;=0,net&lt;=0),"""",(POWER(net/prevVal"&amp;"ue,1/gap)-1)*100)),""""))"),"")</f>
        <v/>
      </c>
      <c r="E282" s="95" t="str">
        <f t="shared" si="1"/>
        <v/>
      </c>
    </row>
    <row r="283" spans="1:5" x14ac:dyDescent="0.25">
      <c r="A283" s="92">
        <v>46304</v>
      </c>
      <c r="B283" s="93" t="str">
        <f>IF(Diario!B287="","",Diario!B287)</f>
        <v/>
      </c>
      <c r="C283" s="93">
        <f>SUMIFS(Movimientos!$B$6:$B$505,Movimientos!$D$6:$D$505,A283,Movimientos!$E$6:$E$505,TRUE)</f>
        <v>0</v>
      </c>
      <c r="D283" s="94" t="str">
        <f ca="1">IFERROR(__xludf.DUMMYFUNCTION("IF(OR(B283="""",A283&gt;TODAY(),E283=""Histórico mensual"",E283=""Base diaria""),"""",IFERROR(LET(prevDate,MAX(FILTER($A$2:A282,$B$2:B282&lt;&gt;"""",$A$2:A282&lt;A283)),prevValue,XLOOKUP(prevDate,$A$2:A282,$B$2:B282),gap,A283-prevDate,unknown,COUNTIFS(Movimientos!$D"&amp;"$6:$D$505,""&gt;""&amp;prevDate,Movimientos!$D$6:$D$505,""&lt;=""&amp;A283,Movimientos!$E$6:$E$505,FALSE,Movimientos!$C$6:$C$505,""&lt;&gt;Fecha inferida*""),flow,SUMIFS(Movimientos!$B$6:$B$505,Movimientos!$D$6:$D$505,""&gt;""&amp;prevDate,Movimientos!$D$6:$D$505,""&lt;=""&amp;A283,Movimi"&amp;"entos!$E$6:$E$505,TRUE)+SUMIFS(Movimientos!$B$6:$B$505,Movimientos!$D$6:$D$505,""&gt;""&amp;prevDate,Movimientos!$D$6:$D$505,""&lt;=""&amp;A283,Movimientos!$C$6:$C$505,""Fecha inferida*""),net,B283-flow,IF(OR(gap&lt;1,unknown&gt;0,prevValue&lt;=0,net&lt;=0),"""",(POWER(net/prevVal"&amp;"ue,1/gap)-1)*100)),""""))"),"")</f>
        <v/>
      </c>
      <c r="E283" s="95" t="str">
        <f t="shared" si="1"/>
        <v/>
      </c>
    </row>
    <row r="284" spans="1:5" x14ac:dyDescent="0.25">
      <c r="A284" s="92">
        <v>46305</v>
      </c>
      <c r="B284" s="93" t="str">
        <f>IF(Diario!B288="","",Diario!B288)</f>
        <v/>
      </c>
      <c r="C284" s="93">
        <f>SUMIFS(Movimientos!$B$6:$B$505,Movimientos!$D$6:$D$505,A284,Movimientos!$E$6:$E$505,TRUE)</f>
        <v>0</v>
      </c>
      <c r="D284" s="94" t="str">
        <f ca="1">IFERROR(__xludf.DUMMYFUNCTION("IF(OR(B284="""",A284&gt;TODAY(),E284=""Histórico mensual"",E284=""Base diaria""),"""",IFERROR(LET(prevDate,MAX(FILTER($A$2:A283,$B$2:B283&lt;&gt;"""",$A$2:A283&lt;A284)),prevValue,XLOOKUP(prevDate,$A$2:A283,$B$2:B283),gap,A284-prevDate,unknown,COUNTIFS(Movimientos!$D"&amp;"$6:$D$505,""&gt;""&amp;prevDate,Movimientos!$D$6:$D$505,""&lt;=""&amp;A284,Movimientos!$E$6:$E$505,FALSE,Movimientos!$C$6:$C$505,""&lt;&gt;Fecha inferida*""),flow,SUMIFS(Movimientos!$B$6:$B$505,Movimientos!$D$6:$D$505,""&gt;""&amp;prevDate,Movimientos!$D$6:$D$505,""&lt;=""&amp;A284,Movimi"&amp;"entos!$E$6:$E$505,TRUE)+SUMIFS(Movimientos!$B$6:$B$505,Movimientos!$D$6:$D$505,""&gt;""&amp;prevDate,Movimientos!$D$6:$D$505,""&lt;=""&amp;A284,Movimientos!$C$6:$C$505,""Fecha inferida*""),net,B284-flow,IF(OR(gap&lt;1,unknown&gt;0,prevValue&lt;=0,net&lt;=0),"""",(POWER(net/prevVal"&amp;"ue,1/gap)-1)*100)),""""))"),"")</f>
        <v/>
      </c>
      <c r="E284" s="95" t="str">
        <f t="shared" si="1"/>
        <v/>
      </c>
    </row>
    <row r="285" spans="1:5" x14ac:dyDescent="0.25">
      <c r="A285" s="92">
        <v>46306</v>
      </c>
      <c r="B285" s="93" t="str">
        <f>IF(Diario!B289="","",Diario!B289)</f>
        <v/>
      </c>
      <c r="C285" s="93">
        <f>SUMIFS(Movimientos!$B$6:$B$505,Movimientos!$D$6:$D$505,A285,Movimientos!$E$6:$E$505,TRUE)</f>
        <v>0</v>
      </c>
      <c r="D285" s="94" t="str">
        <f ca="1">IFERROR(__xludf.DUMMYFUNCTION("IF(OR(B285="""",A285&gt;TODAY(),E285=""Histórico mensual"",E285=""Base diaria""),"""",IFERROR(LET(prevDate,MAX(FILTER($A$2:A284,$B$2:B284&lt;&gt;"""",$A$2:A284&lt;A285)),prevValue,XLOOKUP(prevDate,$A$2:A284,$B$2:B284),gap,A285-prevDate,unknown,COUNTIFS(Movimientos!$D"&amp;"$6:$D$505,""&gt;""&amp;prevDate,Movimientos!$D$6:$D$505,""&lt;=""&amp;A285,Movimientos!$E$6:$E$505,FALSE,Movimientos!$C$6:$C$505,""&lt;&gt;Fecha inferida*""),flow,SUMIFS(Movimientos!$B$6:$B$505,Movimientos!$D$6:$D$505,""&gt;""&amp;prevDate,Movimientos!$D$6:$D$505,""&lt;=""&amp;A285,Movimi"&amp;"entos!$E$6:$E$505,TRUE)+SUMIFS(Movimientos!$B$6:$B$505,Movimientos!$D$6:$D$505,""&gt;""&amp;prevDate,Movimientos!$D$6:$D$505,""&lt;=""&amp;A285,Movimientos!$C$6:$C$505,""Fecha inferida*""),net,B285-flow,IF(OR(gap&lt;1,unknown&gt;0,prevValue&lt;=0,net&lt;=0),"""",(POWER(net/prevVal"&amp;"ue,1/gap)-1)*100)),""""))"),"")</f>
        <v/>
      </c>
      <c r="E285" s="95" t="str">
        <f t="shared" si="1"/>
        <v/>
      </c>
    </row>
    <row r="286" spans="1:5" x14ac:dyDescent="0.25">
      <c r="A286" s="92">
        <v>46307</v>
      </c>
      <c r="B286" s="93" t="str">
        <f>IF(Diario!B290="","",Diario!B290)</f>
        <v/>
      </c>
      <c r="C286" s="93">
        <f>SUMIFS(Movimientos!$B$6:$B$505,Movimientos!$D$6:$D$505,A286,Movimientos!$E$6:$E$505,TRUE)</f>
        <v>0</v>
      </c>
      <c r="D286" s="94" t="str">
        <f ca="1">IFERROR(__xludf.DUMMYFUNCTION("IF(OR(B286="""",A286&gt;TODAY(),E286=""Histórico mensual"",E286=""Base diaria""),"""",IFERROR(LET(prevDate,MAX(FILTER($A$2:A285,$B$2:B285&lt;&gt;"""",$A$2:A285&lt;A286)),prevValue,XLOOKUP(prevDate,$A$2:A285,$B$2:B285),gap,A286-prevDate,unknown,COUNTIFS(Movimientos!$D"&amp;"$6:$D$505,""&gt;""&amp;prevDate,Movimientos!$D$6:$D$505,""&lt;=""&amp;A286,Movimientos!$E$6:$E$505,FALSE,Movimientos!$C$6:$C$505,""&lt;&gt;Fecha inferida*""),flow,SUMIFS(Movimientos!$B$6:$B$505,Movimientos!$D$6:$D$505,""&gt;""&amp;prevDate,Movimientos!$D$6:$D$505,""&lt;=""&amp;A286,Movimi"&amp;"entos!$E$6:$E$505,TRUE)+SUMIFS(Movimientos!$B$6:$B$505,Movimientos!$D$6:$D$505,""&gt;""&amp;prevDate,Movimientos!$D$6:$D$505,""&lt;=""&amp;A286,Movimientos!$C$6:$C$505,""Fecha inferida*""),net,B286-flow,IF(OR(gap&lt;1,unknown&gt;0,prevValue&lt;=0,net&lt;=0),"""",(POWER(net/prevVal"&amp;"ue,1/gap)-1)*100)),""""))"),"")</f>
        <v/>
      </c>
      <c r="E286" s="95" t="str">
        <f t="shared" si="1"/>
        <v/>
      </c>
    </row>
    <row r="287" spans="1:5" x14ac:dyDescent="0.25">
      <c r="A287" s="92">
        <v>46308</v>
      </c>
      <c r="B287" s="93" t="str">
        <f>IF(Diario!B291="","",Diario!B291)</f>
        <v/>
      </c>
      <c r="C287" s="93">
        <f>SUMIFS(Movimientos!$B$6:$B$505,Movimientos!$D$6:$D$505,A287,Movimientos!$E$6:$E$505,TRUE)</f>
        <v>0</v>
      </c>
      <c r="D287" s="94" t="str">
        <f ca="1">IFERROR(__xludf.DUMMYFUNCTION("IF(OR(B287="""",A287&gt;TODAY(),E287=""Histórico mensual"",E287=""Base diaria""),"""",IFERROR(LET(prevDate,MAX(FILTER($A$2:A286,$B$2:B286&lt;&gt;"""",$A$2:A286&lt;A287)),prevValue,XLOOKUP(prevDate,$A$2:A286,$B$2:B286),gap,A287-prevDate,unknown,COUNTIFS(Movimientos!$D"&amp;"$6:$D$505,""&gt;""&amp;prevDate,Movimientos!$D$6:$D$505,""&lt;=""&amp;A287,Movimientos!$E$6:$E$505,FALSE,Movimientos!$C$6:$C$505,""&lt;&gt;Fecha inferida*""),flow,SUMIFS(Movimientos!$B$6:$B$505,Movimientos!$D$6:$D$505,""&gt;""&amp;prevDate,Movimientos!$D$6:$D$505,""&lt;=""&amp;A287,Movimi"&amp;"entos!$E$6:$E$505,TRUE)+SUMIFS(Movimientos!$B$6:$B$505,Movimientos!$D$6:$D$505,""&gt;""&amp;prevDate,Movimientos!$D$6:$D$505,""&lt;=""&amp;A287,Movimientos!$C$6:$C$505,""Fecha inferida*""),net,B287-flow,IF(OR(gap&lt;1,unknown&gt;0,prevValue&lt;=0,net&lt;=0),"""",(POWER(net/prevVal"&amp;"ue,1/gap)-1)*100)),""""))"),"")</f>
        <v/>
      </c>
      <c r="E287" s="95" t="str">
        <f t="shared" si="1"/>
        <v/>
      </c>
    </row>
    <row r="288" spans="1:5" x14ac:dyDescent="0.25">
      <c r="A288" s="92">
        <v>46309</v>
      </c>
      <c r="B288" s="93" t="str">
        <f>IF(Diario!B292="","",Diario!B292)</f>
        <v/>
      </c>
      <c r="C288" s="93">
        <f>SUMIFS(Movimientos!$B$6:$B$505,Movimientos!$D$6:$D$505,A288,Movimientos!$E$6:$E$505,TRUE)</f>
        <v>0</v>
      </c>
      <c r="D288" s="94" t="str">
        <f ca="1">IFERROR(__xludf.DUMMYFUNCTION("IF(OR(B288="""",A288&gt;TODAY(),E288=""Histórico mensual"",E288=""Base diaria""),"""",IFERROR(LET(prevDate,MAX(FILTER($A$2:A287,$B$2:B287&lt;&gt;"""",$A$2:A287&lt;A288)),prevValue,XLOOKUP(prevDate,$A$2:A287,$B$2:B287),gap,A288-prevDate,unknown,COUNTIFS(Movimientos!$D"&amp;"$6:$D$505,""&gt;""&amp;prevDate,Movimientos!$D$6:$D$505,""&lt;=""&amp;A288,Movimientos!$E$6:$E$505,FALSE,Movimientos!$C$6:$C$505,""&lt;&gt;Fecha inferida*""),flow,SUMIFS(Movimientos!$B$6:$B$505,Movimientos!$D$6:$D$505,""&gt;""&amp;prevDate,Movimientos!$D$6:$D$505,""&lt;=""&amp;A288,Movimi"&amp;"entos!$E$6:$E$505,TRUE)+SUMIFS(Movimientos!$B$6:$B$505,Movimientos!$D$6:$D$505,""&gt;""&amp;prevDate,Movimientos!$D$6:$D$505,""&lt;=""&amp;A288,Movimientos!$C$6:$C$505,""Fecha inferida*""),net,B288-flow,IF(OR(gap&lt;1,unknown&gt;0,prevValue&lt;=0,net&lt;=0),"""",(POWER(net/prevVal"&amp;"ue,1/gap)-1)*100)),""""))"),"")</f>
        <v/>
      </c>
      <c r="E288" s="95" t="str">
        <f t="shared" si="1"/>
        <v/>
      </c>
    </row>
    <row r="289" spans="1:5" x14ac:dyDescent="0.25">
      <c r="A289" s="92">
        <v>46310</v>
      </c>
      <c r="B289" s="93" t="str">
        <f>IF(Diario!B293="","",Diario!B293)</f>
        <v/>
      </c>
      <c r="C289" s="93">
        <f>SUMIFS(Movimientos!$B$6:$B$505,Movimientos!$D$6:$D$505,A289,Movimientos!$E$6:$E$505,TRUE)</f>
        <v>0</v>
      </c>
      <c r="D289" s="94" t="str">
        <f ca="1">IFERROR(__xludf.DUMMYFUNCTION("IF(OR(B289="""",A289&gt;TODAY(),E289=""Histórico mensual"",E289=""Base diaria""),"""",IFERROR(LET(prevDate,MAX(FILTER($A$2:A288,$B$2:B288&lt;&gt;"""",$A$2:A288&lt;A289)),prevValue,XLOOKUP(prevDate,$A$2:A288,$B$2:B288),gap,A289-prevDate,unknown,COUNTIFS(Movimientos!$D"&amp;"$6:$D$505,""&gt;""&amp;prevDate,Movimientos!$D$6:$D$505,""&lt;=""&amp;A289,Movimientos!$E$6:$E$505,FALSE,Movimientos!$C$6:$C$505,""&lt;&gt;Fecha inferida*""),flow,SUMIFS(Movimientos!$B$6:$B$505,Movimientos!$D$6:$D$505,""&gt;""&amp;prevDate,Movimientos!$D$6:$D$505,""&lt;=""&amp;A289,Movimi"&amp;"entos!$E$6:$E$505,TRUE)+SUMIFS(Movimientos!$B$6:$B$505,Movimientos!$D$6:$D$505,""&gt;""&amp;prevDate,Movimientos!$D$6:$D$505,""&lt;=""&amp;A289,Movimientos!$C$6:$C$505,""Fecha inferida*""),net,B289-flow,IF(OR(gap&lt;1,unknown&gt;0,prevValue&lt;=0,net&lt;=0),"""",(POWER(net/prevVal"&amp;"ue,1/gap)-1)*100)),""""))"),"")</f>
        <v/>
      </c>
      <c r="E289" s="95" t="str">
        <f t="shared" si="1"/>
        <v/>
      </c>
    </row>
    <row r="290" spans="1:5" x14ac:dyDescent="0.25">
      <c r="A290" s="92">
        <v>46311</v>
      </c>
      <c r="B290" s="93" t="str">
        <f>IF(Diario!B294="","",Diario!B294)</f>
        <v/>
      </c>
      <c r="C290" s="93">
        <f>SUMIFS(Movimientos!$B$6:$B$505,Movimientos!$D$6:$D$505,A290,Movimientos!$E$6:$E$505,TRUE)</f>
        <v>0</v>
      </c>
      <c r="D290" s="94" t="str">
        <f ca="1">IFERROR(__xludf.DUMMYFUNCTION("IF(OR(B290="""",A290&gt;TODAY(),E290=""Histórico mensual"",E290=""Base diaria""),"""",IFERROR(LET(prevDate,MAX(FILTER($A$2:A289,$B$2:B289&lt;&gt;"""",$A$2:A289&lt;A290)),prevValue,XLOOKUP(prevDate,$A$2:A289,$B$2:B289),gap,A290-prevDate,unknown,COUNTIFS(Movimientos!$D"&amp;"$6:$D$505,""&gt;""&amp;prevDate,Movimientos!$D$6:$D$505,""&lt;=""&amp;A290,Movimientos!$E$6:$E$505,FALSE,Movimientos!$C$6:$C$505,""&lt;&gt;Fecha inferida*""),flow,SUMIFS(Movimientos!$B$6:$B$505,Movimientos!$D$6:$D$505,""&gt;""&amp;prevDate,Movimientos!$D$6:$D$505,""&lt;=""&amp;A290,Movimi"&amp;"entos!$E$6:$E$505,TRUE)+SUMIFS(Movimientos!$B$6:$B$505,Movimientos!$D$6:$D$505,""&gt;""&amp;prevDate,Movimientos!$D$6:$D$505,""&lt;=""&amp;A290,Movimientos!$C$6:$C$505,""Fecha inferida*""),net,B290-flow,IF(OR(gap&lt;1,unknown&gt;0,prevValue&lt;=0,net&lt;=0),"""",(POWER(net/prevVal"&amp;"ue,1/gap)-1)*100)),""""))"),"")</f>
        <v/>
      </c>
      <c r="E290" s="95" t="str">
        <f t="shared" si="1"/>
        <v/>
      </c>
    </row>
    <row r="291" spans="1:5" x14ac:dyDescent="0.25">
      <c r="A291" s="92">
        <v>46312</v>
      </c>
      <c r="B291" s="93" t="str">
        <f>IF(Diario!B295="","",Diario!B295)</f>
        <v/>
      </c>
      <c r="C291" s="93">
        <f>SUMIFS(Movimientos!$B$6:$B$505,Movimientos!$D$6:$D$505,A291,Movimientos!$E$6:$E$505,TRUE)</f>
        <v>0</v>
      </c>
      <c r="D291" s="94" t="str">
        <f ca="1">IFERROR(__xludf.DUMMYFUNCTION("IF(OR(B291="""",A291&gt;TODAY(),E291=""Histórico mensual"",E291=""Base diaria""),"""",IFERROR(LET(prevDate,MAX(FILTER($A$2:A290,$B$2:B290&lt;&gt;"""",$A$2:A290&lt;A291)),prevValue,XLOOKUP(prevDate,$A$2:A290,$B$2:B290),gap,A291-prevDate,unknown,COUNTIFS(Movimientos!$D"&amp;"$6:$D$505,""&gt;""&amp;prevDate,Movimientos!$D$6:$D$505,""&lt;=""&amp;A291,Movimientos!$E$6:$E$505,FALSE,Movimientos!$C$6:$C$505,""&lt;&gt;Fecha inferida*""),flow,SUMIFS(Movimientos!$B$6:$B$505,Movimientos!$D$6:$D$505,""&gt;""&amp;prevDate,Movimientos!$D$6:$D$505,""&lt;=""&amp;A291,Movimi"&amp;"entos!$E$6:$E$505,TRUE)+SUMIFS(Movimientos!$B$6:$B$505,Movimientos!$D$6:$D$505,""&gt;""&amp;prevDate,Movimientos!$D$6:$D$505,""&lt;=""&amp;A291,Movimientos!$C$6:$C$505,""Fecha inferida*""),net,B291-flow,IF(OR(gap&lt;1,unknown&gt;0,prevValue&lt;=0,net&lt;=0),"""",(POWER(net/prevVal"&amp;"ue,1/gap)-1)*100)),""""))"),"")</f>
        <v/>
      </c>
      <c r="E291" s="95" t="str">
        <f t="shared" si="1"/>
        <v/>
      </c>
    </row>
    <row r="292" spans="1:5" x14ac:dyDescent="0.25">
      <c r="A292" s="92">
        <v>46313</v>
      </c>
      <c r="B292" s="93" t="str">
        <f>IF(Diario!B296="","",Diario!B296)</f>
        <v/>
      </c>
      <c r="C292" s="93">
        <f>SUMIFS(Movimientos!$B$6:$B$505,Movimientos!$D$6:$D$505,A292,Movimientos!$E$6:$E$505,TRUE)</f>
        <v>0</v>
      </c>
      <c r="D292" s="94" t="str">
        <f ca="1">IFERROR(__xludf.DUMMYFUNCTION("IF(OR(B292="""",A292&gt;TODAY(),E292=""Histórico mensual"",E292=""Base diaria""),"""",IFERROR(LET(prevDate,MAX(FILTER($A$2:A291,$B$2:B291&lt;&gt;"""",$A$2:A291&lt;A292)),prevValue,XLOOKUP(prevDate,$A$2:A291,$B$2:B291),gap,A292-prevDate,unknown,COUNTIFS(Movimientos!$D"&amp;"$6:$D$505,""&gt;""&amp;prevDate,Movimientos!$D$6:$D$505,""&lt;=""&amp;A292,Movimientos!$E$6:$E$505,FALSE,Movimientos!$C$6:$C$505,""&lt;&gt;Fecha inferida*""),flow,SUMIFS(Movimientos!$B$6:$B$505,Movimientos!$D$6:$D$505,""&gt;""&amp;prevDate,Movimientos!$D$6:$D$505,""&lt;=""&amp;A292,Movimi"&amp;"entos!$E$6:$E$505,TRUE)+SUMIFS(Movimientos!$B$6:$B$505,Movimientos!$D$6:$D$505,""&gt;""&amp;prevDate,Movimientos!$D$6:$D$505,""&lt;=""&amp;A292,Movimientos!$C$6:$C$505,""Fecha inferida*""),net,B292-flow,IF(OR(gap&lt;1,unknown&gt;0,prevValue&lt;=0,net&lt;=0),"""",(POWER(net/prevVal"&amp;"ue,1/gap)-1)*100)),""""))"),"")</f>
        <v/>
      </c>
      <c r="E292" s="95" t="str">
        <f t="shared" si="1"/>
        <v/>
      </c>
    </row>
    <row r="293" spans="1:5" x14ac:dyDescent="0.25">
      <c r="A293" s="92">
        <v>46314</v>
      </c>
      <c r="B293" s="93" t="str">
        <f>IF(Diario!B297="","",Diario!B297)</f>
        <v/>
      </c>
      <c r="C293" s="93">
        <f>SUMIFS(Movimientos!$B$6:$B$505,Movimientos!$D$6:$D$505,A293,Movimientos!$E$6:$E$505,TRUE)</f>
        <v>0</v>
      </c>
      <c r="D293" s="94" t="str">
        <f ca="1">IFERROR(__xludf.DUMMYFUNCTION("IF(OR(B293="""",A293&gt;TODAY(),E293=""Histórico mensual"",E293=""Base diaria""),"""",IFERROR(LET(prevDate,MAX(FILTER($A$2:A292,$B$2:B292&lt;&gt;"""",$A$2:A292&lt;A293)),prevValue,XLOOKUP(prevDate,$A$2:A292,$B$2:B292),gap,A293-prevDate,unknown,COUNTIFS(Movimientos!$D"&amp;"$6:$D$505,""&gt;""&amp;prevDate,Movimientos!$D$6:$D$505,""&lt;=""&amp;A293,Movimientos!$E$6:$E$505,FALSE,Movimientos!$C$6:$C$505,""&lt;&gt;Fecha inferida*""),flow,SUMIFS(Movimientos!$B$6:$B$505,Movimientos!$D$6:$D$505,""&gt;""&amp;prevDate,Movimientos!$D$6:$D$505,""&lt;=""&amp;A293,Movimi"&amp;"entos!$E$6:$E$505,TRUE)+SUMIFS(Movimientos!$B$6:$B$505,Movimientos!$D$6:$D$505,""&gt;""&amp;prevDate,Movimientos!$D$6:$D$505,""&lt;=""&amp;A293,Movimientos!$C$6:$C$505,""Fecha inferida*""),net,B293-flow,IF(OR(gap&lt;1,unknown&gt;0,prevValue&lt;=0,net&lt;=0),"""",(POWER(net/prevVal"&amp;"ue,1/gap)-1)*100)),""""))"),"")</f>
        <v/>
      </c>
      <c r="E293" s="95" t="str">
        <f t="shared" si="1"/>
        <v/>
      </c>
    </row>
    <row r="294" spans="1:5" x14ac:dyDescent="0.25">
      <c r="A294" s="92">
        <v>46315</v>
      </c>
      <c r="B294" s="93" t="str">
        <f>IF(Diario!B298="","",Diario!B298)</f>
        <v/>
      </c>
      <c r="C294" s="93">
        <f>SUMIFS(Movimientos!$B$6:$B$505,Movimientos!$D$6:$D$505,A294,Movimientos!$E$6:$E$505,TRUE)</f>
        <v>0</v>
      </c>
      <c r="D294" s="94" t="str">
        <f ca="1">IFERROR(__xludf.DUMMYFUNCTION("IF(OR(B294="""",A294&gt;TODAY(),E294=""Histórico mensual"",E294=""Base diaria""),"""",IFERROR(LET(prevDate,MAX(FILTER($A$2:A293,$B$2:B293&lt;&gt;"""",$A$2:A293&lt;A294)),prevValue,XLOOKUP(prevDate,$A$2:A293,$B$2:B293),gap,A294-prevDate,unknown,COUNTIFS(Movimientos!$D"&amp;"$6:$D$505,""&gt;""&amp;prevDate,Movimientos!$D$6:$D$505,""&lt;=""&amp;A294,Movimientos!$E$6:$E$505,FALSE,Movimientos!$C$6:$C$505,""&lt;&gt;Fecha inferida*""),flow,SUMIFS(Movimientos!$B$6:$B$505,Movimientos!$D$6:$D$505,""&gt;""&amp;prevDate,Movimientos!$D$6:$D$505,""&lt;=""&amp;A294,Movimi"&amp;"entos!$E$6:$E$505,TRUE)+SUMIFS(Movimientos!$B$6:$B$505,Movimientos!$D$6:$D$505,""&gt;""&amp;prevDate,Movimientos!$D$6:$D$505,""&lt;=""&amp;A294,Movimientos!$C$6:$C$505,""Fecha inferida*""),net,B294-flow,IF(OR(gap&lt;1,unknown&gt;0,prevValue&lt;=0,net&lt;=0),"""",(POWER(net/prevVal"&amp;"ue,1/gap)-1)*100)),""""))"),"")</f>
        <v/>
      </c>
      <c r="E294" s="95" t="str">
        <f t="shared" si="1"/>
        <v/>
      </c>
    </row>
    <row r="295" spans="1:5" x14ac:dyDescent="0.25">
      <c r="A295" s="92">
        <v>46316</v>
      </c>
      <c r="B295" s="93" t="str">
        <f>IF(Diario!B299="","",Diario!B299)</f>
        <v/>
      </c>
      <c r="C295" s="93">
        <f>SUMIFS(Movimientos!$B$6:$B$505,Movimientos!$D$6:$D$505,A295,Movimientos!$E$6:$E$505,TRUE)</f>
        <v>0</v>
      </c>
      <c r="D295" s="94" t="str">
        <f ca="1">IFERROR(__xludf.DUMMYFUNCTION("IF(OR(B295="""",A295&gt;TODAY(),E295=""Histórico mensual"",E295=""Base diaria""),"""",IFERROR(LET(prevDate,MAX(FILTER($A$2:A294,$B$2:B294&lt;&gt;"""",$A$2:A294&lt;A295)),prevValue,XLOOKUP(prevDate,$A$2:A294,$B$2:B294),gap,A295-prevDate,unknown,COUNTIFS(Movimientos!$D"&amp;"$6:$D$505,""&gt;""&amp;prevDate,Movimientos!$D$6:$D$505,""&lt;=""&amp;A295,Movimientos!$E$6:$E$505,FALSE,Movimientos!$C$6:$C$505,""&lt;&gt;Fecha inferida*""),flow,SUMIFS(Movimientos!$B$6:$B$505,Movimientos!$D$6:$D$505,""&gt;""&amp;prevDate,Movimientos!$D$6:$D$505,""&lt;=""&amp;A295,Movimi"&amp;"entos!$E$6:$E$505,TRUE)+SUMIFS(Movimientos!$B$6:$B$505,Movimientos!$D$6:$D$505,""&gt;""&amp;prevDate,Movimientos!$D$6:$D$505,""&lt;=""&amp;A295,Movimientos!$C$6:$C$505,""Fecha inferida*""),net,B295-flow,IF(OR(gap&lt;1,unknown&gt;0,prevValue&lt;=0,net&lt;=0),"""",(POWER(net/prevVal"&amp;"ue,1/gap)-1)*100)),""""))"),"")</f>
        <v/>
      </c>
      <c r="E295" s="95" t="str">
        <f t="shared" si="1"/>
        <v/>
      </c>
    </row>
    <row r="296" spans="1:5" x14ac:dyDescent="0.25">
      <c r="A296" s="92">
        <v>46317</v>
      </c>
      <c r="B296" s="93" t="str">
        <f>IF(Diario!B300="","",Diario!B300)</f>
        <v/>
      </c>
      <c r="C296" s="93">
        <f>SUMIFS(Movimientos!$B$6:$B$505,Movimientos!$D$6:$D$505,A296,Movimientos!$E$6:$E$505,TRUE)</f>
        <v>0</v>
      </c>
      <c r="D296" s="94" t="str">
        <f ca="1">IFERROR(__xludf.DUMMYFUNCTION("IF(OR(B296="""",A296&gt;TODAY(),E296=""Histórico mensual"",E296=""Base diaria""),"""",IFERROR(LET(prevDate,MAX(FILTER($A$2:A295,$B$2:B295&lt;&gt;"""",$A$2:A295&lt;A296)),prevValue,XLOOKUP(prevDate,$A$2:A295,$B$2:B295),gap,A296-prevDate,unknown,COUNTIFS(Movimientos!$D"&amp;"$6:$D$505,""&gt;""&amp;prevDate,Movimientos!$D$6:$D$505,""&lt;=""&amp;A296,Movimientos!$E$6:$E$505,FALSE,Movimientos!$C$6:$C$505,""&lt;&gt;Fecha inferida*""),flow,SUMIFS(Movimientos!$B$6:$B$505,Movimientos!$D$6:$D$505,""&gt;""&amp;prevDate,Movimientos!$D$6:$D$505,""&lt;=""&amp;A296,Movimi"&amp;"entos!$E$6:$E$505,TRUE)+SUMIFS(Movimientos!$B$6:$B$505,Movimientos!$D$6:$D$505,""&gt;""&amp;prevDate,Movimientos!$D$6:$D$505,""&lt;=""&amp;A296,Movimientos!$C$6:$C$505,""Fecha inferida*""),net,B296-flow,IF(OR(gap&lt;1,unknown&gt;0,prevValue&lt;=0,net&lt;=0),"""",(POWER(net/prevVal"&amp;"ue,1/gap)-1)*100)),""""))"),"")</f>
        <v/>
      </c>
      <c r="E296" s="95" t="str">
        <f t="shared" si="1"/>
        <v/>
      </c>
    </row>
    <row r="297" spans="1:5" x14ac:dyDescent="0.25">
      <c r="A297" s="92">
        <v>46318</v>
      </c>
      <c r="B297" s="93" t="str">
        <f>IF(Diario!B301="","",Diario!B301)</f>
        <v/>
      </c>
      <c r="C297" s="93">
        <f>SUMIFS(Movimientos!$B$6:$B$505,Movimientos!$D$6:$D$505,A297,Movimientos!$E$6:$E$505,TRUE)</f>
        <v>0</v>
      </c>
      <c r="D297" s="94" t="str">
        <f ca="1">IFERROR(__xludf.DUMMYFUNCTION("IF(OR(B297="""",A297&gt;TODAY(),E297=""Histórico mensual"",E297=""Base diaria""),"""",IFERROR(LET(prevDate,MAX(FILTER($A$2:A296,$B$2:B296&lt;&gt;"""",$A$2:A296&lt;A297)),prevValue,XLOOKUP(prevDate,$A$2:A296,$B$2:B296),gap,A297-prevDate,unknown,COUNTIFS(Movimientos!$D"&amp;"$6:$D$505,""&gt;""&amp;prevDate,Movimientos!$D$6:$D$505,""&lt;=""&amp;A297,Movimientos!$E$6:$E$505,FALSE,Movimientos!$C$6:$C$505,""&lt;&gt;Fecha inferida*""),flow,SUMIFS(Movimientos!$B$6:$B$505,Movimientos!$D$6:$D$505,""&gt;""&amp;prevDate,Movimientos!$D$6:$D$505,""&lt;=""&amp;A297,Movimi"&amp;"entos!$E$6:$E$505,TRUE)+SUMIFS(Movimientos!$B$6:$B$505,Movimientos!$D$6:$D$505,""&gt;""&amp;prevDate,Movimientos!$D$6:$D$505,""&lt;=""&amp;A297,Movimientos!$C$6:$C$505,""Fecha inferida*""),net,B297-flow,IF(OR(gap&lt;1,unknown&gt;0,prevValue&lt;=0,net&lt;=0),"""",(POWER(net/prevVal"&amp;"ue,1/gap)-1)*100)),""""))"),"")</f>
        <v/>
      </c>
      <c r="E297" s="95" t="str">
        <f t="shared" si="1"/>
        <v/>
      </c>
    </row>
    <row r="298" spans="1:5" x14ac:dyDescent="0.25">
      <c r="A298" s="92">
        <v>46319</v>
      </c>
      <c r="B298" s="93" t="str">
        <f>IF(Diario!B302="","",Diario!B302)</f>
        <v/>
      </c>
      <c r="C298" s="93">
        <f>SUMIFS(Movimientos!$B$6:$B$505,Movimientos!$D$6:$D$505,A298,Movimientos!$E$6:$E$505,TRUE)</f>
        <v>0</v>
      </c>
      <c r="D298" s="94" t="str">
        <f ca="1">IFERROR(__xludf.DUMMYFUNCTION("IF(OR(B298="""",A298&gt;TODAY(),E298=""Histórico mensual"",E298=""Base diaria""),"""",IFERROR(LET(prevDate,MAX(FILTER($A$2:A297,$B$2:B297&lt;&gt;"""",$A$2:A297&lt;A298)),prevValue,XLOOKUP(prevDate,$A$2:A297,$B$2:B297),gap,A298-prevDate,unknown,COUNTIFS(Movimientos!$D"&amp;"$6:$D$505,""&gt;""&amp;prevDate,Movimientos!$D$6:$D$505,""&lt;=""&amp;A298,Movimientos!$E$6:$E$505,FALSE,Movimientos!$C$6:$C$505,""&lt;&gt;Fecha inferida*""),flow,SUMIFS(Movimientos!$B$6:$B$505,Movimientos!$D$6:$D$505,""&gt;""&amp;prevDate,Movimientos!$D$6:$D$505,""&lt;=""&amp;A298,Movimi"&amp;"entos!$E$6:$E$505,TRUE)+SUMIFS(Movimientos!$B$6:$B$505,Movimientos!$D$6:$D$505,""&gt;""&amp;prevDate,Movimientos!$D$6:$D$505,""&lt;=""&amp;A298,Movimientos!$C$6:$C$505,""Fecha inferida*""),net,B298-flow,IF(OR(gap&lt;1,unknown&gt;0,prevValue&lt;=0,net&lt;=0),"""",(POWER(net/prevVal"&amp;"ue,1/gap)-1)*100)),""""))"),"")</f>
        <v/>
      </c>
      <c r="E298" s="95" t="str">
        <f t="shared" si="1"/>
        <v/>
      </c>
    </row>
    <row r="299" spans="1:5" x14ac:dyDescent="0.25">
      <c r="A299" s="92">
        <v>46320</v>
      </c>
      <c r="B299" s="93" t="str">
        <f>IF(Diario!B303="","",Diario!B303)</f>
        <v/>
      </c>
      <c r="C299" s="93">
        <f>SUMIFS(Movimientos!$B$6:$B$505,Movimientos!$D$6:$D$505,A299,Movimientos!$E$6:$E$505,TRUE)</f>
        <v>0</v>
      </c>
      <c r="D299" s="94" t="str">
        <f ca="1">IFERROR(__xludf.DUMMYFUNCTION("IF(OR(B299="""",A299&gt;TODAY(),E299=""Histórico mensual"",E299=""Base diaria""),"""",IFERROR(LET(prevDate,MAX(FILTER($A$2:A298,$B$2:B298&lt;&gt;"""",$A$2:A298&lt;A299)),prevValue,XLOOKUP(prevDate,$A$2:A298,$B$2:B298),gap,A299-prevDate,unknown,COUNTIFS(Movimientos!$D"&amp;"$6:$D$505,""&gt;""&amp;prevDate,Movimientos!$D$6:$D$505,""&lt;=""&amp;A299,Movimientos!$E$6:$E$505,FALSE,Movimientos!$C$6:$C$505,""&lt;&gt;Fecha inferida*""),flow,SUMIFS(Movimientos!$B$6:$B$505,Movimientos!$D$6:$D$505,""&gt;""&amp;prevDate,Movimientos!$D$6:$D$505,""&lt;=""&amp;A299,Movimi"&amp;"entos!$E$6:$E$505,TRUE)+SUMIFS(Movimientos!$B$6:$B$505,Movimientos!$D$6:$D$505,""&gt;""&amp;prevDate,Movimientos!$D$6:$D$505,""&lt;=""&amp;A299,Movimientos!$C$6:$C$505,""Fecha inferida*""),net,B299-flow,IF(OR(gap&lt;1,unknown&gt;0,prevValue&lt;=0,net&lt;=0),"""",(POWER(net/prevVal"&amp;"ue,1/gap)-1)*100)),""""))"),"")</f>
        <v/>
      </c>
      <c r="E299" s="95" t="str">
        <f t="shared" si="1"/>
        <v/>
      </c>
    </row>
    <row r="300" spans="1:5" x14ac:dyDescent="0.25">
      <c r="A300" s="92">
        <v>46321</v>
      </c>
      <c r="B300" s="93" t="str">
        <f>IF(Diario!B304="","",Diario!B304)</f>
        <v/>
      </c>
      <c r="C300" s="93">
        <f>SUMIFS(Movimientos!$B$6:$B$505,Movimientos!$D$6:$D$505,A300,Movimientos!$E$6:$E$505,TRUE)</f>
        <v>0</v>
      </c>
      <c r="D300" s="94" t="str">
        <f ca="1">IFERROR(__xludf.DUMMYFUNCTION("IF(OR(B300="""",A300&gt;TODAY(),E300=""Histórico mensual"",E300=""Base diaria""),"""",IFERROR(LET(prevDate,MAX(FILTER($A$2:A299,$B$2:B299&lt;&gt;"""",$A$2:A299&lt;A300)),prevValue,XLOOKUP(prevDate,$A$2:A299,$B$2:B299),gap,A300-prevDate,unknown,COUNTIFS(Movimientos!$D"&amp;"$6:$D$505,""&gt;""&amp;prevDate,Movimientos!$D$6:$D$505,""&lt;=""&amp;A300,Movimientos!$E$6:$E$505,FALSE,Movimientos!$C$6:$C$505,""&lt;&gt;Fecha inferida*""),flow,SUMIFS(Movimientos!$B$6:$B$505,Movimientos!$D$6:$D$505,""&gt;""&amp;prevDate,Movimientos!$D$6:$D$505,""&lt;=""&amp;A300,Movimi"&amp;"entos!$E$6:$E$505,TRUE)+SUMIFS(Movimientos!$B$6:$B$505,Movimientos!$D$6:$D$505,""&gt;""&amp;prevDate,Movimientos!$D$6:$D$505,""&lt;=""&amp;A300,Movimientos!$C$6:$C$505,""Fecha inferida*""),net,B300-flow,IF(OR(gap&lt;1,unknown&gt;0,prevValue&lt;=0,net&lt;=0),"""",(POWER(net/prevVal"&amp;"ue,1/gap)-1)*100)),""""))"),"")</f>
        <v/>
      </c>
      <c r="E300" s="95" t="str">
        <f t="shared" si="1"/>
        <v/>
      </c>
    </row>
    <row r="301" spans="1:5" x14ac:dyDescent="0.25">
      <c r="A301" s="92">
        <v>46322</v>
      </c>
      <c r="B301" s="93" t="str">
        <f>IF(Diario!B305="","",Diario!B305)</f>
        <v/>
      </c>
      <c r="C301" s="93">
        <f>SUMIFS(Movimientos!$B$6:$B$505,Movimientos!$D$6:$D$505,A301,Movimientos!$E$6:$E$505,TRUE)</f>
        <v>0</v>
      </c>
      <c r="D301" s="94" t="str">
        <f ca="1">IFERROR(__xludf.DUMMYFUNCTION("IF(OR(B301="""",A301&gt;TODAY(),E301=""Histórico mensual"",E301=""Base diaria""),"""",IFERROR(LET(prevDate,MAX(FILTER($A$2:A300,$B$2:B300&lt;&gt;"""",$A$2:A300&lt;A301)),prevValue,XLOOKUP(prevDate,$A$2:A300,$B$2:B300),gap,A301-prevDate,unknown,COUNTIFS(Movimientos!$D"&amp;"$6:$D$505,""&gt;""&amp;prevDate,Movimientos!$D$6:$D$505,""&lt;=""&amp;A301,Movimientos!$E$6:$E$505,FALSE,Movimientos!$C$6:$C$505,""&lt;&gt;Fecha inferida*""),flow,SUMIFS(Movimientos!$B$6:$B$505,Movimientos!$D$6:$D$505,""&gt;""&amp;prevDate,Movimientos!$D$6:$D$505,""&lt;=""&amp;A301,Movimi"&amp;"entos!$E$6:$E$505,TRUE)+SUMIFS(Movimientos!$B$6:$B$505,Movimientos!$D$6:$D$505,""&gt;""&amp;prevDate,Movimientos!$D$6:$D$505,""&lt;=""&amp;A301,Movimientos!$C$6:$C$505,""Fecha inferida*""),net,B301-flow,IF(OR(gap&lt;1,unknown&gt;0,prevValue&lt;=0,net&lt;=0),"""",(POWER(net/prevVal"&amp;"ue,1/gap)-1)*100)),""""))"),"")</f>
        <v/>
      </c>
      <c r="E301" s="95" t="str">
        <f t="shared" si="1"/>
        <v/>
      </c>
    </row>
    <row r="302" spans="1:5" x14ac:dyDescent="0.25">
      <c r="A302" s="92">
        <v>46323</v>
      </c>
      <c r="B302" s="93" t="str">
        <f>IF(Diario!B306="","",Diario!B306)</f>
        <v/>
      </c>
      <c r="C302" s="93">
        <f>SUMIFS(Movimientos!$B$6:$B$505,Movimientos!$D$6:$D$505,A302,Movimientos!$E$6:$E$505,TRUE)</f>
        <v>0</v>
      </c>
      <c r="D302" s="94" t="str">
        <f ca="1">IFERROR(__xludf.DUMMYFUNCTION("IF(OR(B302="""",A302&gt;TODAY(),E302=""Histórico mensual"",E302=""Base diaria""),"""",IFERROR(LET(prevDate,MAX(FILTER($A$2:A301,$B$2:B301&lt;&gt;"""",$A$2:A301&lt;A302)),prevValue,XLOOKUP(prevDate,$A$2:A301,$B$2:B301),gap,A302-prevDate,unknown,COUNTIFS(Movimientos!$D"&amp;"$6:$D$505,""&gt;""&amp;prevDate,Movimientos!$D$6:$D$505,""&lt;=""&amp;A302,Movimientos!$E$6:$E$505,FALSE,Movimientos!$C$6:$C$505,""&lt;&gt;Fecha inferida*""),flow,SUMIFS(Movimientos!$B$6:$B$505,Movimientos!$D$6:$D$505,""&gt;""&amp;prevDate,Movimientos!$D$6:$D$505,""&lt;=""&amp;A302,Movimi"&amp;"entos!$E$6:$E$505,TRUE)+SUMIFS(Movimientos!$B$6:$B$505,Movimientos!$D$6:$D$505,""&gt;""&amp;prevDate,Movimientos!$D$6:$D$505,""&lt;=""&amp;A302,Movimientos!$C$6:$C$505,""Fecha inferida*""),net,B302-flow,IF(OR(gap&lt;1,unknown&gt;0,prevValue&lt;=0,net&lt;=0),"""",(POWER(net/prevVal"&amp;"ue,1/gap)-1)*100)),""""))"),"")</f>
        <v/>
      </c>
      <c r="E302" s="95" t="str">
        <f t="shared" si="1"/>
        <v/>
      </c>
    </row>
    <row r="303" spans="1:5" x14ac:dyDescent="0.25">
      <c r="A303" s="92">
        <v>46324</v>
      </c>
      <c r="B303" s="93" t="str">
        <f>IF(Diario!B307="","",Diario!B307)</f>
        <v/>
      </c>
      <c r="C303" s="93">
        <f>SUMIFS(Movimientos!$B$6:$B$505,Movimientos!$D$6:$D$505,A303,Movimientos!$E$6:$E$505,TRUE)</f>
        <v>0</v>
      </c>
      <c r="D303" s="94" t="str">
        <f ca="1">IFERROR(__xludf.DUMMYFUNCTION("IF(OR(B303="""",A303&gt;TODAY(),E303=""Histórico mensual"",E303=""Base diaria""),"""",IFERROR(LET(prevDate,MAX(FILTER($A$2:A302,$B$2:B302&lt;&gt;"""",$A$2:A302&lt;A303)),prevValue,XLOOKUP(prevDate,$A$2:A302,$B$2:B302),gap,A303-prevDate,unknown,COUNTIFS(Movimientos!$D"&amp;"$6:$D$505,""&gt;""&amp;prevDate,Movimientos!$D$6:$D$505,""&lt;=""&amp;A303,Movimientos!$E$6:$E$505,FALSE,Movimientos!$C$6:$C$505,""&lt;&gt;Fecha inferida*""),flow,SUMIFS(Movimientos!$B$6:$B$505,Movimientos!$D$6:$D$505,""&gt;""&amp;prevDate,Movimientos!$D$6:$D$505,""&lt;=""&amp;A303,Movimi"&amp;"entos!$E$6:$E$505,TRUE)+SUMIFS(Movimientos!$B$6:$B$505,Movimientos!$D$6:$D$505,""&gt;""&amp;prevDate,Movimientos!$D$6:$D$505,""&lt;=""&amp;A303,Movimientos!$C$6:$C$505,""Fecha inferida*""),net,B303-flow,IF(OR(gap&lt;1,unknown&gt;0,prevValue&lt;=0,net&lt;=0),"""",(POWER(net/prevVal"&amp;"ue,1/gap)-1)*100)),""""))"),"")</f>
        <v/>
      </c>
      <c r="E303" s="95" t="str">
        <f t="shared" si="1"/>
        <v/>
      </c>
    </row>
    <row r="304" spans="1:5" x14ac:dyDescent="0.25">
      <c r="A304" s="92">
        <v>46325</v>
      </c>
      <c r="B304" s="93" t="str">
        <f>IF(Diario!B308="","",Diario!B308)</f>
        <v/>
      </c>
      <c r="C304" s="93">
        <f>SUMIFS(Movimientos!$B$6:$B$505,Movimientos!$D$6:$D$505,A304,Movimientos!$E$6:$E$505,TRUE)</f>
        <v>0</v>
      </c>
      <c r="D304" s="94" t="str">
        <f ca="1">IFERROR(__xludf.DUMMYFUNCTION("IF(OR(B304="""",A304&gt;TODAY(),E304=""Histórico mensual"",E304=""Base diaria""),"""",IFERROR(LET(prevDate,MAX(FILTER($A$2:A303,$B$2:B303&lt;&gt;"""",$A$2:A303&lt;A304)),prevValue,XLOOKUP(prevDate,$A$2:A303,$B$2:B303),gap,A304-prevDate,unknown,COUNTIFS(Movimientos!$D"&amp;"$6:$D$505,""&gt;""&amp;prevDate,Movimientos!$D$6:$D$505,""&lt;=""&amp;A304,Movimientos!$E$6:$E$505,FALSE,Movimientos!$C$6:$C$505,""&lt;&gt;Fecha inferida*""),flow,SUMIFS(Movimientos!$B$6:$B$505,Movimientos!$D$6:$D$505,""&gt;""&amp;prevDate,Movimientos!$D$6:$D$505,""&lt;=""&amp;A304,Movimi"&amp;"entos!$E$6:$E$505,TRUE)+SUMIFS(Movimientos!$B$6:$B$505,Movimientos!$D$6:$D$505,""&gt;""&amp;prevDate,Movimientos!$D$6:$D$505,""&lt;=""&amp;A304,Movimientos!$C$6:$C$505,""Fecha inferida*""),net,B304-flow,IF(OR(gap&lt;1,unknown&gt;0,prevValue&lt;=0,net&lt;=0),"""",(POWER(net/prevVal"&amp;"ue,1/gap)-1)*100)),""""))"),"")</f>
        <v/>
      </c>
      <c r="E304" s="95" t="str">
        <f t="shared" si="1"/>
        <v/>
      </c>
    </row>
    <row r="305" spans="1:5" x14ac:dyDescent="0.25">
      <c r="A305" s="92">
        <v>46326</v>
      </c>
      <c r="B305" s="93" t="str">
        <f>IF(Diario!B309="","",Diario!B309)</f>
        <v/>
      </c>
      <c r="C305" s="93">
        <f>SUMIFS(Movimientos!$B$6:$B$505,Movimientos!$D$6:$D$505,A305,Movimientos!$E$6:$E$505,TRUE)</f>
        <v>0</v>
      </c>
      <c r="D305" s="94" t="str">
        <f ca="1">IFERROR(__xludf.DUMMYFUNCTION("IF(OR(B305="""",A305&gt;TODAY(),E305=""Histórico mensual"",E305=""Base diaria""),"""",IFERROR(LET(prevDate,MAX(FILTER($A$2:A304,$B$2:B304&lt;&gt;"""",$A$2:A304&lt;A305)),prevValue,XLOOKUP(prevDate,$A$2:A304,$B$2:B304),gap,A305-prevDate,unknown,COUNTIFS(Movimientos!$D"&amp;"$6:$D$505,""&gt;""&amp;prevDate,Movimientos!$D$6:$D$505,""&lt;=""&amp;A305,Movimientos!$E$6:$E$505,FALSE,Movimientos!$C$6:$C$505,""&lt;&gt;Fecha inferida*""),flow,SUMIFS(Movimientos!$B$6:$B$505,Movimientos!$D$6:$D$505,""&gt;""&amp;prevDate,Movimientos!$D$6:$D$505,""&lt;=""&amp;A305,Movimi"&amp;"entos!$E$6:$E$505,TRUE)+SUMIFS(Movimientos!$B$6:$B$505,Movimientos!$D$6:$D$505,""&gt;""&amp;prevDate,Movimientos!$D$6:$D$505,""&lt;=""&amp;A305,Movimientos!$C$6:$C$505,""Fecha inferida*""),net,B305-flow,IF(OR(gap&lt;1,unknown&gt;0,prevValue&lt;=0,net&lt;=0),"""",(POWER(net/prevVal"&amp;"ue,1/gap)-1)*100)),""""))"),"")</f>
        <v/>
      </c>
      <c r="E305" s="95" t="str">
        <f t="shared" si="1"/>
        <v/>
      </c>
    </row>
    <row r="306" spans="1:5" x14ac:dyDescent="0.25">
      <c r="A306" s="92">
        <v>46327</v>
      </c>
      <c r="B306" s="93" t="str">
        <f>IF(Diario!B310="","",Diario!B310)</f>
        <v/>
      </c>
      <c r="C306" s="93">
        <f>SUMIFS(Movimientos!$B$6:$B$505,Movimientos!$D$6:$D$505,A306,Movimientos!$E$6:$E$505,TRUE)</f>
        <v>0</v>
      </c>
      <c r="D306" s="94" t="str">
        <f ca="1">IFERROR(__xludf.DUMMYFUNCTION("IF(OR(B306="""",A306&gt;TODAY(),E306=""Histórico mensual"",E306=""Base diaria""),"""",IFERROR(LET(prevDate,MAX(FILTER($A$2:A305,$B$2:B305&lt;&gt;"""",$A$2:A305&lt;A306)),prevValue,XLOOKUP(prevDate,$A$2:A305,$B$2:B305),gap,A306-prevDate,unknown,COUNTIFS(Movimientos!$D"&amp;"$6:$D$505,""&gt;""&amp;prevDate,Movimientos!$D$6:$D$505,""&lt;=""&amp;A306,Movimientos!$E$6:$E$505,FALSE,Movimientos!$C$6:$C$505,""&lt;&gt;Fecha inferida*""),flow,SUMIFS(Movimientos!$B$6:$B$505,Movimientos!$D$6:$D$505,""&gt;""&amp;prevDate,Movimientos!$D$6:$D$505,""&lt;=""&amp;A306,Movimi"&amp;"entos!$E$6:$E$505,TRUE)+SUMIFS(Movimientos!$B$6:$B$505,Movimientos!$D$6:$D$505,""&gt;""&amp;prevDate,Movimientos!$D$6:$D$505,""&lt;=""&amp;A306,Movimientos!$C$6:$C$505,""Fecha inferida*""),net,B306-flow,IF(OR(gap&lt;1,unknown&gt;0,prevValue&lt;=0,net&lt;=0),"""",(POWER(net/prevVal"&amp;"ue,1/gap)-1)*100)),""""))"),"")</f>
        <v/>
      </c>
      <c r="E306" s="95" t="str">
        <f t="shared" si="1"/>
        <v/>
      </c>
    </row>
    <row r="307" spans="1:5" x14ac:dyDescent="0.25">
      <c r="A307" s="92">
        <v>46328</v>
      </c>
      <c r="B307" s="93" t="str">
        <f>IF(Diario!B311="","",Diario!B311)</f>
        <v/>
      </c>
      <c r="C307" s="93">
        <f>SUMIFS(Movimientos!$B$6:$B$505,Movimientos!$D$6:$D$505,A307,Movimientos!$E$6:$E$505,TRUE)</f>
        <v>0</v>
      </c>
      <c r="D307" s="94" t="str">
        <f ca="1">IFERROR(__xludf.DUMMYFUNCTION("IF(OR(B307="""",A307&gt;TODAY(),E307=""Histórico mensual"",E307=""Base diaria""),"""",IFERROR(LET(prevDate,MAX(FILTER($A$2:A306,$B$2:B306&lt;&gt;"""",$A$2:A306&lt;A307)),prevValue,XLOOKUP(prevDate,$A$2:A306,$B$2:B306),gap,A307-prevDate,unknown,COUNTIFS(Movimientos!$D"&amp;"$6:$D$505,""&gt;""&amp;prevDate,Movimientos!$D$6:$D$505,""&lt;=""&amp;A307,Movimientos!$E$6:$E$505,FALSE,Movimientos!$C$6:$C$505,""&lt;&gt;Fecha inferida*""),flow,SUMIFS(Movimientos!$B$6:$B$505,Movimientos!$D$6:$D$505,""&gt;""&amp;prevDate,Movimientos!$D$6:$D$505,""&lt;=""&amp;A307,Movimi"&amp;"entos!$E$6:$E$505,TRUE)+SUMIFS(Movimientos!$B$6:$B$505,Movimientos!$D$6:$D$505,""&gt;""&amp;prevDate,Movimientos!$D$6:$D$505,""&lt;=""&amp;A307,Movimientos!$C$6:$C$505,""Fecha inferida*""),net,B307-flow,IF(OR(gap&lt;1,unknown&gt;0,prevValue&lt;=0,net&lt;=0),"""",(POWER(net/prevVal"&amp;"ue,1/gap)-1)*100)),""""))"),"")</f>
        <v/>
      </c>
      <c r="E307" s="95" t="str">
        <f t="shared" si="1"/>
        <v/>
      </c>
    </row>
    <row r="308" spans="1:5" x14ac:dyDescent="0.25">
      <c r="A308" s="92">
        <v>46329</v>
      </c>
      <c r="B308" s="93" t="str">
        <f>IF(Diario!B312="","",Diario!B312)</f>
        <v/>
      </c>
      <c r="C308" s="93">
        <f>SUMIFS(Movimientos!$B$6:$B$505,Movimientos!$D$6:$D$505,A308,Movimientos!$E$6:$E$505,TRUE)</f>
        <v>0</v>
      </c>
      <c r="D308" s="94" t="str">
        <f ca="1">IFERROR(__xludf.DUMMYFUNCTION("IF(OR(B308="""",A308&gt;TODAY(),E308=""Histórico mensual"",E308=""Base diaria""),"""",IFERROR(LET(prevDate,MAX(FILTER($A$2:A307,$B$2:B307&lt;&gt;"""",$A$2:A307&lt;A308)),prevValue,XLOOKUP(prevDate,$A$2:A307,$B$2:B307),gap,A308-prevDate,unknown,COUNTIFS(Movimientos!$D"&amp;"$6:$D$505,""&gt;""&amp;prevDate,Movimientos!$D$6:$D$505,""&lt;=""&amp;A308,Movimientos!$E$6:$E$505,FALSE,Movimientos!$C$6:$C$505,""&lt;&gt;Fecha inferida*""),flow,SUMIFS(Movimientos!$B$6:$B$505,Movimientos!$D$6:$D$505,""&gt;""&amp;prevDate,Movimientos!$D$6:$D$505,""&lt;=""&amp;A308,Movimi"&amp;"entos!$E$6:$E$505,TRUE)+SUMIFS(Movimientos!$B$6:$B$505,Movimientos!$D$6:$D$505,""&gt;""&amp;prevDate,Movimientos!$D$6:$D$505,""&lt;=""&amp;A308,Movimientos!$C$6:$C$505,""Fecha inferida*""),net,B308-flow,IF(OR(gap&lt;1,unknown&gt;0,prevValue&lt;=0,net&lt;=0),"""",(POWER(net/prevVal"&amp;"ue,1/gap)-1)*100)),""""))"),"")</f>
        <v/>
      </c>
      <c r="E308" s="95" t="str">
        <f t="shared" si="1"/>
        <v/>
      </c>
    </row>
    <row r="309" spans="1:5" x14ac:dyDescent="0.25">
      <c r="A309" s="92">
        <v>46330</v>
      </c>
      <c r="B309" s="93" t="str">
        <f>IF(Diario!B313="","",Diario!B313)</f>
        <v/>
      </c>
      <c r="C309" s="93">
        <f>SUMIFS(Movimientos!$B$6:$B$505,Movimientos!$D$6:$D$505,A309,Movimientos!$E$6:$E$505,TRUE)</f>
        <v>0</v>
      </c>
      <c r="D309" s="94" t="str">
        <f ca="1">IFERROR(__xludf.DUMMYFUNCTION("IF(OR(B309="""",A309&gt;TODAY(),E309=""Histórico mensual"",E309=""Base diaria""),"""",IFERROR(LET(prevDate,MAX(FILTER($A$2:A308,$B$2:B308&lt;&gt;"""",$A$2:A308&lt;A309)),prevValue,XLOOKUP(prevDate,$A$2:A308,$B$2:B308),gap,A309-prevDate,unknown,COUNTIFS(Movimientos!$D"&amp;"$6:$D$505,""&gt;""&amp;prevDate,Movimientos!$D$6:$D$505,""&lt;=""&amp;A309,Movimientos!$E$6:$E$505,FALSE,Movimientos!$C$6:$C$505,""&lt;&gt;Fecha inferida*""),flow,SUMIFS(Movimientos!$B$6:$B$505,Movimientos!$D$6:$D$505,""&gt;""&amp;prevDate,Movimientos!$D$6:$D$505,""&lt;=""&amp;A309,Movimi"&amp;"entos!$E$6:$E$505,TRUE)+SUMIFS(Movimientos!$B$6:$B$505,Movimientos!$D$6:$D$505,""&gt;""&amp;prevDate,Movimientos!$D$6:$D$505,""&lt;=""&amp;A309,Movimientos!$C$6:$C$505,""Fecha inferida*""),net,B309-flow,IF(OR(gap&lt;1,unknown&gt;0,prevValue&lt;=0,net&lt;=0),"""",(POWER(net/prevVal"&amp;"ue,1/gap)-1)*100)),""""))"),"")</f>
        <v/>
      </c>
      <c r="E309" s="95" t="str">
        <f t="shared" si="1"/>
        <v/>
      </c>
    </row>
    <row r="310" spans="1:5" x14ac:dyDescent="0.25">
      <c r="A310" s="92">
        <v>46331</v>
      </c>
      <c r="B310" s="93" t="str">
        <f>IF(Diario!B314="","",Diario!B314)</f>
        <v/>
      </c>
      <c r="C310" s="93">
        <f>SUMIFS(Movimientos!$B$6:$B$505,Movimientos!$D$6:$D$505,A310,Movimientos!$E$6:$E$505,TRUE)</f>
        <v>0</v>
      </c>
      <c r="D310" s="94" t="str">
        <f ca="1">IFERROR(__xludf.DUMMYFUNCTION("IF(OR(B310="""",A310&gt;TODAY(),E310=""Histórico mensual"",E310=""Base diaria""),"""",IFERROR(LET(prevDate,MAX(FILTER($A$2:A309,$B$2:B309&lt;&gt;"""",$A$2:A309&lt;A310)),prevValue,XLOOKUP(prevDate,$A$2:A309,$B$2:B309),gap,A310-prevDate,unknown,COUNTIFS(Movimientos!$D"&amp;"$6:$D$505,""&gt;""&amp;prevDate,Movimientos!$D$6:$D$505,""&lt;=""&amp;A310,Movimientos!$E$6:$E$505,FALSE,Movimientos!$C$6:$C$505,""&lt;&gt;Fecha inferida*""),flow,SUMIFS(Movimientos!$B$6:$B$505,Movimientos!$D$6:$D$505,""&gt;""&amp;prevDate,Movimientos!$D$6:$D$505,""&lt;=""&amp;A310,Movimi"&amp;"entos!$E$6:$E$505,TRUE)+SUMIFS(Movimientos!$B$6:$B$505,Movimientos!$D$6:$D$505,""&gt;""&amp;prevDate,Movimientos!$D$6:$D$505,""&lt;=""&amp;A310,Movimientos!$C$6:$C$505,""Fecha inferida*""),net,B310-flow,IF(OR(gap&lt;1,unknown&gt;0,prevValue&lt;=0,net&lt;=0),"""",(POWER(net/prevVal"&amp;"ue,1/gap)-1)*100)),""""))"),"")</f>
        <v/>
      </c>
      <c r="E310" s="95" t="str">
        <f t="shared" si="1"/>
        <v/>
      </c>
    </row>
    <row r="311" spans="1:5" x14ac:dyDescent="0.25">
      <c r="A311" s="92">
        <v>46332</v>
      </c>
      <c r="B311" s="93" t="str">
        <f>IF(Diario!B315="","",Diario!B315)</f>
        <v/>
      </c>
      <c r="C311" s="93">
        <f>SUMIFS(Movimientos!$B$6:$B$505,Movimientos!$D$6:$D$505,A311,Movimientos!$E$6:$E$505,TRUE)</f>
        <v>0</v>
      </c>
      <c r="D311" s="94" t="str">
        <f ca="1">IFERROR(__xludf.DUMMYFUNCTION("IF(OR(B311="""",A311&gt;TODAY(),E311=""Histórico mensual"",E311=""Base diaria""),"""",IFERROR(LET(prevDate,MAX(FILTER($A$2:A310,$B$2:B310&lt;&gt;"""",$A$2:A310&lt;A311)),prevValue,XLOOKUP(prevDate,$A$2:A310,$B$2:B310),gap,A311-prevDate,unknown,COUNTIFS(Movimientos!$D"&amp;"$6:$D$505,""&gt;""&amp;prevDate,Movimientos!$D$6:$D$505,""&lt;=""&amp;A311,Movimientos!$E$6:$E$505,FALSE,Movimientos!$C$6:$C$505,""&lt;&gt;Fecha inferida*""),flow,SUMIFS(Movimientos!$B$6:$B$505,Movimientos!$D$6:$D$505,""&gt;""&amp;prevDate,Movimientos!$D$6:$D$505,""&lt;=""&amp;A311,Movimi"&amp;"entos!$E$6:$E$505,TRUE)+SUMIFS(Movimientos!$B$6:$B$505,Movimientos!$D$6:$D$505,""&gt;""&amp;prevDate,Movimientos!$D$6:$D$505,""&lt;=""&amp;A311,Movimientos!$C$6:$C$505,""Fecha inferida*""),net,B311-flow,IF(OR(gap&lt;1,unknown&gt;0,prevValue&lt;=0,net&lt;=0),"""",(POWER(net/prevVal"&amp;"ue,1/gap)-1)*100)),""""))"),"")</f>
        <v/>
      </c>
      <c r="E311" s="95" t="str">
        <f t="shared" si="1"/>
        <v/>
      </c>
    </row>
    <row r="312" spans="1:5" x14ac:dyDescent="0.25">
      <c r="A312" s="92">
        <v>46333</v>
      </c>
      <c r="B312" s="93" t="str">
        <f>IF(Diario!B316="","",Diario!B316)</f>
        <v/>
      </c>
      <c r="C312" s="93">
        <f>SUMIFS(Movimientos!$B$6:$B$505,Movimientos!$D$6:$D$505,A312,Movimientos!$E$6:$E$505,TRUE)</f>
        <v>0</v>
      </c>
      <c r="D312" s="94" t="str">
        <f ca="1">IFERROR(__xludf.DUMMYFUNCTION("IF(OR(B312="""",A312&gt;TODAY(),E312=""Histórico mensual"",E312=""Base diaria""),"""",IFERROR(LET(prevDate,MAX(FILTER($A$2:A311,$B$2:B311&lt;&gt;"""",$A$2:A311&lt;A312)),prevValue,XLOOKUP(prevDate,$A$2:A311,$B$2:B311),gap,A312-prevDate,unknown,COUNTIFS(Movimientos!$D"&amp;"$6:$D$505,""&gt;""&amp;prevDate,Movimientos!$D$6:$D$505,""&lt;=""&amp;A312,Movimientos!$E$6:$E$505,FALSE,Movimientos!$C$6:$C$505,""&lt;&gt;Fecha inferida*""),flow,SUMIFS(Movimientos!$B$6:$B$505,Movimientos!$D$6:$D$505,""&gt;""&amp;prevDate,Movimientos!$D$6:$D$505,""&lt;=""&amp;A312,Movimi"&amp;"entos!$E$6:$E$505,TRUE)+SUMIFS(Movimientos!$B$6:$B$505,Movimientos!$D$6:$D$505,""&gt;""&amp;prevDate,Movimientos!$D$6:$D$505,""&lt;=""&amp;A312,Movimientos!$C$6:$C$505,""Fecha inferida*""),net,B312-flow,IF(OR(gap&lt;1,unknown&gt;0,prevValue&lt;=0,net&lt;=0),"""",(POWER(net/prevVal"&amp;"ue,1/gap)-1)*100)),""""))"),"")</f>
        <v/>
      </c>
      <c r="E312" s="95" t="str">
        <f t="shared" si="1"/>
        <v/>
      </c>
    </row>
    <row r="313" spans="1:5" x14ac:dyDescent="0.25">
      <c r="A313" s="92">
        <v>46334</v>
      </c>
      <c r="B313" s="93" t="str">
        <f>IF(Diario!B317="","",Diario!B317)</f>
        <v/>
      </c>
      <c r="C313" s="93">
        <f>SUMIFS(Movimientos!$B$6:$B$505,Movimientos!$D$6:$D$505,A313,Movimientos!$E$6:$E$505,TRUE)</f>
        <v>0</v>
      </c>
      <c r="D313" s="94" t="str">
        <f ca="1">IFERROR(__xludf.DUMMYFUNCTION("IF(OR(B313="""",A313&gt;TODAY(),E313=""Histórico mensual"",E313=""Base diaria""),"""",IFERROR(LET(prevDate,MAX(FILTER($A$2:A312,$B$2:B312&lt;&gt;"""",$A$2:A312&lt;A313)),prevValue,XLOOKUP(prevDate,$A$2:A312,$B$2:B312),gap,A313-prevDate,unknown,COUNTIFS(Movimientos!$D"&amp;"$6:$D$505,""&gt;""&amp;prevDate,Movimientos!$D$6:$D$505,""&lt;=""&amp;A313,Movimientos!$E$6:$E$505,FALSE,Movimientos!$C$6:$C$505,""&lt;&gt;Fecha inferida*""),flow,SUMIFS(Movimientos!$B$6:$B$505,Movimientos!$D$6:$D$505,""&gt;""&amp;prevDate,Movimientos!$D$6:$D$505,""&lt;=""&amp;A313,Movimi"&amp;"entos!$E$6:$E$505,TRUE)+SUMIFS(Movimientos!$B$6:$B$505,Movimientos!$D$6:$D$505,""&gt;""&amp;prevDate,Movimientos!$D$6:$D$505,""&lt;=""&amp;A313,Movimientos!$C$6:$C$505,""Fecha inferida*""),net,B313-flow,IF(OR(gap&lt;1,unknown&gt;0,prevValue&lt;=0,net&lt;=0),"""",(POWER(net/prevVal"&amp;"ue,1/gap)-1)*100)),""""))"),"")</f>
        <v/>
      </c>
      <c r="E313" s="95" t="str">
        <f t="shared" si="1"/>
        <v/>
      </c>
    </row>
    <row r="314" spans="1:5" x14ac:dyDescent="0.25">
      <c r="A314" s="92">
        <v>46335</v>
      </c>
      <c r="B314" s="93" t="str">
        <f>IF(Diario!B318="","",Diario!B318)</f>
        <v/>
      </c>
      <c r="C314" s="93">
        <f>SUMIFS(Movimientos!$B$6:$B$505,Movimientos!$D$6:$D$505,A314,Movimientos!$E$6:$E$505,TRUE)</f>
        <v>0</v>
      </c>
      <c r="D314" s="94" t="str">
        <f ca="1">IFERROR(__xludf.DUMMYFUNCTION("IF(OR(B314="""",A314&gt;TODAY(),E314=""Histórico mensual"",E314=""Base diaria""),"""",IFERROR(LET(prevDate,MAX(FILTER($A$2:A313,$B$2:B313&lt;&gt;"""",$A$2:A313&lt;A314)),prevValue,XLOOKUP(prevDate,$A$2:A313,$B$2:B313),gap,A314-prevDate,unknown,COUNTIFS(Movimientos!$D"&amp;"$6:$D$505,""&gt;""&amp;prevDate,Movimientos!$D$6:$D$505,""&lt;=""&amp;A314,Movimientos!$E$6:$E$505,FALSE,Movimientos!$C$6:$C$505,""&lt;&gt;Fecha inferida*""),flow,SUMIFS(Movimientos!$B$6:$B$505,Movimientos!$D$6:$D$505,""&gt;""&amp;prevDate,Movimientos!$D$6:$D$505,""&lt;=""&amp;A314,Movimi"&amp;"entos!$E$6:$E$505,TRUE)+SUMIFS(Movimientos!$B$6:$B$505,Movimientos!$D$6:$D$505,""&gt;""&amp;prevDate,Movimientos!$D$6:$D$505,""&lt;=""&amp;A314,Movimientos!$C$6:$C$505,""Fecha inferida*""),net,B314-flow,IF(OR(gap&lt;1,unknown&gt;0,prevValue&lt;=0,net&lt;=0),"""",(POWER(net/prevVal"&amp;"ue,1/gap)-1)*100)),""""))"),"")</f>
        <v/>
      </c>
      <c r="E314" s="95" t="str">
        <f t="shared" si="1"/>
        <v/>
      </c>
    </row>
    <row r="315" spans="1:5" x14ac:dyDescent="0.25">
      <c r="A315" s="92">
        <v>46336</v>
      </c>
      <c r="B315" s="93" t="str">
        <f>IF(Diario!B319="","",Diario!B319)</f>
        <v/>
      </c>
      <c r="C315" s="93">
        <f>SUMIFS(Movimientos!$B$6:$B$505,Movimientos!$D$6:$D$505,A315,Movimientos!$E$6:$E$505,TRUE)</f>
        <v>0</v>
      </c>
      <c r="D315" s="94" t="str">
        <f ca="1">IFERROR(__xludf.DUMMYFUNCTION("IF(OR(B315="""",A315&gt;TODAY(),E315=""Histórico mensual"",E315=""Base diaria""),"""",IFERROR(LET(prevDate,MAX(FILTER($A$2:A314,$B$2:B314&lt;&gt;"""",$A$2:A314&lt;A315)),prevValue,XLOOKUP(prevDate,$A$2:A314,$B$2:B314),gap,A315-prevDate,unknown,COUNTIFS(Movimientos!$D"&amp;"$6:$D$505,""&gt;""&amp;prevDate,Movimientos!$D$6:$D$505,""&lt;=""&amp;A315,Movimientos!$E$6:$E$505,FALSE,Movimientos!$C$6:$C$505,""&lt;&gt;Fecha inferida*""),flow,SUMIFS(Movimientos!$B$6:$B$505,Movimientos!$D$6:$D$505,""&gt;""&amp;prevDate,Movimientos!$D$6:$D$505,""&lt;=""&amp;A315,Movimi"&amp;"entos!$E$6:$E$505,TRUE)+SUMIFS(Movimientos!$B$6:$B$505,Movimientos!$D$6:$D$505,""&gt;""&amp;prevDate,Movimientos!$D$6:$D$505,""&lt;=""&amp;A315,Movimientos!$C$6:$C$505,""Fecha inferida*""),net,B315-flow,IF(OR(gap&lt;1,unknown&gt;0,prevValue&lt;=0,net&lt;=0),"""",(POWER(net/prevVal"&amp;"ue,1/gap)-1)*100)),""""))"),"")</f>
        <v/>
      </c>
      <c r="E315" s="95" t="str">
        <f t="shared" si="1"/>
        <v/>
      </c>
    </row>
    <row r="316" spans="1:5" x14ac:dyDescent="0.25">
      <c r="A316" s="92">
        <v>46337</v>
      </c>
      <c r="B316" s="93" t="str">
        <f>IF(Diario!B320="","",Diario!B320)</f>
        <v/>
      </c>
      <c r="C316" s="93">
        <f>SUMIFS(Movimientos!$B$6:$B$505,Movimientos!$D$6:$D$505,A316,Movimientos!$E$6:$E$505,TRUE)</f>
        <v>0</v>
      </c>
      <c r="D316" s="94" t="str">
        <f ca="1">IFERROR(__xludf.DUMMYFUNCTION("IF(OR(B316="""",A316&gt;TODAY(),E316=""Histórico mensual"",E316=""Base diaria""),"""",IFERROR(LET(prevDate,MAX(FILTER($A$2:A315,$B$2:B315&lt;&gt;"""",$A$2:A315&lt;A316)),prevValue,XLOOKUP(prevDate,$A$2:A315,$B$2:B315),gap,A316-prevDate,unknown,COUNTIFS(Movimientos!$D"&amp;"$6:$D$505,""&gt;""&amp;prevDate,Movimientos!$D$6:$D$505,""&lt;=""&amp;A316,Movimientos!$E$6:$E$505,FALSE,Movimientos!$C$6:$C$505,""&lt;&gt;Fecha inferida*""),flow,SUMIFS(Movimientos!$B$6:$B$505,Movimientos!$D$6:$D$505,""&gt;""&amp;prevDate,Movimientos!$D$6:$D$505,""&lt;=""&amp;A316,Movimi"&amp;"entos!$E$6:$E$505,TRUE)+SUMIFS(Movimientos!$B$6:$B$505,Movimientos!$D$6:$D$505,""&gt;""&amp;prevDate,Movimientos!$D$6:$D$505,""&lt;=""&amp;A316,Movimientos!$C$6:$C$505,""Fecha inferida*""),net,B316-flow,IF(OR(gap&lt;1,unknown&gt;0,prevValue&lt;=0,net&lt;=0),"""",(POWER(net/prevVal"&amp;"ue,1/gap)-1)*100)),""""))"),"")</f>
        <v/>
      </c>
      <c r="E316" s="95" t="str">
        <f t="shared" si="1"/>
        <v/>
      </c>
    </row>
    <row r="317" spans="1:5" x14ac:dyDescent="0.25">
      <c r="A317" s="92">
        <v>46338</v>
      </c>
      <c r="B317" s="93" t="str">
        <f>IF(Diario!B321="","",Diario!B321)</f>
        <v/>
      </c>
      <c r="C317" s="93">
        <f>SUMIFS(Movimientos!$B$6:$B$505,Movimientos!$D$6:$D$505,A317,Movimientos!$E$6:$E$505,TRUE)</f>
        <v>0</v>
      </c>
      <c r="D317" s="94" t="str">
        <f ca="1">IFERROR(__xludf.DUMMYFUNCTION("IF(OR(B317="""",A317&gt;TODAY(),E317=""Histórico mensual"",E317=""Base diaria""),"""",IFERROR(LET(prevDate,MAX(FILTER($A$2:A316,$B$2:B316&lt;&gt;"""",$A$2:A316&lt;A317)),prevValue,XLOOKUP(prevDate,$A$2:A316,$B$2:B316),gap,A317-prevDate,unknown,COUNTIFS(Movimientos!$D"&amp;"$6:$D$505,""&gt;""&amp;prevDate,Movimientos!$D$6:$D$505,""&lt;=""&amp;A317,Movimientos!$E$6:$E$505,FALSE,Movimientos!$C$6:$C$505,""&lt;&gt;Fecha inferida*""),flow,SUMIFS(Movimientos!$B$6:$B$505,Movimientos!$D$6:$D$505,""&gt;""&amp;prevDate,Movimientos!$D$6:$D$505,""&lt;=""&amp;A317,Movimi"&amp;"entos!$E$6:$E$505,TRUE)+SUMIFS(Movimientos!$B$6:$B$505,Movimientos!$D$6:$D$505,""&gt;""&amp;prevDate,Movimientos!$D$6:$D$505,""&lt;=""&amp;A317,Movimientos!$C$6:$C$505,""Fecha inferida*""),net,B317-flow,IF(OR(gap&lt;1,unknown&gt;0,prevValue&lt;=0,net&lt;=0),"""",(POWER(net/prevVal"&amp;"ue,1/gap)-1)*100)),""""))"),"")</f>
        <v/>
      </c>
      <c r="E317" s="95" t="str">
        <f t="shared" si="1"/>
        <v/>
      </c>
    </row>
    <row r="318" spans="1:5" x14ac:dyDescent="0.25">
      <c r="A318" s="92">
        <v>46339</v>
      </c>
      <c r="B318" s="93" t="str">
        <f>IF(Diario!B322="","",Diario!B322)</f>
        <v/>
      </c>
      <c r="C318" s="93">
        <f>SUMIFS(Movimientos!$B$6:$B$505,Movimientos!$D$6:$D$505,A318,Movimientos!$E$6:$E$505,TRUE)</f>
        <v>0</v>
      </c>
      <c r="D318" s="94" t="str">
        <f ca="1">IFERROR(__xludf.DUMMYFUNCTION("IF(OR(B318="""",A318&gt;TODAY(),E318=""Histórico mensual"",E318=""Base diaria""),"""",IFERROR(LET(prevDate,MAX(FILTER($A$2:A317,$B$2:B317&lt;&gt;"""",$A$2:A317&lt;A318)),prevValue,XLOOKUP(prevDate,$A$2:A317,$B$2:B317),gap,A318-prevDate,unknown,COUNTIFS(Movimientos!$D"&amp;"$6:$D$505,""&gt;""&amp;prevDate,Movimientos!$D$6:$D$505,""&lt;=""&amp;A318,Movimientos!$E$6:$E$505,FALSE,Movimientos!$C$6:$C$505,""&lt;&gt;Fecha inferida*""),flow,SUMIFS(Movimientos!$B$6:$B$505,Movimientos!$D$6:$D$505,""&gt;""&amp;prevDate,Movimientos!$D$6:$D$505,""&lt;=""&amp;A318,Movimi"&amp;"entos!$E$6:$E$505,TRUE)+SUMIFS(Movimientos!$B$6:$B$505,Movimientos!$D$6:$D$505,""&gt;""&amp;prevDate,Movimientos!$D$6:$D$505,""&lt;=""&amp;A318,Movimientos!$C$6:$C$505,""Fecha inferida*""),net,B318-flow,IF(OR(gap&lt;1,unknown&gt;0,prevValue&lt;=0,net&lt;=0),"""",(POWER(net/prevVal"&amp;"ue,1/gap)-1)*100)),""""))"),"")</f>
        <v/>
      </c>
      <c r="E318" s="95" t="str">
        <f t="shared" si="1"/>
        <v/>
      </c>
    </row>
    <row r="319" spans="1:5" x14ac:dyDescent="0.25">
      <c r="A319" s="92">
        <v>46340</v>
      </c>
      <c r="B319" s="93" t="str">
        <f>IF(Diario!B323="","",Diario!B323)</f>
        <v/>
      </c>
      <c r="C319" s="93">
        <f>SUMIFS(Movimientos!$B$6:$B$505,Movimientos!$D$6:$D$505,A319,Movimientos!$E$6:$E$505,TRUE)</f>
        <v>0</v>
      </c>
      <c r="D319" s="94" t="str">
        <f ca="1">IFERROR(__xludf.DUMMYFUNCTION("IF(OR(B319="""",A319&gt;TODAY(),E319=""Histórico mensual"",E319=""Base diaria""),"""",IFERROR(LET(prevDate,MAX(FILTER($A$2:A318,$B$2:B318&lt;&gt;"""",$A$2:A318&lt;A319)),prevValue,XLOOKUP(prevDate,$A$2:A318,$B$2:B318),gap,A319-prevDate,unknown,COUNTIFS(Movimientos!$D"&amp;"$6:$D$505,""&gt;""&amp;prevDate,Movimientos!$D$6:$D$505,""&lt;=""&amp;A319,Movimientos!$E$6:$E$505,FALSE,Movimientos!$C$6:$C$505,""&lt;&gt;Fecha inferida*""),flow,SUMIFS(Movimientos!$B$6:$B$505,Movimientos!$D$6:$D$505,""&gt;""&amp;prevDate,Movimientos!$D$6:$D$505,""&lt;=""&amp;A319,Movimi"&amp;"entos!$E$6:$E$505,TRUE)+SUMIFS(Movimientos!$B$6:$B$505,Movimientos!$D$6:$D$505,""&gt;""&amp;prevDate,Movimientos!$D$6:$D$505,""&lt;=""&amp;A319,Movimientos!$C$6:$C$505,""Fecha inferida*""),net,B319-flow,IF(OR(gap&lt;1,unknown&gt;0,prevValue&lt;=0,net&lt;=0),"""",(POWER(net/prevVal"&amp;"ue,1/gap)-1)*100)),""""))"),"")</f>
        <v/>
      </c>
      <c r="E319" s="95" t="str">
        <f t="shared" si="1"/>
        <v/>
      </c>
    </row>
    <row r="320" spans="1:5" x14ac:dyDescent="0.25">
      <c r="A320" s="92">
        <v>46341</v>
      </c>
      <c r="B320" s="93" t="str">
        <f>IF(Diario!B324="","",Diario!B324)</f>
        <v/>
      </c>
      <c r="C320" s="93">
        <f>SUMIFS(Movimientos!$B$6:$B$505,Movimientos!$D$6:$D$505,A320,Movimientos!$E$6:$E$505,TRUE)</f>
        <v>0</v>
      </c>
      <c r="D320" s="94" t="str">
        <f ca="1">IFERROR(__xludf.DUMMYFUNCTION("IF(OR(B320="""",A320&gt;TODAY(),E320=""Histórico mensual"",E320=""Base diaria""),"""",IFERROR(LET(prevDate,MAX(FILTER($A$2:A319,$B$2:B319&lt;&gt;"""",$A$2:A319&lt;A320)),prevValue,XLOOKUP(prevDate,$A$2:A319,$B$2:B319),gap,A320-prevDate,unknown,COUNTIFS(Movimientos!$D"&amp;"$6:$D$505,""&gt;""&amp;prevDate,Movimientos!$D$6:$D$505,""&lt;=""&amp;A320,Movimientos!$E$6:$E$505,FALSE,Movimientos!$C$6:$C$505,""&lt;&gt;Fecha inferida*""),flow,SUMIFS(Movimientos!$B$6:$B$505,Movimientos!$D$6:$D$505,""&gt;""&amp;prevDate,Movimientos!$D$6:$D$505,""&lt;=""&amp;A320,Movimi"&amp;"entos!$E$6:$E$505,TRUE)+SUMIFS(Movimientos!$B$6:$B$505,Movimientos!$D$6:$D$505,""&gt;""&amp;prevDate,Movimientos!$D$6:$D$505,""&lt;=""&amp;A320,Movimientos!$C$6:$C$505,""Fecha inferida*""),net,B320-flow,IF(OR(gap&lt;1,unknown&gt;0,prevValue&lt;=0,net&lt;=0),"""",(POWER(net/prevVal"&amp;"ue,1/gap)-1)*100)),""""))"),"")</f>
        <v/>
      </c>
      <c r="E320" s="95" t="str">
        <f t="shared" si="1"/>
        <v/>
      </c>
    </row>
    <row r="321" spans="1:5" x14ac:dyDescent="0.25">
      <c r="A321" s="92">
        <v>46342</v>
      </c>
      <c r="B321" s="93" t="str">
        <f>IF(Diario!B325="","",Diario!B325)</f>
        <v/>
      </c>
      <c r="C321" s="93">
        <f>SUMIFS(Movimientos!$B$6:$B$505,Movimientos!$D$6:$D$505,A321,Movimientos!$E$6:$E$505,TRUE)</f>
        <v>0</v>
      </c>
      <c r="D321" s="94" t="str">
        <f ca="1">IFERROR(__xludf.DUMMYFUNCTION("IF(OR(B321="""",A321&gt;TODAY(),E321=""Histórico mensual"",E321=""Base diaria""),"""",IFERROR(LET(prevDate,MAX(FILTER($A$2:A320,$B$2:B320&lt;&gt;"""",$A$2:A320&lt;A321)),prevValue,XLOOKUP(prevDate,$A$2:A320,$B$2:B320),gap,A321-prevDate,unknown,COUNTIFS(Movimientos!$D"&amp;"$6:$D$505,""&gt;""&amp;prevDate,Movimientos!$D$6:$D$505,""&lt;=""&amp;A321,Movimientos!$E$6:$E$505,FALSE,Movimientos!$C$6:$C$505,""&lt;&gt;Fecha inferida*""),flow,SUMIFS(Movimientos!$B$6:$B$505,Movimientos!$D$6:$D$505,""&gt;""&amp;prevDate,Movimientos!$D$6:$D$505,""&lt;=""&amp;A321,Movimi"&amp;"entos!$E$6:$E$505,TRUE)+SUMIFS(Movimientos!$B$6:$B$505,Movimientos!$D$6:$D$505,""&gt;""&amp;prevDate,Movimientos!$D$6:$D$505,""&lt;=""&amp;A321,Movimientos!$C$6:$C$505,""Fecha inferida*""),net,B321-flow,IF(OR(gap&lt;1,unknown&gt;0,prevValue&lt;=0,net&lt;=0),"""",(POWER(net/prevVal"&amp;"ue,1/gap)-1)*100)),""""))"),"")</f>
        <v/>
      </c>
      <c r="E321" s="95" t="str">
        <f t="shared" si="1"/>
        <v/>
      </c>
    </row>
    <row r="322" spans="1:5" x14ac:dyDescent="0.25">
      <c r="A322" s="92">
        <v>46343</v>
      </c>
      <c r="B322" s="93" t="str">
        <f>IF(Diario!B326="","",Diario!B326)</f>
        <v/>
      </c>
      <c r="C322" s="93">
        <f>SUMIFS(Movimientos!$B$6:$B$505,Movimientos!$D$6:$D$505,A322,Movimientos!$E$6:$E$505,TRUE)</f>
        <v>0</v>
      </c>
      <c r="D322" s="94" t="str">
        <f ca="1">IFERROR(__xludf.DUMMYFUNCTION("IF(OR(B322="""",A322&gt;TODAY(),E322=""Histórico mensual"",E322=""Base diaria""),"""",IFERROR(LET(prevDate,MAX(FILTER($A$2:A321,$B$2:B321&lt;&gt;"""",$A$2:A321&lt;A322)),prevValue,XLOOKUP(prevDate,$A$2:A321,$B$2:B321),gap,A322-prevDate,unknown,COUNTIFS(Movimientos!$D"&amp;"$6:$D$505,""&gt;""&amp;prevDate,Movimientos!$D$6:$D$505,""&lt;=""&amp;A322,Movimientos!$E$6:$E$505,FALSE,Movimientos!$C$6:$C$505,""&lt;&gt;Fecha inferida*""),flow,SUMIFS(Movimientos!$B$6:$B$505,Movimientos!$D$6:$D$505,""&gt;""&amp;prevDate,Movimientos!$D$6:$D$505,""&lt;=""&amp;A322,Movimi"&amp;"entos!$E$6:$E$505,TRUE)+SUMIFS(Movimientos!$B$6:$B$505,Movimientos!$D$6:$D$505,""&gt;""&amp;prevDate,Movimientos!$D$6:$D$505,""&lt;=""&amp;A322,Movimientos!$C$6:$C$505,""Fecha inferida*""),net,B322-flow,IF(OR(gap&lt;1,unknown&gt;0,prevValue&lt;=0,net&lt;=0),"""",(POWER(net/prevVal"&amp;"ue,1/gap)-1)*100)),""""))"),"")</f>
        <v/>
      </c>
      <c r="E322" s="95" t="str">
        <f t="shared" si="1"/>
        <v/>
      </c>
    </row>
    <row r="323" spans="1:5" x14ac:dyDescent="0.25">
      <c r="A323" s="92">
        <v>46344</v>
      </c>
      <c r="B323" s="93" t="str">
        <f>IF(Diario!B327="","",Diario!B327)</f>
        <v/>
      </c>
      <c r="C323" s="93">
        <f>SUMIFS(Movimientos!$B$6:$B$505,Movimientos!$D$6:$D$505,A323,Movimientos!$E$6:$E$505,TRUE)</f>
        <v>0</v>
      </c>
      <c r="D323" s="94" t="str">
        <f ca="1">IFERROR(__xludf.DUMMYFUNCTION("IF(OR(B323="""",A323&gt;TODAY(),E323=""Histórico mensual"",E323=""Base diaria""),"""",IFERROR(LET(prevDate,MAX(FILTER($A$2:A322,$B$2:B322&lt;&gt;"""",$A$2:A322&lt;A323)),prevValue,XLOOKUP(prevDate,$A$2:A322,$B$2:B322),gap,A323-prevDate,unknown,COUNTIFS(Movimientos!$D"&amp;"$6:$D$505,""&gt;""&amp;prevDate,Movimientos!$D$6:$D$505,""&lt;=""&amp;A323,Movimientos!$E$6:$E$505,FALSE,Movimientos!$C$6:$C$505,""&lt;&gt;Fecha inferida*""),flow,SUMIFS(Movimientos!$B$6:$B$505,Movimientos!$D$6:$D$505,""&gt;""&amp;prevDate,Movimientos!$D$6:$D$505,""&lt;=""&amp;A323,Movimi"&amp;"entos!$E$6:$E$505,TRUE)+SUMIFS(Movimientos!$B$6:$B$505,Movimientos!$D$6:$D$505,""&gt;""&amp;prevDate,Movimientos!$D$6:$D$505,""&lt;=""&amp;A323,Movimientos!$C$6:$C$505,""Fecha inferida*""),net,B323-flow,IF(OR(gap&lt;1,unknown&gt;0,prevValue&lt;=0,net&lt;=0),"""",(POWER(net/prevVal"&amp;"ue,1/gap)-1)*100)),""""))"),"")</f>
        <v/>
      </c>
      <c r="E323" s="95" t="str">
        <f t="shared" si="1"/>
        <v/>
      </c>
    </row>
    <row r="324" spans="1:5" x14ac:dyDescent="0.25">
      <c r="A324" s="92">
        <v>46345</v>
      </c>
      <c r="B324" s="93" t="str">
        <f>IF(Diario!B328="","",Diario!B328)</f>
        <v/>
      </c>
      <c r="C324" s="93">
        <f>SUMIFS(Movimientos!$B$6:$B$505,Movimientos!$D$6:$D$505,A324,Movimientos!$E$6:$E$505,TRUE)</f>
        <v>0</v>
      </c>
      <c r="D324" s="94" t="str">
        <f ca="1">IFERROR(__xludf.DUMMYFUNCTION("IF(OR(B324="""",A324&gt;TODAY(),E324=""Histórico mensual"",E324=""Base diaria""),"""",IFERROR(LET(prevDate,MAX(FILTER($A$2:A323,$B$2:B323&lt;&gt;"""",$A$2:A323&lt;A324)),prevValue,XLOOKUP(prevDate,$A$2:A323,$B$2:B323),gap,A324-prevDate,unknown,COUNTIFS(Movimientos!$D"&amp;"$6:$D$505,""&gt;""&amp;prevDate,Movimientos!$D$6:$D$505,""&lt;=""&amp;A324,Movimientos!$E$6:$E$505,FALSE,Movimientos!$C$6:$C$505,""&lt;&gt;Fecha inferida*""),flow,SUMIFS(Movimientos!$B$6:$B$505,Movimientos!$D$6:$D$505,""&gt;""&amp;prevDate,Movimientos!$D$6:$D$505,""&lt;=""&amp;A324,Movimi"&amp;"entos!$E$6:$E$505,TRUE)+SUMIFS(Movimientos!$B$6:$B$505,Movimientos!$D$6:$D$505,""&gt;""&amp;prevDate,Movimientos!$D$6:$D$505,""&lt;=""&amp;A324,Movimientos!$C$6:$C$505,""Fecha inferida*""),net,B324-flow,IF(OR(gap&lt;1,unknown&gt;0,prevValue&lt;=0,net&lt;=0),"""",(POWER(net/prevVal"&amp;"ue,1/gap)-1)*100)),""""))"),"")</f>
        <v/>
      </c>
      <c r="E324" s="95" t="str">
        <f t="shared" si="1"/>
        <v/>
      </c>
    </row>
    <row r="325" spans="1:5" x14ac:dyDescent="0.25">
      <c r="A325" s="92">
        <v>46346</v>
      </c>
      <c r="B325" s="93" t="str">
        <f>IF(Diario!B329="","",Diario!B329)</f>
        <v/>
      </c>
      <c r="C325" s="93">
        <f>SUMIFS(Movimientos!$B$6:$B$505,Movimientos!$D$6:$D$505,A325,Movimientos!$E$6:$E$505,TRUE)</f>
        <v>0</v>
      </c>
      <c r="D325" s="94" t="str">
        <f ca="1">IFERROR(__xludf.DUMMYFUNCTION("IF(OR(B325="""",A325&gt;TODAY(),E325=""Histórico mensual"",E325=""Base diaria""),"""",IFERROR(LET(prevDate,MAX(FILTER($A$2:A324,$B$2:B324&lt;&gt;"""",$A$2:A324&lt;A325)),prevValue,XLOOKUP(prevDate,$A$2:A324,$B$2:B324),gap,A325-prevDate,unknown,COUNTIFS(Movimientos!$D"&amp;"$6:$D$505,""&gt;""&amp;prevDate,Movimientos!$D$6:$D$505,""&lt;=""&amp;A325,Movimientos!$E$6:$E$505,FALSE,Movimientos!$C$6:$C$505,""&lt;&gt;Fecha inferida*""),flow,SUMIFS(Movimientos!$B$6:$B$505,Movimientos!$D$6:$D$505,""&gt;""&amp;prevDate,Movimientos!$D$6:$D$505,""&lt;=""&amp;A325,Movimi"&amp;"entos!$E$6:$E$505,TRUE)+SUMIFS(Movimientos!$B$6:$B$505,Movimientos!$D$6:$D$505,""&gt;""&amp;prevDate,Movimientos!$D$6:$D$505,""&lt;=""&amp;A325,Movimientos!$C$6:$C$505,""Fecha inferida*""),net,B325-flow,IF(OR(gap&lt;1,unknown&gt;0,prevValue&lt;=0,net&lt;=0),"""",(POWER(net/prevVal"&amp;"ue,1/gap)-1)*100)),""""))"),"")</f>
        <v/>
      </c>
      <c r="E325" s="95" t="str">
        <f t="shared" si="1"/>
        <v/>
      </c>
    </row>
    <row r="326" spans="1:5" x14ac:dyDescent="0.25">
      <c r="A326" s="92">
        <v>46347</v>
      </c>
      <c r="B326" s="93" t="str">
        <f>IF(Diario!B330="","",Diario!B330)</f>
        <v/>
      </c>
      <c r="C326" s="93">
        <f>SUMIFS(Movimientos!$B$6:$B$505,Movimientos!$D$6:$D$505,A326,Movimientos!$E$6:$E$505,TRUE)</f>
        <v>0</v>
      </c>
      <c r="D326" s="94" t="str">
        <f ca="1">IFERROR(__xludf.DUMMYFUNCTION("IF(OR(B326="""",A326&gt;TODAY(),E326=""Histórico mensual"",E326=""Base diaria""),"""",IFERROR(LET(prevDate,MAX(FILTER($A$2:A325,$B$2:B325&lt;&gt;"""",$A$2:A325&lt;A326)),prevValue,XLOOKUP(prevDate,$A$2:A325,$B$2:B325),gap,A326-prevDate,unknown,COUNTIFS(Movimientos!$D"&amp;"$6:$D$505,""&gt;""&amp;prevDate,Movimientos!$D$6:$D$505,""&lt;=""&amp;A326,Movimientos!$E$6:$E$505,FALSE,Movimientos!$C$6:$C$505,""&lt;&gt;Fecha inferida*""),flow,SUMIFS(Movimientos!$B$6:$B$505,Movimientos!$D$6:$D$505,""&gt;""&amp;prevDate,Movimientos!$D$6:$D$505,""&lt;=""&amp;A326,Movimi"&amp;"entos!$E$6:$E$505,TRUE)+SUMIFS(Movimientos!$B$6:$B$505,Movimientos!$D$6:$D$505,""&gt;""&amp;prevDate,Movimientos!$D$6:$D$505,""&lt;=""&amp;A326,Movimientos!$C$6:$C$505,""Fecha inferida*""),net,B326-flow,IF(OR(gap&lt;1,unknown&gt;0,prevValue&lt;=0,net&lt;=0),"""",(POWER(net/prevVal"&amp;"ue,1/gap)-1)*100)),""""))"),"")</f>
        <v/>
      </c>
      <c r="E326" s="95" t="str">
        <f t="shared" si="1"/>
        <v/>
      </c>
    </row>
    <row r="327" spans="1:5" x14ac:dyDescent="0.25">
      <c r="A327" s="92">
        <v>46348</v>
      </c>
      <c r="B327" s="93" t="str">
        <f>IF(Diario!B331="","",Diario!B331)</f>
        <v/>
      </c>
      <c r="C327" s="93">
        <f>SUMIFS(Movimientos!$B$6:$B$505,Movimientos!$D$6:$D$505,A327,Movimientos!$E$6:$E$505,TRUE)</f>
        <v>0</v>
      </c>
      <c r="D327" s="94" t="str">
        <f ca="1">IFERROR(__xludf.DUMMYFUNCTION("IF(OR(B327="""",A327&gt;TODAY(),E327=""Histórico mensual"",E327=""Base diaria""),"""",IFERROR(LET(prevDate,MAX(FILTER($A$2:A326,$B$2:B326&lt;&gt;"""",$A$2:A326&lt;A327)),prevValue,XLOOKUP(prevDate,$A$2:A326,$B$2:B326),gap,A327-prevDate,unknown,COUNTIFS(Movimientos!$D"&amp;"$6:$D$505,""&gt;""&amp;prevDate,Movimientos!$D$6:$D$505,""&lt;=""&amp;A327,Movimientos!$E$6:$E$505,FALSE,Movimientos!$C$6:$C$505,""&lt;&gt;Fecha inferida*""),flow,SUMIFS(Movimientos!$B$6:$B$505,Movimientos!$D$6:$D$505,""&gt;""&amp;prevDate,Movimientos!$D$6:$D$505,""&lt;=""&amp;A327,Movimi"&amp;"entos!$E$6:$E$505,TRUE)+SUMIFS(Movimientos!$B$6:$B$505,Movimientos!$D$6:$D$505,""&gt;""&amp;prevDate,Movimientos!$D$6:$D$505,""&lt;=""&amp;A327,Movimientos!$C$6:$C$505,""Fecha inferida*""),net,B327-flow,IF(OR(gap&lt;1,unknown&gt;0,prevValue&lt;=0,net&lt;=0),"""",(POWER(net/prevVal"&amp;"ue,1/gap)-1)*100)),""""))"),"")</f>
        <v/>
      </c>
      <c r="E327" s="95" t="str">
        <f t="shared" si="1"/>
        <v/>
      </c>
    </row>
    <row r="328" spans="1:5" x14ac:dyDescent="0.25">
      <c r="A328" s="92">
        <v>46349</v>
      </c>
      <c r="B328" s="93" t="str">
        <f>IF(Diario!B332="","",Diario!B332)</f>
        <v/>
      </c>
      <c r="C328" s="93">
        <f>SUMIFS(Movimientos!$B$6:$B$505,Movimientos!$D$6:$D$505,A328,Movimientos!$E$6:$E$505,TRUE)</f>
        <v>0</v>
      </c>
      <c r="D328" s="94" t="str">
        <f ca="1">IFERROR(__xludf.DUMMYFUNCTION("IF(OR(B328="""",A328&gt;TODAY(),E328=""Histórico mensual"",E328=""Base diaria""),"""",IFERROR(LET(prevDate,MAX(FILTER($A$2:A327,$B$2:B327&lt;&gt;"""",$A$2:A327&lt;A328)),prevValue,XLOOKUP(prevDate,$A$2:A327,$B$2:B327),gap,A328-prevDate,unknown,COUNTIFS(Movimientos!$D"&amp;"$6:$D$505,""&gt;""&amp;prevDate,Movimientos!$D$6:$D$505,""&lt;=""&amp;A328,Movimientos!$E$6:$E$505,FALSE,Movimientos!$C$6:$C$505,""&lt;&gt;Fecha inferida*""),flow,SUMIFS(Movimientos!$B$6:$B$505,Movimientos!$D$6:$D$505,""&gt;""&amp;prevDate,Movimientos!$D$6:$D$505,""&lt;=""&amp;A328,Movimi"&amp;"entos!$E$6:$E$505,TRUE)+SUMIFS(Movimientos!$B$6:$B$505,Movimientos!$D$6:$D$505,""&gt;""&amp;prevDate,Movimientos!$D$6:$D$505,""&lt;=""&amp;A328,Movimientos!$C$6:$C$505,""Fecha inferida*""),net,B328-flow,IF(OR(gap&lt;1,unknown&gt;0,prevValue&lt;=0,net&lt;=0),"""",(POWER(net/prevVal"&amp;"ue,1/gap)-1)*100)),""""))"),"")</f>
        <v/>
      </c>
      <c r="E328" s="95" t="str">
        <f t="shared" si="1"/>
        <v/>
      </c>
    </row>
    <row r="329" spans="1:5" x14ac:dyDescent="0.25">
      <c r="A329" s="92">
        <v>46350</v>
      </c>
      <c r="B329" s="93" t="str">
        <f>IF(Diario!B333="","",Diario!B333)</f>
        <v/>
      </c>
      <c r="C329" s="93">
        <f>SUMIFS(Movimientos!$B$6:$B$505,Movimientos!$D$6:$D$505,A329,Movimientos!$E$6:$E$505,TRUE)</f>
        <v>0</v>
      </c>
      <c r="D329" s="94" t="str">
        <f ca="1">IFERROR(__xludf.DUMMYFUNCTION("IF(OR(B329="""",A329&gt;TODAY(),E329=""Histórico mensual"",E329=""Base diaria""),"""",IFERROR(LET(prevDate,MAX(FILTER($A$2:A328,$B$2:B328&lt;&gt;"""",$A$2:A328&lt;A329)),prevValue,XLOOKUP(prevDate,$A$2:A328,$B$2:B328),gap,A329-prevDate,unknown,COUNTIFS(Movimientos!$D"&amp;"$6:$D$505,""&gt;""&amp;prevDate,Movimientos!$D$6:$D$505,""&lt;=""&amp;A329,Movimientos!$E$6:$E$505,FALSE,Movimientos!$C$6:$C$505,""&lt;&gt;Fecha inferida*""),flow,SUMIFS(Movimientos!$B$6:$B$505,Movimientos!$D$6:$D$505,""&gt;""&amp;prevDate,Movimientos!$D$6:$D$505,""&lt;=""&amp;A329,Movimi"&amp;"entos!$E$6:$E$505,TRUE)+SUMIFS(Movimientos!$B$6:$B$505,Movimientos!$D$6:$D$505,""&gt;""&amp;prevDate,Movimientos!$D$6:$D$505,""&lt;=""&amp;A329,Movimientos!$C$6:$C$505,""Fecha inferida*""),net,B329-flow,IF(OR(gap&lt;1,unknown&gt;0,prevValue&lt;=0,net&lt;=0),"""",(POWER(net/prevVal"&amp;"ue,1/gap)-1)*100)),""""))"),"")</f>
        <v/>
      </c>
      <c r="E329" s="95" t="str">
        <f t="shared" si="1"/>
        <v/>
      </c>
    </row>
    <row r="330" spans="1:5" x14ac:dyDescent="0.25">
      <c r="A330" s="92">
        <v>46351</v>
      </c>
      <c r="B330" s="93" t="str">
        <f>IF(Diario!B334="","",Diario!B334)</f>
        <v/>
      </c>
      <c r="C330" s="93">
        <f>SUMIFS(Movimientos!$B$6:$B$505,Movimientos!$D$6:$D$505,A330,Movimientos!$E$6:$E$505,TRUE)</f>
        <v>0</v>
      </c>
      <c r="D330" s="94" t="str">
        <f ca="1">IFERROR(__xludf.DUMMYFUNCTION("IF(OR(B330="""",A330&gt;TODAY(),E330=""Histórico mensual"",E330=""Base diaria""),"""",IFERROR(LET(prevDate,MAX(FILTER($A$2:A329,$B$2:B329&lt;&gt;"""",$A$2:A329&lt;A330)),prevValue,XLOOKUP(prevDate,$A$2:A329,$B$2:B329),gap,A330-prevDate,unknown,COUNTIFS(Movimientos!$D"&amp;"$6:$D$505,""&gt;""&amp;prevDate,Movimientos!$D$6:$D$505,""&lt;=""&amp;A330,Movimientos!$E$6:$E$505,FALSE,Movimientos!$C$6:$C$505,""&lt;&gt;Fecha inferida*""),flow,SUMIFS(Movimientos!$B$6:$B$505,Movimientos!$D$6:$D$505,""&gt;""&amp;prevDate,Movimientos!$D$6:$D$505,""&lt;=""&amp;A330,Movimi"&amp;"entos!$E$6:$E$505,TRUE)+SUMIFS(Movimientos!$B$6:$B$505,Movimientos!$D$6:$D$505,""&gt;""&amp;prevDate,Movimientos!$D$6:$D$505,""&lt;=""&amp;A330,Movimientos!$C$6:$C$505,""Fecha inferida*""),net,B330-flow,IF(OR(gap&lt;1,unknown&gt;0,prevValue&lt;=0,net&lt;=0),"""",(POWER(net/prevVal"&amp;"ue,1/gap)-1)*100)),""""))"),"")</f>
        <v/>
      </c>
      <c r="E330" s="95" t="str">
        <f t="shared" si="1"/>
        <v/>
      </c>
    </row>
    <row r="331" spans="1:5" x14ac:dyDescent="0.25">
      <c r="A331" s="92">
        <v>46352</v>
      </c>
      <c r="B331" s="93" t="str">
        <f>IF(Diario!B335="","",Diario!B335)</f>
        <v/>
      </c>
      <c r="C331" s="93">
        <f>SUMIFS(Movimientos!$B$6:$B$505,Movimientos!$D$6:$D$505,A331,Movimientos!$E$6:$E$505,TRUE)</f>
        <v>0</v>
      </c>
      <c r="D331" s="94" t="str">
        <f ca="1">IFERROR(__xludf.DUMMYFUNCTION("IF(OR(B331="""",A331&gt;TODAY(),E331=""Histórico mensual"",E331=""Base diaria""),"""",IFERROR(LET(prevDate,MAX(FILTER($A$2:A330,$B$2:B330&lt;&gt;"""",$A$2:A330&lt;A331)),prevValue,XLOOKUP(prevDate,$A$2:A330,$B$2:B330),gap,A331-prevDate,unknown,COUNTIFS(Movimientos!$D"&amp;"$6:$D$505,""&gt;""&amp;prevDate,Movimientos!$D$6:$D$505,""&lt;=""&amp;A331,Movimientos!$E$6:$E$505,FALSE,Movimientos!$C$6:$C$505,""&lt;&gt;Fecha inferida*""),flow,SUMIFS(Movimientos!$B$6:$B$505,Movimientos!$D$6:$D$505,""&gt;""&amp;prevDate,Movimientos!$D$6:$D$505,""&lt;=""&amp;A331,Movimi"&amp;"entos!$E$6:$E$505,TRUE)+SUMIFS(Movimientos!$B$6:$B$505,Movimientos!$D$6:$D$505,""&gt;""&amp;prevDate,Movimientos!$D$6:$D$505,""&lt;=""&amp;A331,Movimientos!$C$6:$C$505,""Fecha inferida*""),net,B331-flow,IF(OR(gap&lt;1,unknown&gt;0,prevValue&lt;=0,net&lt;=0),"""",(POWER(net/prevVal"&amp;"ue,1/gap)-1)*100)),""""))"),"")</f>
        <v/>
      </c>
      <c r="E331" s="95" t="str">
        <f t="shared" si="1"/>
        <v/>
      </c>
    </row>
    <row r="332" spans="1:5" x14ac:dyDescent="0.25">
      <c r="A332" s="92">
        <v>46353</v>
      </c>
      <c r="B332" s="93" t="str">
        <f>IF(Diario!B336="","",Diario!B336)</f>
        <v/>
      </c>
      <c r="C332" s="93">
        <f>SUMIFS(Movimientos!$B$6:$B$505,Movimientos!$D$6:$D$505,A332,Movimientos!$E$6:$E$505,TRUE)</f>
        <v>0</v>
      </c>
      <c r="D332" s="94" t="str">
        <f ca="1">IFERROR(__xludf.DUMMYFUNCTION("IF(OR(B332="""",A332&gt;TODAY(),E332=""Histórico mensual"",E332=""Base diaria""),"""",IFERROR(LET(prevDate,MAX(FILTER($A$2:A331,$B$2:B331&lt;&gt;"""",$A$2:A331&lt;A332)),prevValue,XLOOKUP(prevDate,$A$2:A331,$B$2:B331),gap,A332-prevDate,unknown,COUNTIFS(Movimientos!$D"&amp;"$6:$D$505,""&gt;""&amp;prevDate,Movimientos!$D$6:$D$505,""&lt;=""&amp;A332,Movimientos!$E$6:$E$505,FALSE,Movimientos!$C$6:$C$505,""&lt;&gt;Fecha inferida*""),flow,SUMIFS(Movimientos!$B$6:$B$505,Movimientos!$D$6:$D$505,""&gt;""&amp;prevDate,Movimientos!$D$6:$D$505,""&lt;=""&amp;A332,Movimi"&amp;"entos!$E$6:$E$505,TRUE)+SUMIFS(Movimientos!$B$6:$B$505,Movimientos!$D$6:$D$505,""&gt;""&amp;prevDate,Movimientos!$D$6:$D$505,""&lt;=""&amp;A332,Movimientos!$C$6:$C$505,""Fecha inferida*""),net,B332-flow,IF(OR(gap&lt;1,unknown&gt;0,prevValue&lt;=0,net&lt;=0),"""",(POWER(net/prevVal"&amp;"ue,1/gap)-1)*100)),""""))"),"")</f>
        <v/>
      </c>
      <c r="E332" s="95" t="str">
        <f t="shared" si="1"/>
        <v/>
      </c>
    </row>
    <row r="333" spans="1:5" x14ac:dyDescent="0.25">
      <c r="A333" s="92">
        <v>46354</v>
      </c>
      <c r="B333" s="93" t="str">
        <f>IF(Diario!B337="","",Diario!B337)</f>
        <v/>
      </c>
      <c r="C333" s="93">
        <f>SUMIFS(Movimientos!$B$6:$B$505,Movimientos!$D$6:$D$505,A333,Movimientos!$E$6:$E$505,TRUE)</f>
        <v>0</v>
      </c>
      <c r="D333" s="94" t="str">
        <f ca="1">IFERROR(__xludf.DUMMYFUNCTION("IF(OR(B333="""",A333&gt;TODAY(),E333=""Histórico mensual"",E333=""Base diaria""),"""",IFERROR(LET(prevDate,MAX(FILTER($A$2:A332,$B$2:B332&lt;&gt;"""",$A$2:A332&lt;A333)),prevValue,XLOOKUP(prevDate,$A$2:A332,$B$2:B332),gap,A333-prevDate,unknown,COUNTIFS(Movimientos!$D"&amp;"$6:$D$505,""&gt;""&amp;prevDate,Movimientos!$D$6:$D$505,""&lt;=""&amp;A333,Movimientos!$E$6:$E$505,FALSE,Movimientos!$C$6:$C$505,""&lt;&gt;Fecha inferida*""),flow,SUMIFS(Movimientos!$B$6:$B$505,Movimientos!$D$6:$D$505,""&gt;""&amp;prevDate,Movimientos!$D$6:$D$505,""&lt;=""&amp;A333,Movimi"&amp;"entos!$E$6:$E$505,TRUE)+SUMIFS(Movimientos!$B$6:$B$505,Movimientos!$D$6:$D$505,""&gt;""&amp;prevDate,Movimientos!$D$6:$D$505,""&lt;=""&amp;A333,Movimientos!$C$6:$C$505,""Fecha inferida*""),net,B333-flow,IF(OR(gap&lt;1,unknown&gt;0,prevValue&lt;=0,net&lt;=0),"""",(POWER(net/prevVal"&amp;"ue,1/gap)-1)*100)),""""))"),"")</f>
        <v/>
      </c>
      <c r="E333" s="95" t="str">
        <f t="shared" si="1"/>
        <v/>
      </c>
    </row>
    <row r="334" spans="1:5" x14ac:dyDescent="0.25">
      <c r="A334" s="92">
        <v>46355</v>
      </c>
      <c r="B334" s="93" t="str">
        <f>IF(Diario!B338="","",Diario!B338)</f>
        <v/>
      </c>
      <c r="C334" s="93">
        <f>SUMIFS(Movimientos!$B$6:$B$505,Movimientos!$D$6:$D$505,A334,Movimientos!$E$6:$E$505,TRUE)</f>
        <v>0</v>
      </c>
      <c r="D334" s="94" t="str">
        <f ca="1">IFERROR(__xludf.DUMMYFUNCTION("IF(OR(B334="""",A334&gt;TODAY(),E334=""Histórico mensual"",E334=""Base diaria""),"""",IFERROR(LET(prevDate,MAX(FILTER($A$2:A333,$B$2:B333&lt;&gt;"""",$A$2:A333&lt;A334)),prevValue,XLOOKUP(prevDate,$A$2:A333,$B$2:B333),gap,A334-prevDate,unknown,COUNTIFS(Movimientos!$D"&amp;"$6:$D$505,""&gt;""&amp;prevDate,Movimientos!$D$6:$D$505,""&lt;=""&amp;A334,Movimientos!$E$6:$E$505,FALSE,Movimientos!$C$6:$C$505,""&lt;&gt;Fecha inferida*""),flow,SUMIFS(Movimientos!$B$6:$B$505,Movimientos!$D$6:$D$505,""&gt;""&amp;prevDate,Movimientos!$D$6:$D$505,""&lt;=""&amp;A334,Movimi"&amp;"entos!$E$6:$E$505,TRUE)+SUMIFS(Movimientos!$B$6:$B$505,Movimientos!$D$6:$D$505,""&gt;""&amp;prevDate,Movimientos!$D$6:$D$505,""&lt;=""&amp;A334,Movimientos!$C$6:$C$505,""Fecha inferida*""),net,B334-flow,IF(OR(gap&lt;1,unknown&gt;0,prevValue&lt;=0,net&lt;=0),"""",(POWER(net/prevVal"&amp;"ue,1/gap)-1)*100)),""""))"),"")</f>
        <v/>
      </c>
      <c r="E334" s="95" t="str">
        <f t="shared" si="1"/>
        <v/>
      </c>
    </row>
    <row r="335" spans="1:5" x14ac:dyDescent="0.25">
      <c r="A335" s="92">
        <v>46356</v>
      </c>
      <c r="B335" s="93" t="str">
        <f>IF(Diario!B339="","",Diario!B339)</f>
        <v/>
      </c>
      <c r="C335" s="93">
        <f>SUMIFS(Movimientos!$B$6:$B$505,Movimientos!$D$6:$D$505,A335,Movimientos!$E$6:$E$505,TRUE)</f>
        <v>0</v>
      </c>
      <c r="D335" s="94" t="str">
        <f ca="1">IFERROR(__xludf.DUMMYFUNCTION("IF(OR(B335="""",A335&gt;TODAY(),E335=""Histórico mensual"",E335=""Base diaria""),"""",IFERROR(LET(prevDate,MAX(FILTER($A$2:A334,$B$2:B334&lt;&gt;"""",$A$2:A334&lt;A335)),prevValue,XLOOKUP(prevDate,$A$2:A334,$B$2:B334),gap,A335-prevDate,unknown,COUNTIFS(Movimientos!$D"&amp;"$6:$D$505,""&gt;""&amp;prevDate,Movimientos!$D$6:$D$505,""&lt;=""&amp;A335,Movimientos!$E$6:$E$505,FALSE,Movimientos!$C$6:$C$505,""&lt;&gt;Fecha inferida*""),flow,SUMIFS(Movimientos!$B$6:$B$505,Movimientos!$D$6:$D$505,""&gt;""&amp;prevDate,Movimientos!$D$6:$D$505,""&lt;=""&amp;A335,Movimi"&amp;"entos!$E$6:$E$505,TRUE)+SUMIFS(Movimientos!$B$6:$B$505,Movimientos!$D$6:$D$505,""&gt;""&amp;prevDate,Movimientos!$D$6:$D$505,""&lt;=""&amp;A335,Movimientos!$C$6:$C$505,""Fecha inferida*""),net,B335-flow,IF(OR(gap&lt;1,unknown&gt;0,prevValue&lt;=0,net&lt;=0),"""",(POWER(net/prevVal"&amp;"ue,1/gap)-1)*100)),""""))"),"")</f>
        <v/>
      </c>
      <c r="E335" s="95" t="str">
        <f t="shared" si="1"/>
        <v/>
      </c>
    </row>
    <row r="336" spans="1:5" x14ac:dyDescent="0.25">
      <c r="A336" s="92">
        <v>46357</v>
      </c>
      <c r="B336" s="93" t="str">
        <f>IF(Diario!B340="","",Diario!B340)</f>
        <v/>
      </c>
      <c r="C336" s="93">
        <f>SUMIFS(Movimientos!$B$6:$B$505,Movimientos!$D$6:$D$505,A336,Movimientos!$E$6:$E$505,TRUE)</f>
        <v>0</v>
      </c>
      <c r="D336" s="94" t="str">
        <f ca="1">IFERROR(__xludf.DUMMYFUNCTION("IF(OR(B336="""",A336&gt;TODAY(),E336=""Histórico mensual"",E336=""Base diaria""),"""",IFERROR(LET(prevDate,MAX(FILTER($A$2:A335,$B$2:B335&lt;&gt;"""",$A$2:A335&lt;A336)),prevValue,XLOOKUP(prevDate,$A$2:A335,$B$2:B335),gap,A336-prevDate,unknown,COUNTIFS(Movimientos!$D"&amp;"$6:$D$505,""&gt;""&amp;prevDate,Movimientos!$D$6:$D$505,""&lt;=""&amp;A336,Movimientos!$E$6:$E$505,FALSE,Movimientos!$C$6:$C$505,""&lt;&gt;Fecha inferida*""),flow,SUMIFS(Movimientos!$B$6:$B$505,Movimientos!$D$6:$D$505,""&gt;""&amp;prevDate,Movimientos!$D$6:$D$505,""&lt;=""&amp;A336,Movimi"&amp;"entos!$E$6:$E$505,TRUE)+SUMIFS(Movimientos!$B$6:$B$505,Movimientos!$D$6:$D$505,""&gt;""&amp;prevDate,Movimientos!$D$6:$D$505,""&lt;=""&amp;A336,Movimientos!$C$6:$C$505,""Fecha inferida*""),net,B336-flow,IF(OR(gap&lt;1,unknown&gt;0,prevValue&lt;=0,net&lt;=0),"""",(POWER(net/prevVal"&amp;"ue,1/gap)-1)*100)),""""))"),"")</f>
        <v/>
      </c>
      <c r="E336" s="95" t="str">
        <f t="shared" si="1"/>
        <v/>
      </c>
    </row>
    <row r="337" spans="1:5" x14ac:dyDescent="0.25">
      <c r="A337" s="92">
        <v>46358</v>
      </c>
      <c r="B337" s="93" t="str">
        <f>IF(Diario!B341="","",Diario!B341)</f>
        <v/>
      </c>
      <c r="C337" s="93">
        <f>SUMIFS(Movimientos!$B$6:$B$505,Movimientos!$D$6:$D$505,A337,Movimientos!$E$6:$E$505,TRUE)</f>
        <v>0</v>
      </c>
      <c r="D337" s="94" t="str">
        <f ca="1">IFERROR(__xludf.DUMMYFUNCTION("IF(OR(B337="""",A337&gt;TODAY(),E337=""Histórico mensual"",E337=""Base diaria""),"""",IFERROR(LET(prevDate,MAX(FILTER($A$2:A336,$B$2:B336&lt;&gt;"""",$A$2:A336&lt;A337)),prevValue,XLOOKUP(prevDate,$A$2:A336,$B$2:B336),gap,A337-prevDate,unknown,COUNTIFS(Movimientos!$D"&amp;"$6:$D$505,""&gt;""&amp;prevDate,Movimientos!$D$6:$D$505,""&lt;=""&amp;A337,Movimientos!$E$6:$E$505,FALSE,Movimientos!$C$6:$C$505,""&lt;&gt;Fecha inferida*""),flow,SUMIFS(Movimientos!$B$6:$B$505,Movimientos!$D$6:$D$505,""&gt;""&amp;prevDate,Movimientos!$D$6:$D$505,""&lt;=""&amp;A337,Movimi"&amp;"entos!$E$6:$E$505,TRUE)+SUMIFS(Movimientos!$B$6:$B$505,Movimientos!$D$6:$D$505,""&gt;""&amp;prevDate,Movimientos!$D$6:$D$505,""&lt;=""&amp;A337,Movimientos!$C$6:$C$505,""Fecha inferida*""),net,B337-flow,IF(OR(gap&lt;1,unknown&gt;0,prevValue&lt;=0,net&lt;=0),"""",(POWER(net/prevVal"&amp;"ue,1/gap)-1)*100)),""""))"),"")</f>
        <v/>
      </c>
      <c r="E337" s="95" t="str">
        <f t="shared" si="1"/>
        <v/>
      </c>
    </row>
    <row r="338" spans="1:5" x14ac:dyDescent="0.25">
      <c r="A338" s="92">
        <v>46359</v>
      </c>
      <c r="B338" s="93" t="str">
        <f>IF(Diario!B342="","",Diario!B342)</f>
        <v/>
      </c>
      <c r="C338" s="93">
        <f>SUMIFS(Movimientos!$B$6:$B$505,Movimientos!$D$6:$D$505,A338,Movimientos!$E$6:$E$505,TRUE)</f>
        <v>0</v>
      </c>
      <c r="D338" s="94" t="str">
        <f ca="1">IFERROR(__xludf.DUMMYFUNCTION("IF(OR(B338="""",A338&gt;TODAY(),E338=""Histórico mensual"",E338=""Base diaria""),"""",IFERROR(LET(prevDate,MAX(FILTER($A$2:A337,$B$2:B337&lt;&gt;"""",$A$2:A337&lt;A338)),prevValue,XLOOKUP(prevDate,$A$2:A337,$B$2:B337),gap,A338-prevDate,unknown,COUNTIFS(Movimientos!$D"&amp;"$6:$D$505,""&gt;""&amp;prevDate,Movimientos!$D$6:$D$505,""&lt;=""&amp;A338,Movimientos!$E$6:$E$505,FALSE,Movimientos!$C$6:$C$505,""&lt;&gt;Fecha inferida*""),flow,SUMIFS(Movimientos!$B$6:$B$505,Movimientos!$D$6:$D$505,""&gt;""&amp;prevDate,Movimientos!$D$6:$D$505,""&lt;=""&amp;A338,Movimi"&amp;"entos!$E$6:$E$505,TRUE)+SUMIFS(Movimientos!$B$6:$B$505,Movimientos!$D$6:$D$505,""&gt;""&amp;prevDate,Movimientos!$D$6:$D$505,""&lt;=""&amp;A338,Movimientos!$C$6:$C$505,""Fecha inferida*""),net,B338-flow,IF(OR(gap&lt;1,unknown&gt;0,prevValue&lt;=0,net&lt;=0),"""",(POWER(net/prevVal"&amp;"ue,1/gap)-1)*100)),""""))"),"")</f>
        <v/>
      </c>
      <c r="E338" s="95" t="str">
        <f t="shared" si="1"/>
        <v/>
      </c>
    </row>
    <row r="339" spans="1:5" x14ac:dyDescent="0.25">
      <c r="A339" s="92">
        <v>46360</v>
      </c>
      <c r="B339" s="93" t="str">
        <f>IF(Diario!B343="","",Diario!B343)</f>
        <v/>
      </c>
      <c r="C339" s="93">
        <f>SUMIFS(Movimientos!$B$6:$B$505,Movimientos!$D$6:$D$505,A339,Movimientos!$E$6:$E$505,TRUE)</f>
        <v>0</v>
      </c>
      <c r="D339" s="94" t="str">
        <f ca="1">IFERROR(__xludf.DUMMYFUNCTION("IF(OR(B339="""",A339&gt;TODAY(),E339=""Histórico mensual"",E339=""Base diaria""),"""",IFERROR(LET(prevDate,MAX(FILTER($A$2:A338,$B$2:B338&lt;&gt;"""",$A$2:A338&lt;A339)),prevValue,XLOOKUP(prevDate,$A$2:A338,$B$2:B338),gap,A339-prevDate,unknown,COUNTIFS(Movimientos!$D"&amp;"$6:$D$505,""&gt;""&amp;prevDate,Movimientos!$D$6:$D$505,""&lt;=""&amp;A339,Movimientos!$E$6:$E$505,FALSE,Movimientos!$C$6:$C$505,""&lt;&gt;Fecha inferida*""),flow,SUMIFS(Movimientos!$B$6:$B$505,Movimientos!$D$6:$D$505,""&gt;""&amp;prevDate,Movimientos!$D$6:$D$505,""&lt;=""&amp;A339,Movimi"&amp;"entos!$E$6:$E$505,TRUE)+SUMIFS(Movimientos!$B$6:$B$505,Movimientos!$D$6:$D$505,""&gt;""&amp;prevDate,Movimientos!$D$6:$D$505,""&lt;=""&amp;A339,Movimientos!$C$6:$C$505,""Fecha inferida*""),net,B339-flow,IF(OR(gap&lt;1,unknown&gt;0,prevValue&lt;=0,net&lt;=0),"""",(POWER(net/prevVal"&amp;"ue,1/gap)-1)*100)),""""))"),"")</f>
        <v/>
      </c>
      <c r="E339" s="95" t="str">
        <f t="shared" si="1"/>
        <v/>
      </c>
    </row>
    <row r="340" spans="1:5" x14ac:dyDescent="0.25">
      <c r="A340" s="92">
        <v>46361</v>
      </c>
      <c r="B340" s="93" t="str">
        <f>IF(Diario!B344="","",Diario!B344)</f>
        <v/>
      </c>
      <c r="C340" s="93">
        <f>SUMIFS(Movimientos!$B$6:$B$505,Movimientos!$D$6:$D$505,A340,Movimientos!$E$6:$E$505,TRUE)</f>
        <v>0</v>
      </c>
      <c r="D340" s="94" t="str">
        <f ca="1">IFERROR(__xludf.DUMMYFUNCTION("IF(OR(B340="""",A340&gt;TODAY(),E340=""Histórico mensual"",E340=""Base diaria""),"""",IFERROR(LET(prevDate,MAX(FILTER($A$2:A339,$B$2:B339&lt;&gt;"""",$A$2:A339&lt;A340)),prevValue,XLOOKUP(prevDate,$A$2:A339,$B$2:B339),gap,A340-prevDate,unknown,COUNTIFS(Movimientos!$D"&amp;"$6:$D$505,""&gt;""&amp;prevDate,Movimientos!$D$6:$D$505,""&lt;=""&amp;A340,Movimientos!$E$6:$E$505,FALSE,Movimientos!$C$6:$C$505,""&lt;&gt;Fecha inferida*""),flow,SUMIFS(Movimientos!$B$6:$B$505,Movimientos!$D$6:$D$505,""&gt;""&amp;prevDate,Movimientos!$D$6:$D$505,""&lt;=""&amp;A340,Movimi"&amp;"entos!$E$6:$E$505,TRUE)+SUMIFS(Movimientos!$B$6:$B$505,Movimientos!$D$6:$D$505,""&gt;""&amp;prevDate,Movimientos!$D$6:$D$505,""&lt;=""&amp;A340,Movimientos!$C$6:$C$505,""Fecha inferida*""),net,B340-flow,IF(OR(gap&lt;1,unknown&gt;0,prevValue&lt;=0,net&lt;=0),"""",(POWER(net/prevVal"&amp;"ue,1/gap)-1)*100)),""""))"),"")</f>
        <v/>
      </c>
      <c r="E340" s="95" t="str">
        <f t="shared" si="1"/>
        <v/>
      </c>
    </row>
    <row r="341" spans="1:5" x14ac:dyDescent="0.25">
      <c r="A341" s="92">
        <v>46362</v>
      </c>
      <c r="B341" s="93" t="str">
        <f>IF(Diario!B345="","",Diario!B345)</f>
        <v/>
      </c>
      <c r="C341" s="93">
        <f>SUMIFS(Movimientos!$B$6:$B$505,Movimientos!$D$6:$D$505,A341,Movimientos!$E$6:$E$505,TRUE)</f>
        <v>0</v>
      </c>
      <c r="D341" s="94" t="str">
        <f ca="1">IFERROR(__xludf.DUMMYFUNCTION("IF(OR(B341="""",A341&gt;TODAY(),E341=""Histórico mensual"",E341=""Base diaria""),"""",IFERROR(LET(prevDate,MAX(FILTER($A$2:A340,$B$2:B340&lt;&gt;"""",$A$2:A340&lt;A341)),prevValue,XLOOKUP(prevDate,$A$2:A340,$B$2:B340),gap,A341-prevDate,unknown,COUNTIFS(Movimientos!$D"&amp;"$6:$D$505,""&gt;""&amp;prevDate,Movimientos!$D$6:$D$505,""&lt;=""&amp;A341,Movimientos!$E$6:$E$505,FALSE,Movimientos!$C$6:$C$505,""&lt;&gt;Fecha inferida*""),flow,SUMIFS(Movimientos!$B$6:$B$505,Movimientos!$D$6:$D$505,""&gt;""&amp;prevDate,Movimientos!$D$6:$D$505,""&lt;=""&amp;A341,Movimi"&amp;"entos!$E$6:$E$505,TRUE)+SUMIFS(Movimientos!$B$6:$B$505,Movimientos!$D$6:$D$505,""&gt;""&amp;prevDate,Movimientos!$D$6:$D$505,""&lt;=""&amp;A341,Movimientos!$C$6:$C$505,""Fecha inferida*""),net,B341-flow,IF(OR(gap&lt;1,unknown&gt;0,prevValue&lt;=0,net&lt;=0),"""",(POWER(net/prevVal"&amp;"ue,1/gap)-1)*100)),""""))"),"")</f>
        <v/>
      </c>
      <c r="E341" s="95" t="str">
        <f t="shared" si="1"/>
        <v/>
      </c>
    </row>
    <row r="342" spans="1:5" x14ac:dyDescent="0.25">
      <c r="A342" s="92">
        <v>46363</v>
      </c>
      <c r="B342" s="93" t="str">
        <f>IF(Diario!B346="","",Diario!B346)</f>
        <v/>
      </c>
      <c r="C342" s="93">
        <f>SUMIFS(Movimientos!$B$6:$B$505,Movimientos!$D$6:$D$505,A342,Movimientos!$E$6:$E$505,TRUE)</f>
        <v>0</v>
      </c>
      <c r="D342" s="94" t="str">
        <f ca="1">IFERROR(__xludf.DUMMYFUNCTION("IF(OR(B342="""",A342&gt;TODAY(),E342=""Histórico mensual"",E342=""Base diaria""),"""",IFERROR(LET(prevDate,MAX(FILTER($A$2:A341,$B$2:B341&lt;&gt;"""",$A$2:A341&lt;A342)),prevValue,XLOOKUP(prevDate,$A$2:A341,$B$2:B341),gap,A342-prevDate,unknown,COUNTIFS(Movimientos!$D"&amp;"$6:$D$505,""&gt;""&amp;prevDate,Movimientos!$D$6:$D$505,""&lt;=""&amp;A342,Movimientos!$E$6:$E$505,FALSE,Movimientos!$C$6:$C$505,""&lt;&gt;Fecha inferida*""),flow,SUMIFS(Movimientos!$B$6:$B$505,Movimientos!$D$6:$D$505,""&gt;""&amp;prevDate,Movimientos!$D$6:$D$505,""&lt;=""&amp;A342,Movimi"&amp;"entos!$E$6:$E$505,TRUE)+SUMIFS(Movimientos!$B$6:$B$505,Movimientos!$D$6:$D$505,""&gt;""&amp;prevDate,Movimientos!$D$6:$D$505,""&lt;=""&amp;A342,Movimientos!$C$6:$C$505,""Fecha inferida*""),net,B342-flow,IF(OR(gap&lt;1,unknown&gt;0,prevValue&lt;=0,net&lt;=0),"""",(POWER(net/prevVal"&amp;"ue,1/gap)-1)*100)),""""))"),"")</f>
        <v/>
      </c>
      <c r="E342" s="95" t="str">
        <f t="shared" si="1"/>
        <v/>
      </c>
    </row>
    <row r="343" spans="1:5" x14ac:dyDescent="0.25">
      <c r="A343" s="92">
        <v>46364</v>
      </c>
      <c r="B343" s="93" t="str">
        <f>IF(Diario!B347="","",Diario!B347)</f>
        <v/>
      </c>
      <c r="C343" s="93">
        <f>SUMIFS(Movimientos!$B$6:$B$505,Movimientos!$D$6:$D$505,A343,Movimientos!$E$6:$E$505,TRUE)</f>
        <v>0</v>
      </c>
      <c r="D343" s="94" t="str">
        <f ca="1">IFERROR(__xludf.DUMMYFUNCTION("IF(OR(B343="""",A343&gt;TODAY(),E343=""Histórico mensual"",E343=""Base diaria""),"""",IFERROR(LET(prevDate,MAX(FILTER($A$2:A342,$B$2:B342&lt;&gt;"""",$A$2:A342&lt;A343)),prevValue,XLOOKUP(prevDate,$A$2:A342,$B$2:B342),gap,A343-prevDate,unknown,COUNTIFS(Movimientos!$D"&amp;"$6:$D$505,""&gt;""&amp;prevDate,Movimientos!$D$6:$D$505,""&lt;=""&amp;A343,Movimientos!$E$6:$E$505,FALSE,Movimientos!$C$6:$C$505,""&lt;&gt;Fecha inferida*""),flow,SUMIFS(Movimientos!$B$6:$B$505,Movimientos!$D$6:$D$505,""&gt;""&amp;prevDate,Movimientos!$D$6:$D$505,""&lt;=""&amp;A343,Movimi"&amp;"entos!$E$6:$E$505,TRUE)+SUMIFS(Movimientos!$B$6:$B$505,Movimientos!$D$6:$D$505,""&gt;""&amp;prevDate,Movimientos!$D$6:$D$505,""&lt;=""&amp;A343,Movimientos!$C$6:$C$505,""Fecha inferida*""),net,B343-flow,IF(OR(gap&lt;1,unknown&gt;0,prevValue&lt;=0,net&lt;=0),"""",(POWER(net/prevVal"&amp;"ue,1/gap)-1)*100)),""""))"),"")</f>
        <v/>
      </c>
      <c r="E343" s="95" t="str">
        <f t="shared" si="1"/>
        <v/>
      </c>
    </row>
    <row r="344" spans="1:5" x14ac:dyDescent="0.25">
      <c r="A344" s="92">
        <v>46365</v>
      </c>
      <c r="B344" s="93" t="str">
        <f>IF(Diario!B348="","",Diario!B348)</f>
        <v/>
      </c>
      <c r="C344" s="93">
        <f>SUMIFS(Movimientos!$B$6:$B$505,Movimientos!$D$6:$D$505,A344,Movimientos!$E$6:$E$505,TRUE)</f>
        <v>0</v>
      </c>
      <c r="D344" s="94" t="str">
        <f ca="1">IFERROR(__xludf.DUMMYFUNCTION("IF(OR(B344="""",A344&gt;TODAY(),E344=""Histórico mensual"",E344=""Base diaria""),"""",IFERROR(LET(prevDate,MAX(FILTER($A$2:A343,$B$2:B343&lt;&gt;"""",$A$2:A343&lt;A344)),prevValue,XLOOKUP(prevDate,$A$2:A343,$B$2:B343),gap,A344-prevDate,unknown,COUNTIFS(Movimientos!$D"&amp;"$6:$D$505,""&gt;""&amp;prevDate,Movimientos!$D$6:$D$505,""&lt;=""&amp;A344,Movimientos!$E$6:$E$505,FALSE,Movimientos!$C$6:$C$505,""&lt;&gt;Fecha inferida*""),flow,SUMIFS(Movimientos!$B$6:$B$505,Movimientos!$D$6:$D$505,""&gt;""&amp;prevDate,Movimientos!$D$6:$D$505,""&lt;=""&amp;A344,Movimi"&amp;"entos!$E$6:$E$505,TRUE)+SUMIFS(Movimientos!$B$6:$B$505,Movimientos!$D$6:$D$505,""&gt;""&amp;prevDate,Movimientos!$D$6:$D$505,""&lt;=""&amp;A344,Movimientos!$C$6:$C$505,""Fecha inferida*""),net,B344-flow,IF(OR(gap&lt;1,unknown&gt;0,prevValue&lt;=0,net&lt;=0),"""",(POWER(net/prevVal"&amp;"ue,1/gap)-1)*100)),""""))"),"")</f>
        <v/>
      </c>
      <c r="E344" s="95" t="str">
        <f t="shared" si="1"/>
        <v/>
      </c>
    </row>
    <row r="345" spans="1:5" x14ac:dyDescent="0.25">
      <c r="A345" s="92">
        <v>46366</v>
      </c>
      <c r="B345" s="93" t="str">
        <f>IF(Diario!B349="","",Diario!B349)</f>
        <v/>
      </c>
      <c r="C345" s="93">
        <f>SUMIFS(Movimientos!$B$6:$B$505,Movimientos!$D$6:$D$505,A345,Movimientos!$E$6:$E$505,TRUE)</f>
        <v>0</v>
      </c>
      <c r="D345" s="94" t="str">
        <f ca="1">IFERROR(__xludf.DUMMYFUNCTION("IF(OR(B345="""",A345&gt;TODAY(),E345=""Histórico mensual"",E345=""Base diaria""),"""",IFERROR(LET(prevDate,MAX(FILTER($A$2:A344,$B$2:B344&lt;&gt;"""",$A$2:A344&lt;A345)),prevValue,XLOOKUP(prevDate,$A$2:A344,$B$2:B344),gap,A345-prevDate,unknown,COUNTIFS(Movimientos!$D"&amp;"$6:$D$505,""&gt;""&amp;prevDate,Movimientos!$D$6:$D$505,""&lt;=""&amp;A345,Movimientos!$E$6:$E$505,FALSE,Movimientos!$C$6:$C$505,""&lt;&gt;Fecha inferida*""),flow,SUMIFS(Movimientos!$B$6:$B$505,Movimientos!$D$6:$D$505,""&gt;""&amp;prevDate,Movimientos!$D$6:$D$505,""&lt;=""&amp;A345,Movimi"&amp;"entos!$E$6:$E$505,TRUE)+SUMIFS(Movimientos!$B$6:$B$505,Movimientos!$D$6:$D$505,""&gt;""&amp;prevDate,Movimientos!$D$6:$D$505,""&lt;=""&amp;A345,Movimientos!$C$6:$C$505,""Fecha inferida*""),net,B345-flow,IF(OR(gap&lt;1,unknown&gt;0,prevValue&lt;=0,net&lt;=0),"""",(POWER(net/prevVal"&amp;"ue,1/gap)-1)*100)),""""))"),"")</f>
        <v/>
      </c>
      <c r="E345" s="95" t="str">
        <f t="shared" si="1"/>
        <v/>
      </c>
    </row>
    <row r="346" spans="1:5" x14ac:dyDescent="0.25">
      <c r="A346" s="92">
        <v>46367</v>
      </c>
      <c r="B346" s="93" t="str">
        <f>IF(Diario!B350="","",Diario!B350)</f>
        <v/>
      </c>
      <c r="C346" s="93">
        <f>SUMIFS(Movimientos!$B$6:$B$505,Movimientos!$D$6:$D$505,A346,Movimientos!$E$6:$E$505,TRUE)</f>
        <v>0</v>
      </c>
      <c r="D346" s="94" t="str">
        <f ca="1">IFERROR(__xludf.DUMMYFUNCTION("IF(OR(B346="""",A346&gt;TODAY(),E346=""Histórico mensual"",E346=""Base diaria""),"""",IFERROR(LET(prevDate,MAX(FILTER($A$2:A345,$B$2:B345&lt;&gt;"""",$A$2:A345&lt;A346)),prevValue,XLOOKUP(prevDate,$A$2:A345,$B$2:B345),gap,A346-prevDate,unknown,COUNTIFS(Movimientos!$D"&amp;"$6:$D$505,""&gt;""&amp;prevDate,Movimientos!$D$6:$D$505,""&lt;=""&amp;A346,Movimientos!$E$6:$E$505,FALSE,Movimientos!$C$6:$C$505,""&lt;&gt;Fecha inferida*""),flow,SUMIFS(Movimientos!$B$6:$B$505,Movimientos!$D$6:$D$505,""&gt;""&amp;prevDate,Movimientos!$D$6:$D$505,""&lt;=""&amp;A346,Movimi"&amp;"entos!$E$6:$E$505,TRUE)+SUMIFS(Movimientos!$B$6:$B$505,Movimientos!$D$6:$D$505,""&gt;""&amp;prevDate,Movimientos!$D$6:$D$505,""&lt;=""&amp;A346,Movimientos!$C$6:$C$505,""Fecha inferida*""),net,B346-flow,IF(OR(gap&lt;1,unknown&gt;0,prevValue&lt;=0,net&lt;=0),"""",(POWER(net/prevVal"&amp;"ue,1/gap)-1)*100)),""""))"),"")</f>
        <v/>
      </c>
      <c r="E346" s="95" t="str">
        <f t="shared" si="1"/>
        <v/>
      </c>
    </row>
    <row r="347" spans="1:5" x14ac:dyDescent="0.25">
      <c r="A347" s="92">
        <v>46368</v>
      </c>
      <c r="B347" s="93" t="str">
        <f>IF(Diario!B351="","",Diario!B351)</f>
        <v/>
      </c>
      <c r="C347" s="93">
        <f>SUMIFS(Movimientos!$B$6:$B$505,Movimientos!$D$6:$D$505,A347,Movimientos!$E$6:$E$505,TRUE)</f>
        <v>0</v>
      </c>
      <c r="D347" s="94" t="str">
        <f ca="1">IFERROR(__xludf.DUMMYFUNCTION("IF(OR(B347="""",A347&gt;TODAY(),E347=""Histórico mensual"",E347=""Base diaria""),"""",IFERROR(LET(prevDate,MAX(FILTER($A$2:A346,$B$2:B346&lt;&gt;"""",$A$2:A346&lt;A347)),prevValue,XLOOKUP(prevDate,$A$2:A346,$B$2:B346),gap,A347-prevDate,unknown,COUNTIFS(Movimientos!$D"&amp;"$6:$D$505,""&gt;""&amp;prevDate,Movimientos!$D$6:$D$505,""&lt;=""&amp;A347,Movimientos!$E$6:$E$505,FALSE,Movimientos!$C$6:$C$505,""&lt;&gt;Fecha inferida*""),flow,SUMIFS(Movimientos!$B$6:$B$505,Movimientos!$D$6:$D$505,""&gt;""&amp;prevDate,Movimientos!$D$6:$D$505,""&lt;=""&amp;A347,Movimi"&amp;"entos!$E$6:$E$505,TRUE)+SUMIFS(Movimientos!$B$6:$B$505,Movimientos!$D$6:$D$505,""&gt;""&amp;prevDate,Movimientos!$D$6:$D$505,""&lt;=""&amp;A347,Movimientos!$C$6:$C$505,""Fecha inferida*""),net,B347-flow,IF(OR(gap&lt;1,unknown&gt;0,prevValue&lt;=0,net&lt;=0),"""",(POWER(net/prevVal"&amp;"ue,1/gap)-1)*100)),""""))"),"")</f>
        <v/>
      </c>
      <c r="E347" s="95" t="str">
        <f t="shared" si="1"/>
        <v/>
      </c>
    </row>
    <row r="348" spans="1:5" x14ac:dyDescent="0.25">
      <c r="A348" s="92">
        <v>46369</v>
      </c>
      <c r="B348" s="93" t="str">
        <f>IF(Diario!B352="","",Diario!B352)</f>
        <v/>
      </c>
      <c r="C348" s="93">
        <f>SUMIFS(Movimientos!$B$6:$B$505,Movimientos!$D$6:$D$505,A348,Movimientos!$E$6:$E$505,TRUE)</f>
        <v>0</v>
      </c>
      <c r="D348" s="94" t="str">
        <f ca="1">IFERROR(__xludf.DUMMYFUNCTION("IF(OR(B348="""",A348&gt;TODAY(),E348=""Histórico mensual"",E348=""Base diaria""),"""",IFERROR(LET(prevDate,MAX(FILTER($A$2:A347,$B$2:B347&lt;&gt;"""",$A$2:A347&lt;A348)),prevValue,XLOOKUP(prevDate,$A$2:A347,$B$2:B347),gap,A348-prevDate,unknown,COUNTIFS(Movimientos!$D"&amp;"$6:$D$505,""&gt;""&amp;prevDate,Movimientos!$D$6:$D$505,""&lt;=""&amp;A348,Movimientos!$E$6:$E$505,FALSE,Movimientos!$C$6:$C$505,""&lt;&gt;Fecha inferida*""),flow,SUMIFS(Movimientos!$B$6:$B$505,Movimientos!$D$6:$D$505,""&gt;""&amp;prevDate,Movimientos!$D$6:$D$505,""&lt;=""&amp;A348,Movimi"&amp;"entos!$E$6:$E$505,TRUE)+SUMIFS(Movimientos!$B$6:$B$505,Movimientos!$D$6:$D$505,""&gt;""&amp;prevDate,Movimientos!$D$6:$D$505,""&lt;=""&amp;A348,Movimientos!$C$6:$C$505,""Fecha inferida*""),net,B348-flow,IF(OR(gap&lt;1,unknown&gt;0,prevValue&lt;=0,net&lt;=0),"""",(POWER(net/prevVal"&amp;"ue,1/gap)-1)*100)),""""))"),"")</f>
        <v/>
      </c>
      <c r="E348" s="95" t="str">
        <f t="shared" si="1"/>
        <v/>
      </c>
    </row>
    <row r="349" spans="1:5" x14ac:dyDescent="0.25">
      <c r="A349" s="92">
        <v>46370</v>
      </c>
      <c r="B349" s="93" t="str">
        <f>IF(Diario!B353="","",Diario!B353)</f>
        <v/>
      </c>
      <c r="C349" s="93">
        <f>SUMIFS(Movimientos!$B$6:$B$505,Movimientos!$D$6:$D$505,A349,Movimientos!$E$6:$E$505,TRUE)</f>
        <v>0</v>
      </c>
      <c r="D349" s="94" t="str">
        <f ca="1">IFERROR(__xludf.DUMMYFUNCTION("IF(OR(B349="""",A349&gt;TODAY(),E349=""Histórico mensual"",E349=""Base diaria""),"""",IFERROR(LET(prevDate,MAX(FILTER($A$2:A348,$B$2:B348&lt;&gt;"""",$A$2:A348&lt;A349)),prevValue,XLOOKUP(prevDate,$A$2:A348,$B$2:B348),gap,A349-prevDate,unknown,COUNTIFS(Movimientos!$D"&amp;"$6:$D$505,""&gt;""&amp;prevDate,Movimientos!$D$6:$D$505,""&lt;=""&amp;A349,Movimientos!$E$6:$E$505,FALSE,Movimientos!$C$6:$C$505,""&lt;&gt;Fecha inferida*""),flow,SUMIFS(Movimientos!$B$6:$B$505,Movimientos!$D$6:$D$505,""&gt;""&amp;prevDate,Movimientos!$D$6:$D$505,""&lt;=""&amp;A349,Movimi"&amp;"entos!$E$6:$E$505,TRUE)+SUMIFS(Movimientos!$B$6:$B$505,Movimientos!$D$6:$D$505,""&gt;""&amp;prevDate,Movimientos!$D$6:$D$505,""&lt;=""&amp;A349,Movimientos!$C$6:$C$505,""Fecha inferida*""),net,B349-flow,IF(OR(gap&lt;1,unknown&gt;0,prevValue&lt;=0,net&lt;=0),"""",(POWER(net/prevVal"&amp;"ue,1/gap)-1)*100)),""""))"),"")</f>
        <v/>
      </c>
      <c r="E349" s="95" t="str">
        <f t="shared" si="1"/>
        <v/>
      </c>
    </row>
    <row r="350" spans="1:5" x14ac:dyDescent="0.25">
      <c r="A350" s="92">
        <v>46371</v>
      </c>
      <c r="B350" s="93" t="str">
        <f>IF(Diario!B354="","",Diario!B354)</f>
        <v/>
      </c>
      <c r="C350" s="93">
        <f>SUMIFS(Movimientos!$B$6:$B$505,Movimientos!$D$6:$D$505,A350,Movimientos!$E$6:$E$505,TRUE)</f>
        <v>0</v>
      </c>
      <c r="D350" s="94" t="str">
        <f ca="1">IFERROR(__xludf.DUMMYFUNCTION("IF(OR(B350="""",A350&gt;TODAY(),E350=""Histórico mensual"",E350=""Base diaria""),"""",IFERROR(LET(prevDate,MAX(FILTER($A$2:A349,$B$2:B349&lt;&gt;"""",$A$2:A349&lt;A350)),prevValue,XLOOKUP(prevDate,$A$2:A349,$B$2:B349),gap,A350-prevDate,unknown,COUNTIFS(Movimientos!$D"&amp;"$6:$D$505,""&gt;""&amp;prevDate,Movimientos!$D$6:$D$505,""&lt;=""&amp;A350,Movimientos!$E$6:$E$505,FALSE,Movimientos!$C$6:$C$505,""&lt;&gt;Fecha inferida*""),flow,SUMIFS(Movimientos!$B$6:$B$505,Movimientos!$D$6:$D$505,""&gt;""&amp;prevDate,Movimientos!$D$6:$D$505,""&lt;=""&amp;A350,Movimi"&amp;"entos!$E$6:$E$505,TRUE)+SUMIFS(Movimientos!$B$6:$B$505,Movimientos!$D$6:$D$505,""&gt;""&amp;prevDate,Movimientos!$D$6:$D$505,""&lt;=""&amp;A350,Movimientos!$C$6:$C$505,""Fecha inferida*""),net,B350-flow,IF(OR(gap&lt;1,unknown&gt;0,prevValue&lt;=0,net&lt;=0),"""",(POWER(net/prevVal"&amp;"ue,1/gap)-1)*100)),""""))"),"")</f>
        <v/>
      </c>
      <c r="E350" s="95" t="str">
        <f t="shared" si="1"/>
        <v/>
      </c>
    </row>
    <row r="351" spans="1:5" x14ac:dyDescent="0.25">
      <c r="A351" s="92">
        <v>46372</v>
      </c>
      <c r="B351" s="93" t="str">
        <f>IF(Diario!B355="","",Diario!B355)</f>
        <v/>
      </c>
      <c r="C351" s="93">
        <f>SUMIFS(Movimientos!$B$6:$B$505,Movimientos!$D$6:$D$505,A351,Movimientos!$E$6:$E$505,TRUE)</f>
        <v>0</v>
      </c>
      <c r="D351" s="94" t="str">
        <f ca="1">IFERROR(__xludf.DUMMYFUNCTION("IF(OR(B351="""",A351&gt;TODAY(),E351=""Histórico mensual"",E351=""Base diaria""),"""",IFERROR(LET(prevDate,MAX(FILTER($A$2:A350,$B$2:B350&lt;&gt;"""",$A$2:A350&lt;A351)),prevValue,XLOOKUP(prevDate,$A$2:A350,$B$2:B350),gap,A351-prevDate,unknown,COUNTIFS(Movimientos!$D"&amp;"$6:$D$505,""&gt;""&amp;prevDate,Movimientos!$D$6:$D$505,""&lt;=""&amp;A351,Movimientos!$E$6:$E$505,FALSE,Movimientos!$C$6:$C$505,""&lt;&gt;Fecha inferida*""),flow,SUMIFS(Movimientos!$B$6:$B$505,Movimientos!$D$6:$D$505,""&gt;""&amp;prevDate,Movimientos!$D$6:$D$505,""&lt;=""&amp;A351,Movimi"&amp;"entos!$E$6:$E$505,TRUE)+SUMIFS(Movimientos!$B$6:$B$505,Movimientos!$D$6:$D$505,""&gt;""&amp;prevDate,Movimientos!$D$6:$D$505,""&lt;=""&amp;A351,Movimientos!$C$6:$C$505,""Fecha inferida*""),net,B351-flow,IF(OR(gap&lt;1,unknown&gt;0,prevValue&lt;=0,net&lt;=0),"""",(POWER(net/prevVal"&amp;"ue,1/gap)-1)*100)),""""))"),"")</f>
        <v/>
      </c>
      <c r="E351" s="95" t="str">
        <f t="shared" si="1"/>
        <v/>
      </c>
    </row>
    <row r="352" spans="1:5" x14ac:dyDescent="0.25">
      <c r="A352" s="92">
        <v>46373</v>
      </c>
      <c r="B352" s="93" t="str">
        <f>IF(Diario!B356="","",Diario!B356)</f>
        <v/>
      </c>
      <c r="C352" s="93">
        <f>SUMIFS(Movimientos!$B$6:$B$505,Movimientos!$D$6:$D$505,A352,Movimientos!$E$6:$E$505,TRUE)</f>
        <v>0</v>
      </c>
      <c r="D352" s="94" t="str">
        <f ca="1">IFERROR(__xludf.DUMMYFUNCTION("IF(OR(B352="""",A352&gt;TODAY(),E352=""Histórico mensual"",E352=""Base diaria""),"""",IFERROR(LET(prevDate,MAX(FILTER($A$2:A351,$B$2:B351&lt;&gt;"""",$A$2:A351&lt;A352)),prevValue,XLOOKUP(prevDate,$A$2:A351,$B$2:B351),gap,A352-prevDate,unknown,COUNTIFS(Movimientos!$D"&amp;"$6:$D$505,""&gt;""&amp;prevDate,Movimientos!$D$6:$D$505,""&lt;=""&amp;A352,Movimientos!$E$6:$E$505,FALSE,Movimientos!$C$6:$C$505,""&lt;&gt;Fecha inferida*""),flow,SUMIFS(Movimientos!$B$6:$B$505,Movimientos!$D$6:$D$505,""&gt;""&amp;prevDate,Movimientos!$D$6:$D$505,""&lt;=""&amp;A352,Movimi"&amp;"entos!$E$6:$E$505,TRUE)+SUMIFS(Movimientos!$B$6:$B$505,Movimientos!$D$6:$D$505,""&gt;""&amp;prevDate,Movimientos!$D$6:$D$505,""&lt;=""&amp;A352,Movimientos!$C$6:$C$505,""Fecha inferida*""),net,B352-flow,IF(OR(gap&lt;1,unknown&gt;0,prevValue&lt;=0,net&lt;=0),"""",(POWER(net/prevVal"&amp;"ue,1/gap)-1)*100)),""""))"),"")</f>
        <v/>
      </c>
      <c r="E352" s="95" t="str">
        <f t="shared" si="1"/>
        <v/>
      </c>
    </row>
    <row r="353" spans="1:5" x14ac:dyDescent="0.25">
      <c r="A353" s="92">
        <v>46374</v>
      </c>
      <c r="B353" s="93" t="str">
        <f>IF(Diario!B357="","",Diario!B357)</f>
        <v/>
      </c>
      <c r="C353" s="93">
        <f>SUMIFS(Movimientos!$B$6:$B$505,Movimientos!$D$6:$D$505,A353,Movimientos!$E$6:$E$505,TRUE)</f>
        <v>0</v>
      </c>
      <c r="D353" s="94" t="str">
        <f ca="1">IFERROR(__xludf.DUMMYFUNCTION("IF(OR(B353="""",A353&gt;TODAY(),E353=""Histórico mensual"",E353=""Base diaria""),"""",IFERROR(LET(prevDate,MAX(FILTER($A$2:A352,$B$2:B352&lt;&gt;"""",$A$2:A352&lt;A353)),prevValue,XLOOKUP(prevDate,$A$2:A352,$B$2:B352),gap,A353-prevDate,unknown,COUNTIFS(Movimientos!$D"&amp;"$6:$D$505,""&gt;""&amp;prevDate,Movimientos!$D$6:$D$505,""&lt;=""&amp;A353,Movimientos!$E$6:$E$505,FALSE,Movimientos!$C$6:$C$505,""&lt;&gt;Fecha inferida*""),flow,SUMIFS(Movimientos!$B$6:$B$505,Movimientos!$D$6:$D$505,""&gt;""&amp;prevDate,Movimientos!$D$6:$D$505,""&lt;=""&amp;A353,Movimi"&amp;"entos!$E$6:$E$505,TRUE)+SUMIFS(Movimientos!$B$6:$B$505,Movimientos!$D$6:$D$505,""&gt;""&amp;prevDate,Movimientos!$D$6:$D$505,""&lt;=""&amp;A353,Movimientos!$C$6:$C$505,""Fecha inferida*""),net,B353-flow,IF(OR(gap&lt;1,unknown&gt;0,prevValue&lt;=0,net&lt;=0),"""",(POWER(net/prevVal"&amp;"ue,1/gap)-1)*100)),""""))"),"")</f>
        <v/>
      </c>
      <c r="E353" s="95" t="str">
        <f t="shared" si="1"/>
        <v/>
      </c>
    </row>
    <row r="354" spans="1:5" x14ac:dyDescent="0.25">
      <c r="A354" s="92">
        <v>46375</v>
      </c>
      <c r="B354" s="93" t="str">
        <f>IF(Diario!B358="","",Diario!B358)</f>
        <v/>
      </c>
      <c r="C354" s="93">
        <f>SUMIFS(Movimientos!$B$6:$B$505,Movimientos!$D$6:$D$505,A354,Movimientos!$E$6:$E$505,TRUE)</f>
        <v>0</v>
      </c>
      <c r="D354" s="94" t="str">
        <f ca="1">IFERROR(__xludf.DUMMYFUNCTION("IF(OR(B354="""",A354&gt;TODAY(),E354=""Histórico mensual"",E354=""Base diaria""),"""",IFERROR(LET(prevDate,MAX(FILTER($A$2:A353,$B$2:B353&lt;&gt;"""",$A$2:A353&lt;A354)),prevValue,XLOOKUP(prevDate,$A$2:A353,$B$2:B353),gap,A354-prevDate,unknown,COUNTIFS(Movimientos!$D"&amp;"$6:$D$505,""&gt;""&amp;prevDate,Movimientos!$D$6:$D$505,""&lt;=""&amp;A354,Movimientos!$E$6:$E$505,FALSE,Movimientos!$C$6:$C$505,""&lt;&gt;Fecha inferida*""),flow,SUMIFS(Movimientos!$B$6:$B$505,Movimientos!$D$6:$D$505,""&gt;""&amp;prevDate,Movimientos!$D$6:$D$505,""&lt;=""&amp;A354,Movimi"&amp;"entos!$E$6:$E$505,TRUE)+SUMIFS(Movimientos!$B$6:$B$505,Movimientos!$D$6:$D$505,""&gt;""&amp;prevDate,Movimientos!$D$6:$D$505,""&lt;=""&amp;A354,Movimientos!$C$6:$C$505,""Fecha inferida*""),net,B354-flow,IF(OR(gap&lt;1,unknown&gt;0,prevValue&lt;=0,net&lt;=0),"""",(POWER(net/prevVal"&amp;"ue,1/gap)-1)*100)),""""))"),"")</f>
        <v/>
      </c>
      <c r="E354" s="95" t="str">
        <f t="shared" si="1"/>
        <v/>
      </c>
    </row>
    <row r="355" spans="1:5" x14ac:dyDescent="0.25">
      <c r="A355" s="92">
        <v>46376</v>
      </c>
      <c r="B355" s="93" t="str">
        <f>IF(Diario!B359="","",Diario!B359)</f>
        <v/>
      </c>
      <c r="C355" s="93">
        <f>SUMIFS(Movimientos!$B$6:$B$505,Movimientos!$D$6:$D$505,A355,Movimientos!$E$6:$E$505,TRUE)</f>
        <v>0</v>
      </c>
      <c r="D355" s="94" t="str">
        <f ca="1">IFERROR(__xludf.DUMMYFUNCTION("IF(OR(B355="""",A355&gt;TODAY(),E355=""Histórico mensual"",E355=""Base diaria""),"""",IFERROR(LET(prevDate,MAX(FILTER($A$2:A354,$B$2:B354&lt;&gt;"""",$A$2:A354&lt;A355)),prevValue,XLOOKUP(prevDate,$A$2:A354,$B$2:B354),gap,A355-prevDate,unknown,COUNTIFS(Movimientos!$D"&amp;"$6:$D$505,""&gt;""&amp;prevDate,Movimientos!$D$6:$D$505,""&lt;=""&amp;A355,Movimientos!$E$6:$E$505,FALSE,Movimientos!$C$6:$C$505,""&lt;&gt;Fecha inferida*""),flow,SUMIFS(Movimientos!$B$6:$B$505,Movimientos!$D$6:$D$505,""&gt;""&amp;prevDate,Movimientos!$D$6:$D$505,""&lt;=""&amp;A355,Movimi"&amp;"entos!$E$6:$E$505,TRUE)+SUMIFS(Movimientos!$B$6:$B$505,Movimientos!$D$6:$D$505,""&gt;""&amp;prevDate,Movimientos!$D$6:$D$505,""&lt;=""&amp;A355,Movimientos!$C$6:$C$505,""Fecha inferida*""),net,B355-flow,IF(OR(gap&lt;1,unknown&gt;0,prevValue&lt;=0,net&lt;=0),"""",(POWER(net/prevVal"&amp;"ue,1/gap)-1)*100)),""""))"),"")</f>
        <v/>
      </c>
      <c r="E355" s="95" t="str">
        <f t="shared" si="1"/>
        <v/>
      </c>
    </row>
    <row r="356" spans="1:5" x14ac:dyDescent="0.25">
      <c r="A356" s="92">
        <v>46377</v>
      </c>
      <c r="B356" s="93" t="str">
        <f>IF(Diario!B360="","",Diario!B360)</f>
        <v/>
      </c>
      <c r="C356" s="93">
        <f>SUMIFS(Movimientos!$B$6:$B$505,Movimientos!$D$6:$D$505,A356,Movimientos!$E$6:$E$505,TRUE)</f>
        <v>0</v>
      </c>
      <c r="D356" s="94" t="str">
        <f ca="1">IFERROR(__xludf.DUMMYFUNCTION("IF(OR(B356="""",A356&gt;TODAY(),E356=""Histórico mensual"",E356=""Base diaria""),"""",IFERROR(LET(prevDate,MAX(FILTER($A$2:A355,$B$2:B355&lt;&gt;"""",$A$2:A355&lt;A356)),prevValue,XLOOKUP(prevDate,$A$2:A355,$B$2:B355),gap,A356-prevDate,unknown,COUNTIFS(Movimientos!$D"&amp;"$6:$D$505,""&gt;""&amp;prevDate,Movimientos!$D$6:$D$505,""&lt;=""&amp;A356,Movimientos!$E$6:$E$505,FALSE,Movimientos!$C$6:$C$505,""&lt;&gt;Fecha inferida*""),flow,SUMIFS(Movimientos!$B$6:$B$505,Movimientos!$D$6:$D$505,""&gt;""&amp;prevDate,Movimientos!$D$6:$D$505,""&lt;=""&amp;A356,Movimi"&amp;"entos!$E$6:$E$505,TRUE)+SUMIFS(Movimientos!$B$6:$B$505,Movimientos!$D$6:$D$505,""&gt;""&amp;prevDate,Movimientos!$D$6:$D$505,""&lt;=""&amp;A356,Movimientos!$C$6:$C$505,""Fecha inferida*""),net,B356-flow,IF(OR(gap&lt;1,unknown&gt;0,prevValue&lt;=0,net&lt;=0),"""",(POWER(net/prevVal"&amp;"ue,1/gap)-1)*100)),""""))"),"")</f>
        <v/>
      </c>
      <c r="E356" s="95" t="str">
        <f t="shared" si="1"/>
        <v/>
      </c>
    </row>
    <row r="357" spans="1:5" x14ac:dyDescent="0.25">
      <c r="A357" s="92">
        <v>46378</v>
      </c>
      <c r="B357" s="93" t="str">
        <f>IF(Diario!B361="","",Diario!B361)</f>
        <v/>
      </c>
      <c r="C357" s="93">
        <f>SUMIFS(Movimientos!$B$6:$B$505,Movimientos!$D$6:$D$505,A357,Movimientos!$E$6:$E$505,TRUE)</f>
        <v>0</v>
      </c>
      <c r="D357" s="94" t="str">
        <f ca="1">IFERROR(__xludf.DUMMYFUNCTION("IF(OR(B357="""",A357&gt;TODAY(),E357=""Histórico mensual"",E357=""Base diaria""),"""",IFERROR(LET(prevDate,MAX(FILTER($A$2:A356,$B$2:B356&lt;&gt;"""",$A$2:A356&lt;A357)),prevValue,XLOOKUP(prevDate,$A$2:A356,$B$2:B356),gap,A357-prevDate,unknown,COUNTIFS(Movimientos!$D"&amp;"$6:$D$505,""&gt;""&amp;prevDate,Movimientos!$D$6:$D$505,""&lt;=""&amp;A357,Movimientos!$E$6:$E$505,FALSE,Movimientos!$C$6:$C$505,""&lt;&gt;Fecha inferida*""),flow,SUMIFS(Movimientos!$B$6:$B$505,Movimientos!$D$6:$D$505,""&gt;""&amp;prevDate,Movimientos!$D$6:$D$505,""&lt;=""&amp;A357,Movimi"&amp;"entos!$E$6:$E$505,TRUE)+SUMIFS(Movimientos!$B$6:$B$505,Movimientos!$D$6:$D$505,""&gt;""&amp;prevDate,Movimientos!$D$6:$D$505,""&lt;=""&amp;A357,Movimientos!$C$6:$C$505,""Fecha inferida*""),net,B357-flow,IF(OR(gap&lt;1,unknown&gt;0,prevValue&lt;=0,net&lt;=0),"""",(POWER(net/prevVal"&amp;"ue,1/gap)-1)*100)),""""))"),"")</f>
        <v/>
      </c>
      <c r="E357" s="95" t="str">
        <f t="shared" si="1"/>
        <v/>
      </c>
    </row>
    <row r="358" spans="1:5" x14ac:dyDescent="0.25">
      <c r="A358" s="92">
        <v>46379</v>
      </c>
      <c r="B358" s="93" t="str">
        <f>IF(Diario!B362="","",Diario!B362)</f>
        <v/>
      </c>
      <c r="C358" s="93">
        <f>SUMIFS(Movimientos!$B$6:$B$505,Movimientos!$D$6:$D$505,A358,Movimientos!$E$6:$E$505,TRUE)</f>
        <v>0</v>
      </c>
      <c r="D358" s="94" t="str">
        <f ca="1">IFERROR(__xludf.DUMMYFUNCTION("IF(OR(B358="""",A358&gt;TODAY(),E358=""Histórico mensual"",E358=""Base diaria""),"""",IFERROR(LET(prevDate,MAX(FILTER($A$2:A357,$B$2:B357&lt;&gt;"""",$A$2:A357&lt;A358)),prevValue,XLOOKUP(prevDate,$A$2:A357,$B$2:B357),gap,A358-prevDate,unknown,COUNTIFS(Movimientos!$D"&amp;"$6:$D$505,""&gt;""&amp;prevDate,Movimientos!$D$6:$D$505,""&lt;=""&amp;A358,Movimientos!$E$6:$E$505,FALSE,Movimientos!$C$6:$C$505,""&lt;&gt;Fecha inferida*""),flow,SUMIFS(Movimientos!$B$6:$B$505,Movimientos!$D$6:$D$505,""&gt;""&amp;prevDate,Movimientos!$D$6:$D$505,""&lt;=""&amp;A358,Movimi"&amp;"entos!$E$6:$E$505,TRUE)+SUMIFS(Movimientos!$B$6:$B$505,Movimientos!$D$6:$D$505,""&gt;""&amp;prevDate,Movimientos!$D$6:$D$505,""&lt;=""&amp;A358,Movimientos!$C$6:$C$505,""Fecha inferida*""),net,B358-flow,IF(OR(gap&lt;1,unknown&gt;0,prevValue&lt;=0,net&lt;=0),"""",(POWER(net/prevVal"&amp;"ue,1/gap)-1)*100)),""""))"),"")</f>
        <v/>
      </c>
      <c r="E358" s="95" t="str">
        <f t="shared" si="1"/>
        <v/>
      </c>
    </row>
    <row r="359" spans="1:5" x14ac:dyDescent="0.25">
      <c r="A359" s="92">
        <v>46380</v>
      </c>
      <c r="B359" s="93" t="str">
        <f>IF(Diario!B363="","",Diario!B363)</f>
        <v/>
      </c>
      <c r="C359" s="93">
        <f>SUMIFS(Movimientos!$B$6:$B$505,Movimientos!$D$6:$D$505,A359,Movimientos!$E$6:$E$505,TRUE)</f>
        <v>0</v>
      </c>
      <c r="D359" s="94" t="str">
        <f ca="1">IFERROR(__xludf.DUMMYFUNCTION("IF(OR(B359="""",A359&gt;TODAY(),E359=""Histórico mensual"",E359=""Base diaria""),"""",IFERROR(LET(prevDate,MAX(FILTER($A$2:A358,$B$2:B358&lt;&gt;"""",$A$2:A358&lt;A359)),prevValue,XLOOKUP(prevDate,$A$2:A358,$B$2:B358),gap,A359-prevDate,unknown,COUNTIFS(Movimientos!$D"&amp;"$6:$D$505,""&gt;""&amp;prevDate,Movimientos!$D$6:$D$505,""&lt;=""&amp;A359,Movimientos!$E$6:$E$505,FALSE,Movimientos!$C$6:$C$505,""&lt;&gt;Fecha inferida*""),flow,SUMIFS(Movimientos!$B$6:$B$505,Movimientos!$D$6:$D$505,""&gt;""&amp;prevDate,Movimientos!$D$6:$D$505,""&lt;=""&amp;A359,Movimi"&amp;"entos!$E$6:$E$505,TRUE)+SUMIFS(Movimientos!$B$6:$B$505,Movimientos!$D$6:$D$505,""&gt;""&amp;prevDate,Movimientos!$D$6:$D$505,""&lt;=""&amp;A359,Movimientos!$C$6:$C$505,""Fecha inferida*""),net,B359-flow,IF(OR(gap&lt;1,unknown&gt;0,prevValue&lt;=0,net&lt;=0),"""",(POWER(net/prevVal"&amp;"ue,1/gap)-1)*100)),""""))"),"")</f>
        <v/>
      </c>
      <c r="E359" s="95" t="str">
        <f t="shared" si="1"/>
        <v/>
      </c>
    </row>
    <row r="360" spans="1:5" x14ac:dyDescent="0.25">
      <c r="A360" s="92">
        <v>46381</v>
      </c>
      <c r="B360" s="93" t="str">
        <f>IF(Diario!B364="","",Diario!B364)</f>
        <v/>
      </c>
      <c r="C360" s="93">
        <f>SUMIFS(Movimientos!$B$6:$B$505,Movimientos!$D$6:$D$505,A360,Movimientos!$E$6:$E$505,TRUE)</f>
        <v>0</v>
      </c>
      <c r="D360" s="94" t="str">
        <f ca="1">IFERROR(__xludf.DUMMYFUNCTION("IF(OR(B360="""",A360&gt;TODAY(),E360=""Histórico mensual"",E360=""Base diaria""),"""",IFERROR(LET(prevDate,MAX(FILTER($A$2:A359,$B$2:B359&lt;&gt;"""",$A$2:A359&lt;A360)),prevValue,XLOOKUP(prevDate,$A$2:A359,$B$2:B359),gap,A360-prevDate,unknown,COUNTIFS(Movimientos!$D"&amp;"$6:$D$505,""&gt;""&amp;prevDate,Movimientos!$D$6:$D$505,""&lt;=""&amp;A360,Movimientos!$E$6:$E$505,FALSE,Movimientos!$C$6:$C$505,""&lt;&gt;Fecha inferida*""),flow,SUMIFS(Movimientos!$B$6:$B$505,Movimientos!$D$6:$D$505,""&gt;""&amp;prevDate,Movimientos!$D$6:$D$505,""&lt;=""&amp;A360,Movimi"&amp;"entos!$E$6:$E$505,TRUE)+SUMIFS(Movimientos!$B$6:$B$505,Movimientos!$D$6:$D$505,""&gt;""&amp;prevDate,Movimientos!$D$6:$D$505,""&lt;=""&amp;A360,Movimientos!$C$6:$C$505,""Fecha inferida*""),net,B360-flow,IF(OR(gap&lt;1,unknown&gt;0,prevValue&lt;=0,net&lt;=0),"""",(POWER(net/prevVal"&amp;"ue,1/gap)-1)*100)),""""))"),"")</f>
        <v/>
      </c>
      <c r="E360" s="95" t="str">
        <f t="shared" si="1"/>
        <v/>
      </c>
    </row>
    <row r="361" spans="1:5" x14ac:dyDescent="0.25">
      <c r="A361" s="92">
        <v>46382</v>
      </c>
      <c r="B361" s="93" t="str">
        <f>IF(Diario!B365="","",Diario!B365)</f>
        <v/>
      </c>
      <c r="C361" s="93">
        <f>SUMIFS(Movimientos!$B$6:$B$505,Movimientos!$D$6:$D$505,A361,Movimientos!$E$6:$E$505,TRUE)</f>
        <v>0</v>
      </c>
      <c r="D361" s="94" t="str">
        <f ca="1">IFERROR(__xludf.DUMMYFUNCTION("IF(OR(B361="""",A361&gt;TODAY(),E361=""Histórico mensual"",E361=""Base diaria""),"""",IFERROR(LET(prevDate,MAX(FILTER($A$2:A360,$B$2:B360&lt;&gt;"""",$A$2:A360&lt;A361)),prevValue,XLOOKUP(prevDate,$A$2:A360,$B$2:B360),gap,A361-prevDate,unknown,COUNTIFS(Movimientos!$D"&amp;"$6:$D$505,""&gt;""&amp;prevDate,Movimientos!$D$6:$D$505,""&lt;=""&amp;A361,Movimientos!$E$6:$E$505,FALSE,Movimientos!$C$6:$C$505,""&lt;&gt;Fecha inferida*""),flow,SUMIFS(Movimientos!$B$6:$B$505,Movimientos!$D$6:$D$505,""&gt;""&amp;prevDate,Movimientos!$D$6:$D$505,""&lt;=""&amp;A361,Movimi"&amp;"entos!$E$6:$E$505,TRUE)+SUMIFS(Movimientos!$B$6:$B$505,Movimientos!$D$6:$D$505,""&gt;""&amp;prevDate,Movimientos!$D$6:$D$505,""&lt;=""&amp;A361,Movimientos!$C$6:$C$505,""Fecha inferida*""),net,B361-flow,IF(OR(gap&lt;1,unknown&gt;0,prevValue&lt;=0,net&lt;=0),"""",(POWER(net/prevVal"&amp;"ue,1/gap)-1)*100)),""""))"),"")</f>
        <v/>
      </c>
      <c r="E361" s="95" t="str">
        <f t="shared" si="1"/>
        <v/>
      </c>
    </row>
    <row r="362" spans="1:5" x14ac:dyDescent="0.25">
      <c r="A362" s="92">
        <v>46383</v>
      </c>
      <c r="B362" s="93" t="str">
        <f>IF(Diario!B366="","",Diario!B366)</f>
        <v/>
      </c>
      <c r="C362" s="93">
        <f>SUMIFS(Movimientos!$B$6:$B$505,Movimientos!$D$6:$D$505,A362,Movimientos!$E$6:$E$505,TRUE)</f>
        <v>0</v>
      </c>
      <c r="D362" s="94" t="str">
        <f ca="1">IFERROR(__xludf.DUMMYFUNCTION("IF(OR(B362="""",A362&gt;TODAY(),E362=""Histórico mensual"",E362=""Base diaria""),"""",IFERROR(LET(prevDate,MAX(FILTER($A$2:A361,$B$2:B361&lt;&gt;"""",$A$2:A361&lt;A362)),prevValue,XLOOKUP(prevDate,$A$2:A361,$B$2:B361),gap,A362-prevDate,unknown,COUNTIFS(Movimientos!$D"&amp;"$6:$D$505,""&gt;""&amp;prevDate,Movimientos!$D$6:$D$505,""&lt;=""&amp;A362,Movimientos!$E$6:$E$505,FALSE,Movimientos!$C$6:$C$505,""&lt;&gt;Fecha inferida*""),flow,SUMIFS(Movimientos!$B$6:$B$505,Movimientos!$D$6:$D$505,""&gt;""&amp;prevDate,Movimientos!$D$6:$D$505,""&lt;=""&amp;A362,Movimi"&amp;"entos!$E$6:$E$505,TRUE)+SUMIFS(Movimientos!$B$6:$B$505,Movimientos!$D$6:$D$505,""&gt;""&amp;prevDate,Movimientos!$D$6:$D$505,""&lt;=""&amp;A362,Movimientos!$C$6:$C$505,""Fecha inferida*""),net,B362-flow,IF(OR(gap&lt;1,unknown&gt;0,prevValue&lt;=0,net&lt;=0),"""",(POWER(net/prevVal"&amp;"ue,1/gap)-1)*100)),""""))"),"")</f>
        <v/>
      </c>
      <c r="E362" s="95" t="str">
        <f t="shared" si="1"/>
        <v/>
      </c>
    </row>
    <row r="363" spans="1:5" x14ac:dyDescent="0.25">
      <c r="A363" s="92">
        <v>46384</v>
      </c>
      <c r="B363" s="93" t="str">
        <f>IF(Diario!B367="","",Diario!B367)</f>
        <v/>
      </c>
      <c r="C363" s="93">
        <f>SUMIFS(Movimientos!$B$6:$B$505,Movimientos!$D$6:$D$505,A363,Movimientos!$E$6:$E$505,TRUE)</f>
        <v>0</v>
      </c>
      <c r="D363" s="94" t="str">
        <f ca="1">IFERROR(__xludf.DUMMYFUNCTION("IF(OR(B363="""",A363&gt;TODAY(),E363=""Histórico mensual"",E363=""Base diaria""),"""",IFERROR(LET(prevDate,MAX(FILTER($A$2:A362,$B$2:B362&lt;&gt;"""",$A$2:A362&lt;A363)),prevValue,XLOOKUP(prevDate,$A$2:A362,$B$2:B362),gap,A363-prevDate,unknown,COUNTIFS(Movimientos!$D"&amp;"$6:$D$505,""&gt;""&amp;prevDate,Movimientos!$D$6:$D$505,""&lt;=""&amp;A363,Movimientos!$E$6:$E$505,FALSE,Movimientos!$C$6:$C$505,""&lt;&gt;Fecha inferida*""),flow,SUMIFS(Movimientos!$B$6:$B$505,Movimientos!$D$6:$D$505,""&gt;""&amp;prevDate,Movimientos!$D$6:$D$505,""&lt;=""&amp;A363,Movimi"&amp;"entos!$E$6:$E$505,TRUE)+SUMIFS(Movimientos!$B$6:$B$505,Movimientos!$D$6:$D$505,""&gt;""&amp;prevDate,Movimientos!$D$6:$D$505,""&lt;=""&amp;A363,Movimientos!$C$6:$C$505,""Fecha inferida*""),net,B363-flow,IF(OR(gap&lt;1,unknown&gt;0,prevValue&lt;=0,net&lt;=0),"""",(POWER(net/prevVal"&amp;"ue,1/gap)-1)*100)),""""))"),"")</f>
        <v/>
      </c>
      <c r="E363" s="95" t="str">
        <f t="shared" si="1"/>
        <v/>
      </c>
    </row>
    <row r="364" spans="1:5" x14ac:dyDescent="0.25">
      <c r="A364" s="92">
        <v>46385</v>
      </c>
      <c r="B364" s="93" t="str">
        <f>IF(Diario!B368="","",Diario!B368)</f>
        <v/>
      </c>
      <c r="C364" s="93">
        <f>SUMIFS(Movimientos!$B$6:$B$505,Movimientos!$D$6:$D$505,A364,Movimientos!$E$6:$E$505,TRUE)</f>
        <v>0</v>
      </c>
      <c r="D364" s="94" t="str">
        <f ca="1">IFERROR(__xludf.DUMMYFUNCTION("IF(OR(B364="""",A364&gt;TODAY(),E364=""Histórico mensual"",E364=""Base diaria""),"""",IFERROR(LET(prevDate,MAX(FILTER($A$2:A363,$B$2:B363&lt;&gt;"""",$A$2:A363&lt;A364)),prevValue,XLOOKUP(prevDate,$A$2:A363,$B$2:B363),gap,A364-prevDate,unknown,COUNTIFS(Movimientos!$D"&amp;"$6:$D$505,""&gt;""&amp;prevDate,Movimientos!$D$6:$D$505,""&lt;=""&amp;A364,Movimientos!$E$6:$E$505,FALSE,Movimientos!$C$6:$C$505,""&lt;&gt;Fecha inferida*""),flow,SUMIFS(Movimientos!$B$6:$B$505,Movimientos!$D$6:$D$505,""&gt;""&amp;prevDate,Movimientos!$D$6:$D$505,""&lt;=""&amp;A364,Movimi"&amp;"entos!$E$6:$E$505,TRUE)+SUMIFS(Movimientos!$B$6:$B$505,Movimientos!$D$6:$D$505,""&gt;""&amp;prevDate,Movimientos!$D$6:$D$505,""&lt;=""&amp;A364,Movimientos!$C$6:$C$505,""Fecha inferida*""),net,B364-flow,IF(OR(gap&lt;1,unknown&gt;0,prevValue&lt;=0,net&lt;=0),"""",(POWER(net/prevVal"&amp;"ue,1/gap)-1)*100)),""""))"),"")</f>
        <v/>
      </c>
      <c r="E364" s="95" t="str">
        <f t="shared" si="1"/>
        <v/>
      </c>
    </row>
    <row r="365" spans="1:5" x14ac:dyDescent="0.25">
      <c r="A365" s="92">
        <v>46386</v>
      </c>
      <c r="B365" s="93" t="str">
        <f>IF(Diario!B369="","",Diario!B369)</f>
        <v/>
      </c>
      <c r="C365" s="93">
        <f>SUMIFS(Movimientos!$B$6:$B$505,Movimientos!$D$6:$D$505,A365,Movimientos!$E$6:$E$505,TRUE)</f>
        <v>0</v>
      </c>
      <c r="D365" s="94" t="str">
        <f ca="1">IFERROR(__xludf.DUMMYFUNCTION("IF(OR(B365="""",A365&gt;TODAY(),E365=""Histórico mensual"",E365=""Base diaria""),"""",IFERROR(LET(prevDate,MAX(FILTER($A$2:A364,$B$2:B364&lt;&gt;"""",$A$2:A364&lt;A365)),prevValue,XLOOKUP(prevDate,$A$2:A364,$B$2:B364),gap,A365-prevDate,unknown,COUNTIFS(Movimientos!$D"&amp;"$6:$D$505,""&gt;""&amp;prevDate,Movimientos!$D$6:$D$505,""&lt;=""&amp;A365,Movimientos!$E$6:$E$505,FALSE,Movimientos!$C$6:$C$505,""&lt;&gt;Fecha inferida*""),flow,SUMIFS(Movimientos!$B$6:$B$505,Movimientos!$D$6:$D$505,""&gt;""&amp;prevDate,Movimientos!$D$6:$D$505,""&lt;=""&amp;A365,Movimi"&amp;"entos!$E$6:$E$505,TRUE)+SUMIFS(Movimientos!$B$6:$B$505,Movimientos!$D$6:$D$505,""&gt;""&amp;prevDate,Movimientos!$D$6:$D$505,""&lt;=""&amp;A365,Movimientos!$C$6:$C$505,""Fecha inferida*""),net,B365-flow,IF(OR(gap&lt;1,unknown&gt;0,prevValue&lt;=0,net&lt;=0),"""",(POWER(net/prevVal"&amp;"ue,1/gap)-1)*100)),""""))"),"")</f>
        <v/>
      </c>
      <c r="E365" s="95" t="str">
        <f t="shared" si="1"/>
        <v/>
      </c>
    </row>
    <row r="366" spans="1:5" x14ac:dyDescent="0.25">
      <c r="A366" s="92">
        <v>46387</v>
      </c>
      <c r="B366" s="93" t="str">
        <f>IF(Diario!B370="","",Diario!B370)</f>
        <v/>
      </c>
      <c r="C366" s="93">
        <f>SUMIFS(Movimientos!$B$6:$B$505,Movimientos!$D$6:$D$505,A366,Movimientos!$E$6:$E$505,TRUE)</f>
        <v>0</v>
      </c>
      <c r="D366" s="94" t="str">
        <f ca="1">IFERROR(__xludf.DUMMYFUNCTION("IF(OR(B366="""",A366&gt;TODAY(),E366=""Histórico mensual"",E366=""Base diaria""),"""",IFERROR(LET(prevDate,MAX(FILTER($A$2:A365,$B$2:B365&lt;&gt;"""",$A$2:A365&lt;A366)),prevValue,XLOOKUP(prevDate,$A$2:A365,$B$2:B365),gap,A366-prevDate,unknown,COUNTIFS(Movimientos!$D"&amp;"$6:$D$505,""&gt;""&amp;prevDate,Movimientos!$D$6:$D$505,""&lt;=""&amp;A366,Movimientos!$E$6:$E$505,FALSE,Movimientos!$C$6:$C$505,""&lt;&gt;Fecha inferida*""),flow,SUMIFS(Movimientos!$B$6:$B$505,Movimientos!$D$6:$D$505,""&gt;""&amp;prevDate,Movimientos!$D$6:$D$505,""&lt;=""&amp;A366,Movimi"&amp;"entos!$E$6:$E$505,TRUE)+SUMIFS(Movimientos!$B$6:$B$505,Movimientos!$D$6:$D$505,""&gt;""&amp;prevDate,Movimientos!$D$6:$D$505,""&lt;=""&amp;A366,Movimientos!$C$6:$C$505,""Fecha inferida*""),net,B366-flow,IF(OR(gap&lt;1,unknown&gt;0,prevValue&lt;=0,net&lt;=0),"""",(POWER(net/prevVal"&amp;"ue,1/gap)-1)*100)),""""))"),"")</f>
        <v/>
      </c>
      <c r="E366" s="95" t="str">
        <f t="shared" si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Resumen</vt:lpstr>
      <vt:lpstr>Cartera</vt:lpstr>
      <vt:lpstr>Evolucion</vt:lpstr>
      <vt:lpstr>Diario</vt:lpstr>
      <vt:lpstr>Movimientos</vt:lpstr>
      <vt:lpstr>Comparativa</vt:lpstr>
      <vt:lpstr>Objetivos</vt:lpstr>
      <vt:lpstr>Estadísticas avanzadas</vt:lpstr>
      <vt:lpstr>Control</vt:lpstr>
      <vt:lpstr>Calendario</vt:lpstr>
      <vt:lpstr>Datos diarios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Carrasco de la Chica</cp:lastModifiedBy>
  <dcterms:modified xsi:type="dcterms:W3CDTF">2026-09-10T21:02:56Z</dcterms:modified>
</cp:coreProperties>
</file>