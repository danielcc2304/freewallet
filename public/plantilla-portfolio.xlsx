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05f5061fc446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rtera" sheetId="1" r:id="Raea7cfe6664c47ac"/>
    <x:sheet xmlns:r="http://schemas.openxmlformats.org/officeDocument/2006/relationships" name="Evolucion" sheetId="2" r:id="R9d71073cc6444eee"/>
    <x:sheet xmlns:r="http://schemas.openxmlformats.org/officeDocument/2006/relationships" name="Comparativa" sheetId="3" r:id="R4ee796974d42454a"/>
    <x:sheet xmlns:r="http://schemas.openxmlformats.org/officeDocument/2006/relationships" name="Calendario" sheetId="4" r:id="Re226c10b7f944fbc"/>
    <x:sheet xmlns:r="http://schemas.openxmlformats.org/officeDocument/2006/relationships" name="Datos diarios" sheetId="5" r:id="R3e9d86eeab8c44b6"/>
    <x:sheet xmlns:r="http://schemas.openxmlformats.org/officeDocument/2006/relationships" name="Estadísticas avanzadas" sheetId="6" r:id="R3f37179f69ed46c0"/>
  </x:sheets>
</x:workbook>
</file>

<file path=xl/comments1.xml><?xml version="1.0" encoding="utf-8"?>
<x:comments xmlns:x="http://schemas.openxmlformats.org/spreadsheetml/2006/main">
  <x:authors>
    <x:author/>
  </x:authors>
  <x:commentList>
    <x:comment ref="Q18" authorId="0">
      <x:text>
        <x:r>
          <x:t>30/03/2026</x:t>
        </x:r>
      </x:text>
    </x:comment>
    <x:comment ref="R18" authorId="0">
      <x:text>
        <x:r>
          <x:t>31/03/2026</x:t>
        </x:r>
      </x:text>
    </x:comment>
    <x:comment ref="R19" authorId="0">
      <x:text>
        <x:r>
          <x:t>Cierre mensual histórico vinculado a Evolucion. Se excluye de la volatilidad diaria.</x:t>
        </x:r>
      </x:text>
    </x:comment>
    <x:comment ref="D56" authorId="0">
      <x:text>
        <x:r>
          <x:t>01/10/2026</x:t>
        </x:r>
      </x:text>
    </x:comment>
    <x:comment ref="E56" authorId="0">
      <x:text>
        <x:r>
          <x:t>02/10/2026</x:t>
        </x:r>
      </x:text>
    </x:comment>
    <x:comment ref="F56" authorId="0">
      <x:text>
        <x:r>
          <x:t>03/10/2026</x:t>
        </x:r>
      </x:text>
    </x:comment>
    <x:comment ref="G56" authorId="0">
      <x:text>
        <x:r>
          <x:t>04/10/2026</x:t>
        </x:r>
      </x:text>
    </x:comment>
    <x:comment ref="O56" authorId="0">
      <x:text>
        <x:r>
          <x:t>01/11/2026</x:t>
        </x:r>
      </x:text>
    </x:comment>
    <x:comment ref="R56" authorId="0">
      <x:text>
        <x:r>
          <x:t>01/12/2026</x:t>
        </x:r>
      </x:text>
    </x:comment>
    <x:comment ref="C40" authorId="0">
      <x:text>
        <x:r>
          <x:t>01/07/2026</x:t>
        </x:r>
      </x:text>
    </x:comment>
    <x:comment ref="S56" authorId="0">
      <x:text>
        <x:r>
          <x:t>02/12/2026</x:t>
        </x:r>
      </x:text>
    </x:comment>
    <x:comment ref="D40" authorId="0">
      <x:text>
        <x:r>
          <x:t>02/07/2026</x:t>
        </x:r>
      </x:text>
    </x:comment>
    <x:comment ref="T56" authorId="0">
      <x:text>
        <x:r>
          <x:t>03/12/2026</x:t>
        </x:r>
      </x:text>
    </x:comment>
    <x:comment ref="E40" authorId="0">
      <x:text>
        <x:r>
          <x:t>03/07/2026</x:t>
        </x:r>
      </x:text>
    </x:comment>
    <x:comment ref="U56" authorId="0">
      <x:text>
        <x:r>
          <x:t>04/12/2026</x:t>
        </x:r>
      </x:text>
    </x:comment>
    <x:comment ref="F40" authorId="0">
      <x:text>
        <x:r>
          <x:t>04/07/2026</x:t>
        </x:r>
      </x:text>
    </x:comment>
    <x:comment ref="V56" authorId="0">
      <x:text>
        <x:r>
          <x:t>05/12/2026</x:t>
        </x:r>
      </x:text>
    </x:comment>
    <x:comment ref="G40" authorId="0">
      <x:text>
        <x:r>
          <x:t>05/07/2026</x:t>
        </x:r>
      </x:text>
    </x:comment>
    <x:comment ref="W56" authorId="0">
      <x:text>
        <x:r>
          <x:t>06/12/2026</x:t>
        </x:r>
      </x:text>
    </x:comment>
    <x:comment ref="N40" authorId="0">
      <x:text>
        <x:r>
          <x:t>01/08/2026</x:t>
        </x:r>
      </x:text>
    </x:comment>
    <x:comment ref="O40" authorId="0">
      <x:text>
        <x:r>
          <x:t>02/08/2026</x:t>
        </x:r>
      </x:text>
    </x:comment>
    <x:comment ref="R40" authorId="0">
      <x:text>
        <x:r>
          <x:t>01/09/2026</x:t>
        </x:r>
      </x:text>
    </x:comment>
    <x:comment ref="C24" authorId="0">
      <x:text>
        <x:r>
          <x:t>01/04/2026</x:t>
        </x:r>
      </x:text>
    </x:comment>
    <x:comment ref="S40" authorId="0">
      <x:text>
        <x:r>
          <x:t>02/09/2026</x:t>
        </x:r>
      </x:text>
    </x:comment>
    <x:comment ref="D24" authorId="0">
      <x:text>
        <x:r>
          <x:t>02/04/2026</x:t>
        </x:r>
      </x:text>
    </x:comment>
    <x:comment ref="T40" authorId="0">
      <x:text>
        <x:r>
          <x:t>03/09/2026</x:t>
        </x:r>
      </x:text>
    </x:comment>
    <x:comment ref="E24" authorId="0">
      <x:text>
        <x:r>
          <x:t>03/04/2026</x:t>
        </x:r>
      </x:text>
    </x:comment>
    <x:comment ref="U40" authorId="0">
      <x:text>
        <x:r>
          <x:t>04/09/2026</x:t>
        </x:r>
      </x:text>
    </x:comment>
    <x:comment ref="F24" authorId="0">
      <x:text>
        <x:r>
          <x:t>04/04/2026</x:t>
        </x:r>
      </x:text>
    </x:comment>
    <x:comment ref="V40" authorId="0">
      <x:text>
        <x:r>
          <x:t>05/09/2026</x:t>
        </x:r>
      </x:text>
    </x:comment>
    <x:comment ref="G24" authorId="0">
      <x:text>
        <x:r>
          <x:t>05/04/2026</x:t>
        </x:r>
      </x:text>
    </x:comment>
    <x:comment ref="W40" authorId="0">
      <x:text>
        <x:r>
          <x:t>06/09/2026</x:t>
        </x:r>
      </x:text>
    </x:comment>
    <x:comment ref="M24" authorId="0">
      <x:text>
        <x:r>
          <x:t>01/05/2026</x:t>
        </x:r>
      </x:text>
    </x:comment>
    <x:comment ref="N24" authorId="0">
      <x:text>
        <x:r>
          <x:t>02/05/2026</x:t>
        </x:r>
      </x:text>
    </x:comment>
    <x:comment ref="O24" authorId="0">
      <x:text>
        <x:r>
          <x:t>03/05/2026</x:t>
        </x:r>
      </x:text>
    </x:comment>
    <x:comment ref="Q24" authorId="0">
      <x:text>
        <x:r>
          <x:t>01/06/2026</x:t>
        </x:r>
      </x:text>
    </x:comment>
    <x:comment ref="R24" authorId="0">
      <x:text>
        <x:r>
          <x:t>02/06/2026</x:t>
        </x:r>
      </x:text>
    </x:comment>
    <x:comment ref="S24" authorId="0">
      <x:text>
        <x:r>
          <x:t>03/06/2026</x:t>
        </x:r>
      </x:text>
    </x:comment>
    <x:comment ref="D8" authorId="0">
      <x:text>
        <x:r>
          <x:t>01/01/2026</x:t>
        </x:r>
      </x:text>
    </x:comment>
    <x:comment ref="T24" authorId="0">
      <x:text>
        <x:r>
          <x:t>04/06/2026</x:t>
        </x:r>
      </x:text>
    </x:comment>
    <x:comment ref="E8" authorId="0">
      <x:text>
        <x:r>
          <x:t>02/01/2026</x:t>
        </x:r>
      </x:text>
    </x:comment>
    <x:comment ref="U24" authorId="0">
      <x:text>
        <x:r>
          <x:t>05/06/2026</x:t>
        </x:r>
      </x:text>
    </x:comment>
    <x:comment ref="F8" authorId="0">
      <x:text>
        <x:r>
          <x:t>03/01/2026</x:t>
        </x:r>
      </x:text>
    </x:comment>
    <x:comment ref="V24" authorId="0">
      <x:text>
        <x:r>
          <x:t>06/06/2026</x:t>
        </x:r>
      </x:text>
    </x:comment>
    <x:comment ref="G8" authorId="0">
      <x:text>
        <x:r>
          <x:t>04/01/2026</x:t>
        </x:r>
      </x:text>
    </x:comment>
    <x:comment ref="W24" authorId="0">
      <x:text>
        <x:r>
          <x:t>07/06/2026</x:t>
        </x:r>
      </x:text>
    </x:comment>
    <x:comment ref="O8" authorId="0">
      <x:text>
        <x:r>
          <x:t>01/02/2026</x:t>
        </x:r>
      </x:text>
    </x:comment>
    <x:comment ref="A58" authorId="0">
      <x:text>
        <x:r>
          <x:t>05/10/2026</x:t>
        </x:r>
      </x:text>
    </x:comment>
    <x:comment ref="B58" authorId="0">
      <x:text>
        <x:r>
          <x:t>06/10/2026</x:t>
        </x:r>
      </x:text>
    </x:comment>
    <x:comment ref="C58" authorId="0">
      <x:text>
        <x:r>
          <x:t>07/10/2026</x:t>
        </x:r>
      </x:text>
    </x:comment>
    <x:comment ref="D58" authorId="0">
      <x:text>
        <x:r>
          <x:t>08/10/2026</x:t>
        </x:r>
      </x:text>
    </x:comment>
    <x:comment ref="E58" authorId="0">
      <x:text>
        <x:r>
          <x:t>09/10/2026</x:t>
        </x:r>
      </x:text>
    </x:comment>
    <x:comment ref="F58" authorId="0">
      <x:text>
        <x:r>
          <x:t>10/10/2026</x:t>
        </x:r>
      </x:text>
    </x:comment>
    <x:comment ref="G58" authorId="0">
      <x:text>
        <x:r>
          <x:t>11/10/2026</x:t>
        </x:r>
      </x:text>
    </x:comment>
    <x:comment ref="W8" authorId="0">
      <x:text>
        <x:r>
          <x:t>01/03/2026</x:t>
        </x:r>
      </x:text>
    </x:comment>
    <x:comment ref="I58" authorId="0">
      <x:text>
        <x:r>
          <x:t>02/11/2026</x:t>
        </x:r>
      </x:text>
    </x:comment>
    <x:comment ref="J58" authorId="0">
      <x:text>
        <x:r>
          <x:t>03/11/2026</x:t>
        </x:r>
      </x:text>
    </x:comment>
    <x:comment ref="K58" authorId="0">
      <x:text>
        <x:r>
          <x:t>04/11/2026</x:t>
        </x:r>
      </x:text>
    </x:comment>
    <x:comment ref="L58" authorId="0">
      <x:text>
        <x:r>
          <x:t>05/11/2026</x:t>
        </x:r>
      </x:text>
    </x:comment>
    <x:comment ref="M58" authorId="0">
      <x:text>
        <x:r>
          <x:t>06/11/2026</x:t>
        </x:r>
      </x:text>
    </x:comment>
    <x:comment ref="N58" authorId="0">
      <x:text>
        <x:r>
          <x:t>07/11/2026</x:t>
        </x:r>
      </x:text>
    </x:comment>
    <x:comment ref="O58" authorId="0">
      <x:text>
        <x:r>
          <x:t>08/11/2026</x:t>
        </x:r>
      </x:text>
    </x:comment>
    <x:comment ref="A42" authorId="0">
      <x:text>
        <x:r>
          <x:t>06/07/2026</x:t>
        </x:r>
      </x:text>
    </x:comment>
    <x:comment ref="Q58" authorId="0">
      <x:text>
        <x:r>
          <x:t>07/12/2026</x:t>
        </x:r>
      </x:text>
    </x:comment>
    <x:comment ref="B42" authorId="0">
      <x:text>
        <x:r>
          <x:t>07/07/2026</x:t>
        </x:r>
      </x:text>
    </x:comment>
    <x:comment ref="R58" authorId="0">
      <x:text>
        <x:r>
          <x:t>08/12/2026</x:t>
        </x:r>
      </x:text>
    </x:comment>
    <x:comment ref="C42" authorId="0">
      <x:text>
        <x:r>
          <x:t>08/07/2026</x:t>
        </x:r>
      </x:text>
    </x:comment>
    <x:comment ref="S58" authorId="0">
      <x:text>
        <x:r>
          <x:t>09/12/2026</x:t>
        </x:r>
      </x:text>
    </x:comment>
    <x:comment ref="D42" authorId="0">
      <x:text>
        <x:r>
          <x:t>09/07/2026</x:t>
        </x:r>
      </x:text>
    </x:comment>
    <x:comment ref="T58" authorId="0">
      <x:text>
        <x:r>
          <x:t>10/12/2026</x:t>
        </x:r>
      </x:text>
    </x:comment>
    <x:comment ref="E42" authorId="0">
      <x:text>
        <x:r>
          <x:t>10/07/2026</x:t>
        </x:r>
      </x:text>
    </x:comment>
    <x:comment ref="U58" authorId="0">
      <x:text>
        <x:r>
          <x:t>11/12/2026</x:t>
        </x:r>
      </x:text>
    </x:comment>
    <x:comment ref="F42" authorId="0">
      <x:text>
        <x:r>
          <x:t>11/07/2026</x:t>
        </x:r>
      </x:text>
    </x:comment>
    <x:comment ref="V58" authorId="0">
      <x:text>
        <x:r>
          <x:t>12/12/2026</x:t>
        </x:r>
      </x:text>
    </x:comment>
    <x:comment ref="G42" authorId="0">
      <x:text>
        <x:r>
          <x:t>12/07/2026</x:t>
        </x:r>
      </x:text>
    </x:comment>
    <x:comment ref="W58" authorId="0">
      <x:text>
        <x:r>
          <x:t>13/12/2026</x:t>
        </x:r>
      </x:text>
    </x:comment>
    <x:comment ref="I42" authorId="0">
      <x:text>
        <x:r>
          <x:t>03/08/2026</x:t>
        </x:r>
      </x:text>
    </x:comment>
    <x:comment ref="J42" authorId="0">
      <x:text>
        <x:r>
          <x:t>04/08/2026</x:t>
        </x:r>
      </x:text>
    </x:comment>
    <x:comment ref="K42" authorId="0">
      <x:text>
        <x:r>
          <x:t>05/08/2026</x:t>
        </x:r>
      </x:text>
    </x:comment>
    <x:comment ref="L42" authorId="0">
      <x:text>
        <x:r>
          <x:t>06/08/2026</x:t>
        </x:r>
      </x:text>
    </x:comment>
    <x:comment ref="M42" authorId="0">
      <x:text>
        <x:r>
          <x:t>07/08/2026</x:t>
        </x:r>
      </x:text>
    </x:comment>
    <x:comment ref="N42" authorId="0">
      <x:text>
        <x:r>
          <x:t>08/08/2026</x:t>
        </x:r>
      </x:text>
    </x:comment>
    <x:comment ref="O42" authorId="0">
      <x:text>
        <x:r>
          <x:t>09/08/2026</x:t>
        </x:r>
      </x:text>
    </x:comment>
    <x:comment ref="A26" authorId="0">
      <x:text>
        <x:r>
          <x:t>06/04/2026</x:t>
        </x:r>
      </x:text>
    </x:comment>
    <x:comment ref="Q42" authorId="0">
      <x:text>
        <x:r>
          <x:t>07/09/2026</x:t>
        </x:r>
      </x:text>
    </x:comment>
    <x:comment ref="B26" authorId="0">
      <x:text>
        <x:r>
          <x:t>07/04/2026</x:t>
        </x:r>
      </x:text>
    </x:comment>
    <x:comment ref="R42" authorId="0">
      <x:text>
        <x:r>
          <x:t>08/09/2026</x:t>
        </x:r>
      </x:text>
    </x:comment>
    <x:comment ref="C26" authorId="0">
      <x:text>
        <x:r>
          <x:t>08/04/2026</x:t>
        </x:r>
      </x:text>
    </x:comment>
    <x:comment ref="S42" authorId="0">
      <x:text>
        <x:r>
          <x:t>09/09/2026</x:t>
        </x:r>
      </x:text>
    </x:comment>
    <x:comment ref="D26" authorId="0">
      <x:text>
        <x:r>
          <x:t>09/04/2026</x:t>
        </x:r>
      </x:text>
    </x:comment>
    <x:comment ref="T42" authorId="0">
      <x:text>
        <x:r>
          <x:t>10/09/2026</x:t>
        </x:r>
      </x:text>
    </x:comment>
    <x:comment ref="E26" authorId="0">
      <x:text>
        <x:r>
          <x:t>10/04/2026</x:t>
        </x:r>
      </x:text>
    </x:comment>
    <x:comment ref="U42" authorId="0">
      <x:text>
        <x:r>
          <x:t>11/09/2026</x:t>
        </x:r>
      </x:text>
    </x:comment>
    <x:comment ref="F26" authorId="0">
      <x:text>
        <x:r>
          <x:t>11/04/2026</x:t>
        </x:r>
      </x:text>
    </x:comment>
    <x:comment ref="V42" authorId="0">
      <x:text>
        <x:r>
          <x:t>12/09/2026</x:t>
        </x:r>
      </x:text>
    </x:comment>
    <x:comment ref="G26" authorId="0">
      <x:text>
        <x:r>
          <x:t>12/04/2026</x:t>
        </x:r>
      </x:text>
    </x:comment>
    <x:comment ref="W42" authorId="0">
      <x:text>
        <x:r>
          <x:t>13/09/2026</x:t>
        </x:r>
      </x:text>
    </x:comment>
    <x:comment ref="I26" authorId="0">
      <x:text>
        <x:r>
          <x:t>04/05/2026</x:t>
        </x:r>
      </x:text>
    </x:comment>
    <x:comment ref="J26" authorId="0">
      <x:text>
        <x:r>
          <x:t>05/05/2026</x:t>
        </x:r>
      </x:text>
    </x:comment>
    <x:comment ref="K26" authorId="0">
      <x:text>
        <x:r>
          <x:t>06/05/2026</x:t>
        </x:r>
      </x:text>
    </x:comment>
    <x:comment ref="L26" authorId="0">
      <x:text>
        <x:r>
          <x:t>07/05/2026</x:t>
        </x:r>
      </x:text>
    </x:comment>
    <x:comment ref="M26" authorId="0">
      <x:text>
        <x:r>
          <x:t>08/05/2026</x:t>
        </x:r>
      </x:text>
    </x:comment>
    <x:comment ref="N26" authorId="0">
      <x:text>
        <x:r>
          <x:t>09/05/2026</x:t>
        </x:r>
      </x:text>
    </x:comment>
    <x:comment ref="O26" authorId="0">
      <x:text>
        <x:r>
          <x:t>10/05/2026</x:t>
        </x:r>
      </x:text>
    </x:comment>
    <x:comment ref="A10" authorId="0">
      <x:text>
        <x:r>
          <x:t>05/01/2026</x:t>
        </x:r>
      </x:text>
    </x:comment>
    <x:comment ref="Q26" authorId="0">
      <x:text>
        <x:r>
          <x:t>08/06/2026</x:t>
        </x:r>
      </x:text>
    </x:comment>
    <x:comment ref="B10" authorId="0">
      <x:text>
        <x:r>
          <x:t>06/01/2026</x:t>
        </x:r>
      </x:text>
    </x:comment>
    <x:comment ref="R26" authorId="0">
      <x:text>
        <x:r>
          <x:t>09/06/2026</x:t>
        </x:r>
      </x:text>
    </x:comment>
    <x:comment ref="C10" authorId="0">
      <x:text>
        <x:r>
          <x:t>07/01/2026</x:t>
        </x:r>
      </x:text>
    </x:comment>
    <x:comment ref="S26" authorId="0">
      <x:text>
        <x:r>
          <x:t>10/06/2026</x:t>
        </x:r>
      </x:text>
    </x:comment>
    <x:comment ref="D43" authorId="0">
      <x:text>
        <x:r>
          <x:t>Base inicial de la serie diaria · 09/07/2026. A partir del 10/07, introduce el valor diario en las celdas amarillas.</x:t>
        </x:r>
      </x:text>
    </x:comment>
    <x:comment ref="D10" authorId="0">
      <x:text>
        <x:r>
          <x:t>08/01/2026</x:t>
        </x:r>
      </x:text>
    </x:comment>
    <x:comment ref="T26" authorId="0">
      <x:text>
        <x:r>
          <x:t>11/06/2026</x:t>
        </x:r>
      </x:text>
    </x:comment>
    <x:comment ref="E10" authorId="0">
      <x:text>
        <x:r>
          <x:t>09/01/2026</x:t>
        </x:r>
      </x:text>
    </x:comment>
    <x:comment ref="U26" authorId="0">
      <x:text>
        <x:r>
          <x:t>12/06/2026</x:t>
        </x:r>
      </x:text>
    </x:comment>
    <x:comment ref="F10" authorId="0">
      <x:text>
        <x:r>
          <x:t>10/01/2026</x:t>
        </x:r>
      </x:text>
    </x:comment>
    <x:comment ref="V26" authorId="0">
      <x:text>
        <x:r>
          <x:t>13/06/2026</x:t>
        </x:r>
      </x:text>
    </x:comment>
    <x:comment ref="G10" authorId="0">
      <x:text>
        <x:r>
          <x:t>11/01/2026</x:t>
        </x:r>
      </x:text>
    </x:comment>
    <x:comment ref="W26" authorId="0">
      <x:text>
        <x:r>
          <x:t>14/06/2026</x:t>
        </x:r>
      </x:text>
    </x:comment>
    <x:comment ref="I10" authorId="0">
      <x:text>
        <x:r>
          <x:t>02/02/2026</x:t>
        </x:r>
      </x:text>
    </x:comment>
    <x:comment ref="J10" authorId="0">
      <x:text>
        <x:r>
          <x:t>03/02/2026</x:t>
        </x:r>
      </x:text>
    </x:comment>
    <x:comment ref="K10" authorId="0">
      <x:text>
        <x:r>
          <x:t>04/02/2026</x:t>
        </x:r>
      </x:text>
    </x:comment>
    <x:comment ref="L10" authorId="0">
      <x:text>
        <x:r>
          <x:t>05/02/2026</x:t>
        </x:r>
      </x:text>
    </x:comment>
    <x:comment ref="M10" authorId="0">
      <x:text>
        <x:r>
          <x:t>06/02/2026</x:t>
        </x:r>
      </x:text>
    </x:comment>
    <x:comment ref="N10" authorId="0">
      <x:text>
        <x:r>
          <x:t>07/02/2026</x:t>
        </x:r>
      </x:text>
    </x:comment>
    <x:comment ref="O10" authorId="0">
      <x:text>
        <x:r>
          <x:t>08/02/2026</x:t>
        </x:r>
      </x:text>
    </x:comment>
    <x:comment ref="A60" authorId="0">
      <x:text>
        <x:r>
          <x:t>12/10/2026</x:t>
        </x:r>
      </x:text>
    </x:comment>
    <x:comment ref="B60" authorId="0">
      <x:text>
        <x:r>
          <x:t>13/10/2026</x:t>
        </x:r>
      </x:text>
    </x:comment>
    <x:comment ref="Q10" authorId="0">
      <x:text>
        <x:r>
          <x:t>02/03/2026</x:t>
        </x:r>
      </x:text>
    </x:comment>
    <x:comment ref="C60" authorId="0">
      <x:text>
        <x:r>
          <x:t>14/10/2026</x:t>
        </x:r>
      </x:text>
    </x:comment>
    <x:comment ref="R10" authorId="0">
      <x:text>
        <x:r>
          <x:t>03/03/2026</x:t>
        </x:r>
      </x:text>
    </x:comment>
    <x:comment ref="D60" authorId="0">
      <x:text>
        <x:r>
          <x:t>15/10/2026</x:t>
        </x:r>
      </x:text>
    </x:comment>
    <x:comment ref="S10" authorId="0">
      <x:text>
        <x:r>
          <x:t>04/03/2026</x:t>
        </x:r>
      </x:text>
    </x:comment>
    <x:comment ref="E60" authorId="0">
      <x:text>
        <x:r>
          <x:t>16/10/2026</x:t>
        </x:r>
      </x:text>
    </x:comment>
    <x:comment ref="T10" authorId="0">
      <x:text>
        <x:r>
          <x:t>05/03/2026</x:t>
        </x:r>
      </x:text>
    </x:comment>
    <x:comment ref="F60" authorId="0">
      <x:text>
        <x:r>
          <x:t>17/10/2026</x:t>
        </x:r>
      </x:text>
    </x:comment>
    <x:comment ref="U10" authorId="0">
      <x:text>
        <x:r>
          <x:t>06/03/2026</x:t>
        </x:r>
      </x:text>
    </x:comment>
    <x:comment ref="G60" authorId="0">
      <x:text>
        <x:r>
          <x:t>18/10/2026</x:t>
        </x:r>
      </x:text>
    </x:comment>
    <x:comment ref="V10" authorId="0">
      <x:text>
        <x:r>
          <x:t>07/03/2026</x:t>
        </x:r>
      </x:text>
    </x:comment>
    <x:comment ref="W10" authorId="0">
      <x:text>
        <x:r>
          <x:t>08/03/2026</x:t>
        </x:r>
      </x:text>
    </x:comment>
    <x:comment ref="I60" authorId="0">
      <x:text>
        <x:r>
          <x:t>09/11/2026</x:t>
        </x:r>
      </x:text>
    </x:comment>
    <x:comment ref="J60" authorId="0">
      <x:text>
        <x:r>
          <x:t>10/11/2026</x:t>
        </x:r>
      </x:text>
    </x:comment>
    <x:comment ref="K60" authorId="0">
      <x:text>
        <x:r>
          <x:t>11/11/2026</x:t>
        </x:r>
      </x:text>
    </x:comment>
    <x:comment ref="L60" authorId="0">
      <x:text>
        <x:r>
          <x:t>12/11/2026</x:t>
        </x:r>
      </x:text>
    </x:comment>
    <x:comment ref="M60" authorId="0">
      <x:text>
        <x:r>
          <x:t>13/11/2026</x:t>
        </x:r>
      </x:text>
    </x:comment>
    <x:comment ref="N60" authorId="0">
      <x:text>
        <x:r>
          <x:t>14/11/2026</x:t>
        </x:r>
      </x:text>
    </x:comment>
    <x:comment ref="O60" authorId="0">
      <x:text>
        <x:r>
          <x:t>15/11/2026</x:t>
        </x:r>
      </x:text>
    </x:comment>
    <x:comment ref="A44" authorId="0">
      <x:text>
        <x:r>
          <x:t>13/07/2026</x:t>
        </x:r>
      </x:text>
    </x:comment>
    <x:comment ref="Q60" authorId="0">
      <x:text>
        <x:r>
          <x:t>14/12/2026</x:t>
        </x:r>
      </x:text>
    </x:comment>
    <x:comment ref="B44" authorId="0">
      <x:text>
        <x:r>
          <x:t>14/07/2026</x:t>
        </x:r>
      </x:text>
    </x:comment>
    <x:comment ref="R60" authorId="0">
      <x:text>
        <x:r>
          <x:t>15/12/2026</x:t>
        </x:r>
      </x:text>
    </x:comment>
    <x:comment ref="C44" authorId="0">
      <x:text>
        <x:r>
          <x:t>15/07/2026</x:t>
        </x:r>
      </x:text>
    </x:comment>
    <x:comment ref="S60" authorId="0">
      <x:text>
        <x:r>
          <x:t>16/12/2026</x:t>
        </x:r>
      </x:text>
    </x:comment>
    <x:comment ref="D44" authorId="0">
      <x:text>
        <x:r>
          <x:t>16/07/2026</x:t>
        </x:r>
      </x:text>
    </x:comment>
    <x:comment ref="T60" authorId="0">
      <x:text>
        <x:r>
          <x:t>17/12/2026</x:t>
        </x:r>
      </x:text>
    </x:comment>
    <x:comment ref="E44" authorId="0">
      <x:text>
        <x:r>
          <x:t>17/07/2026</x:t>
        </x:r>
      </x:text>
    </x:comment>
    <x:comment ref="U60" authorId="0">
      <x:text>
        <x:r>
          <x:t>18/12/2026</x:t>
        </x:r>
      </x:text>
    </x:comment>
    <x:comment ref="F44" authorId="0">
      <x:text>
        <x:r>
          <x:t>18/07/2026</x:t>
        </x:r>
      </x:text>
    </x:comment>
    <x:comment ref="V60" authorId="0">
      <x:text>
        <x:r>
          <x:t>19/12/2026</x:t>
        </x:r>
      </x:text>
    </x:comment>
    <x:comment ref="G44" authorId="0">
      <x:text>
        <x:r>
          <x:t>19/07/2026</x:t>
        </x:r>
      </x:text>
    </x:comment>
    <x:comment ref="W60" authorId="0">
      <x:text>
        <x:r>
          <x:t>20/12/2026</x:t>
        </x:r>
      </x:text>
    </x:comment>
    <x:comment ref="I44" authorId="0">
      <x:text>
        <x:r>
          <x:t>10/08/2026</x:t>
        </x:r>
      </x:text>
    </x:comment>
    <x:comment ref="J44" authorId="0">
      <x:text>
        <x:r>
          <x:t>11/08/2026</x:t>
        </x:r>
      </x:text>
    </x:comment>
    <x:comment ref="K44" authorId="0">
      <x:text>
        <x:r>
          <x:t>12/08/2026</x:t>
        </x:r>
      </x:text>
    </x:comment>
    <x:comment ref="L44" authorId="0">
      <x:text>
        <x:r>
          <x:t>13/08/2026</x:t>
        </x:r>
      </x:text>
    </x:comment>
    <x:comment ref="M44" authorId="0">
      <x:text>
        <x:r>
          <x:t>14/08/2026</x:t>
        </x:r>
      </x:text>
    </x:comment>
    <x:comment ref="N44" authorId="0">
      <x:text>
        <x:r>
          <x:t>15/08/2026</x:t>
        </x:r>
      </x:text>
    </x:comment>
    <x:comment ref="O44" authorId="0">
      <x:text>
        <x:r>
          <x:t>16/08/2026</x:t>
        </x:r>
      </x:text>
    </x:comment>
    <x:comment ref="A28" authorId="0">
      <x:text>
        <x:r>
          <x:t>13/04/2026</x:t>
        </x:r>
      </x:text>
    </x:comment>
    <x:comment ref="Q44" authorId="0">
      <x:text>
        <x:r>
          <x:t>14/09/2026</x:t>
        </x:r>
      </x:text>
    </x:comment>
    <x:comment ref="B28" authorId="0">
      <x:text>
        <x:r>
          <x:t>14/04/2026</x:t>
        </x:r>
      </x:text>
    </x:comment>
    <x:comment ref="R44" authorId="0">
      <x:text>
        <x:r>
          <x:t>15/09/2026</x:t>
        </x:r>
      </x:text>
    </x:comment>
    <x:comment ref="C28" authorId="0">
      <x:text>
        <x:r>
          <x:t>15/04/2026</x:t>
        </x:r>
      </x:text>
    </x:comment>
    <x:comment ref="S44" authorId="0">
      <x:text>
        <x:r>
          <x:t>16/09/2026</x:t>
        </x:r>
      </x:text>
    </x:comment>
    <x:comment ref="D28" authorId="0">
      <x:text>
        <x:r>
          <x:t>16/04/2026</x:t>
        </x:r>
      </x:text>
    </x:comment>
    <x:comment ref="T44" authorId="0">
      <x:text>
        <x:r>
          <x:t>17/09/2026</x:t>
        </x:r>
      </x:text>
    </x:comment>
    <x:comment ref="E28" authorId="0">
      <x:text>
        <x:r>
          <x:t>17/04/2026</x:t>
        </x:r>
      </x:text>
    </x:comment>
    <x:comment ref="U44" authorId="0">
      <x:text>
        <x:r>
          <x:t>18/09/2026</x:t>
        </x:r>
      </x:text>
    </x:comment>
    <x:comment ref="F28" authorId="0">
      <x:text>
        <x:r>
          <x:t>18/04/2026</x:t>
        </x:r>
      </x:text>
    </x:comment>
    <x:comment ref="V44" authorId="0">
      <x:text>
        <x:r>
          <x:t>19/09/2026</x:t>
        </x:r>
      </x:text>
    </x:comment>
    <x:comment ref="G28" authorId="0">
      <x:text>
        <x:r>
          <x:t>19/04/2026</x:t>
        </x:r>
      </x:text>
    </x:comment>
    <x:comment ref="W44" authorId="0">
      <x:text>
        <x:r>
          <x:t>20/09/2026</x:t>
        </x:r>
      </x:text>
    </x:comment>
    <x:comment ref="I28" authorId="0">
      <x:text>
        <x:r>
          <x:t>11/05/2026</x:t>
        </x:r>
      </x:text>
    </x:comment>
    <x:comment ref="J28" authorId="0">
      <x:text>
        <x:r>
          <x:t>12/05/2026</x:t>
        </x:r>
      </x:text>
    </x:comment>
    <x:comment ref="K28" authorId="0">
      <x:text>
        <x:r>
          <x:t>13/05/2026</x:t>
        </x:r>
      </x:text>
    </x:comment>
    <x:comment ref="L28" authorId="0">
      <x:text>
        <x:r>
          <x:t>14/05/2026</x:t>
        </x:r>
      </x:text>
    </x:comment>
    <x:comment ref="M28" authorId="0">
      <x:text>
        <x:r>
          <x:t>15/05/2026</x:t>
        </x:r>
      </x:text>
    </x:comment>
    <x:comment ref="N28" authorId="0">
      <x:text>
        <x:r>
          <x:t>16/05/2026</x:t>
        </x:r>
      </x:text>
    </x:comment>
    <x:comment ref="O28" authorId="0">
      <x:text>
        <x:r>
          <x:t>17/05/2026</x:t>
        </x:r>
      </x:text>
    </x:comment>
    <x:comment ref="A12" authorId="0">
      <x:text>
        <x:r>
          <x:t>12/01/2026</x:t>
        </x:r>
      </x:text>
    </x:comment>
    <x:comment ref="Q28" authorId="0">
      <x:text>
        <x:r>
          <x:t>15/06/2026</x:t>
        </x:r>
      </x:text>
    </x:comment>
    <x:comment ref="B12" authorId="0">
      <x:text>
        <x:r>
          <x:t>13/01/2026</x:t>
        </x:r>
      </x:text>
    </x:comment>
    <x:comment ref="R28" authorId="0">
      <x:text>
        <x:r>
          <x:t>16/06/2026</x:t>
        </x:r>
      </x:text>
    </x:comment>
    <x:comment ref="C12" authorId="0">
      <x:text>
        <x:r>
          <x:t>14/01/2026</x:t>
        </x:r>
      </x:text>
    </x:comment>
    <x:comment ref="S28" authorId="0">
      <x:text>
        <x:r>
          <x:t>17/06/2026</x:t>
        </x:r>
      </x:text>
    </x:comment>
    <x:comment ref="D12" authorId="0">
      <x:text>
        <x:r>
          <x:t>15/01/2026</x:t>
        </x:r>
      </x:text>
    </x:comment>
    <x:comment ref="T28" authorId="0">
      <x:text>
        <x:r>
          <x:t>18/06/2026</x:t>
        </x:r>
      </x:text>
    </x:comment>
    <x:comment ref="E12" authorId="0">
      <x:text>
        <x:r>
          <x:t>16/01/2026</x:t>
        </x:r>
      </x:text>
    </x:comment>
    <x:comment ref="U28" authorId="0">
      <x:text>
        <x:r>
          <x:t>19/06/2026</x:t>
        </x:r>
      </x:text>
    </x:comment>
    <x:comment ref="F12" authorId="0">
      <x:text>
        <x:r>
          <x:t>17/01/2026</x:t>
        </x:r>
      </x:text>
    </x:comment>
    <x:comment ref="V28" authorId="0">
      <x:text>
        <x:r>
          <x:t>20/06/2026</x:t>
        </x:r>
      </x:text>
    </x:comment>
    <x:comment ref="G12" authorId="0">
      <x:text>
        <x:r>
          <x:t>18/01/2026</x:t>
        </x:r>
      </x:text>
    </x:comment>
    <x:comment ref="W28" authorId="0">
      <x:text>
        <x:r>
          <x:t>21/06/2026</x:t>
        </x:r>
      </x:text>
    </x:comment>
    <x:comment ref="I12" authorId="0">
      <x:text>
        <x:r>
          <x:t>09/02/2026</x:t>
        </x:r>
      </x:text>
    </x:comment>
    <x:comment ref="J12" authorId="0">
      <x:text>
        <x:r>
          <x:t>10/02/2026</x:t>
        </x:r>
      </x:text>
    </x:comment>
    <x:comment ref="K12" authorId="0">
      <x:text>
        <x:r>
          <x:t>11/02/2026</x:t>
        </x:r>
      </x:text>
    </x:comment>
    <x:comment ref="L12" authorId="0">
      <x:text>
        <x:r>
          <x:t>12/02/2026</x:t>
        </x:r>
      </x:text>
    </x:comment>
    <x:comment ref="M12" authorId="0">
      <x:text>
        <x:r>
          <x:t>13/02/2026</x:t>
        </x:r>
      </x:text>
    </x:comment>
    <x:comment ref="N12" authorId="0">
      <x:text>
        <x:r>
          <x:t>14/02/2026</x:t>
        </x:r>
      </x:text>
    </x:comment>
    <x:comment ref="O12" authorId="0">
      <x:text>
        <x:r>
          <x:t>15/02/2026</x:t>
        </x:r>
      </x:text>
    </x:comment>
    <x:comment ref="A62" authorId="0">
      <x:text>
        <x:r>
          <x:t>19/10/2026</x:t>
        </x:r>
      </x:text>
    </x:comment>
    <x:comment ref="B62" authorId="0">
      <x:text>
        <x:r>
          <x:t>20/10/2026</x:t>
        </x:r>
      </x:text>
    </x:comment>
    <x:comment ref="Q12" authorId="0">
      <x:text>
        <x:r>
          <x:t>09/03/2026</x:t>
        </x:r>
      </x:text>
    </x:comment>
    <x:comment ref="C62" authorId="0">
      <x:text>
        <x:r>
          <x:t>21/10/2026</x:t>
        </x:r>
      </x:text>
    </x:comment>
    <x:comment ref="R12" authorId="0">
      <x:text>
        <x:r>
          <x:t>10/03/2026</x:t>
        </x:r>
      </x:text>
    </x:comment>
    <x:comment ref="D62" authorId="0">
      <x:text>
        <x:r>
          <x:t>22/10/2026</x:t>
        </x:r>
      </x:text>
    </x:comment>
    <x:comment ref="S12" authorId="0">
      <x:text>
        <x:r>
          <x:t>11/03/2026</x:t>
        </x:r>
      </x:text>
    </x:comment>
    <x:comment ref="E62" authorId="0">
      <x:text>
        <x:r>
          <x:t>23/10/2026</x:t>
        </x:r>
      </x:text>
    </x:comment>
    <x:comment ref="T12" authorId="0">
      <x:text>
        <x:r>
          <x:t>12/03/2026</x:t>
        </x:r>
      </x:text>
    </x:comment>
    <x:comment ref="F62" authorId="0">
      <x:text>
        <x:r>
          <x:t>24/10/2026</x:t>
        </x:r>
      </x:text>
    </x:comment>
    <x:comment ref="U12" authorId="0">
      <x:text>
        <x:r>
          <x:t>13/03/2026</x:t>
        </x:r>
      </x:text>
    </x:comment>
    <x:comment ref="G62" authorId="0">
      <x:text>
        <x:r>
          <x:t>25/10/2026</x:t>
        </x:r>
      </x:text>
    </x:comment>
    <x:comment ref="V12" authorId="0">
      <x:text>
        <x:r>
          <x:t>14/03/2026</x:t>
        </x:r>
      </x:text>
    </x:comment>
    <x:comment ref="W12" authorId="0">
      <x:text>
        <x:r>
          <x:t>15/03/2026</x:t>
        </x:r>
      </x:text>
    </x:comment>
    <x:comment ref="I62" authorId="0">
      <x:text>
        <x:r>
          <x:t>16/11/2026</x:t>
        </x:r>
      </x:text>
    </x:comment>
    <x:comment ref="J62" authorId="0">
      <x:text>
        <x:r>
          <x:t>17/11/2026</x:t>
        </x:r>
      </x:text>
    </x:comment>
    <x:comment ref="K62" authorId="0">
      <x:text>
        <x:r>
          <x:t>18/11/2026</x:t>
        </x:r>
      </x:text>
    </x:comment>
    <x:comment ref="L62" authorId="0">
      <x:text>
        <x:r>
          <x:t>19/11/2026</x:t>
        </x:r>
      </x:text>
    </x:comment>
    <x:comment ref="M62" authorId="0">
      <x:text>
        <x:r>
          <x:t>20/11/2026</x:t>
        </x:r>
      </x:text>
    </x:comment>
    <x:comment ref="N62" authorId="0">
      <x:text>
        <x:r>
          <x:t>21/11/2026</x:t>
        </x:r>
      </x:text>
    </x:comment>
    <x:comment ref="O62" authorId="0">
      <x:text>
        <x:r>
          <x:t>22/11/2026</x:t>
        </x:r>
      </x:text>
    </x:comment>
    <x:comment ref="A46" authorId="0">
      <x:text>
        <x:r>
          <x:t>20/07/2026</x:t>
        </x:r>
      </x:text>
    </x:comment>
    <x:comment ref="Q62" authorId="0">
      <x:text>
        <x:r>
          <x:t>21/12/2026</x:t>
        </x:r>
      </x:text>
    </x:comment>
    <x:comment ref="B46" authorId="0">
      <x:text>
        <x:r>
          <x:t>21/07/2026</x:t>
        </x:r>
      </x:text>
    </x:comment>
    <x:comment ref="R62" authorId="0">
      <x:text>
        <x:r>
          <x:t>22/12/2026</x:t>
        </x:r>
      </x:text>
    </x:comment>
    <x:comment ref="C46" authorId="0">
      <x:text>
        <x:r>
          <x:t>22/07/2026</x:t>
        </x:r>
      </x:text>
    </x:comment>
    <x:comment ref="S62" authorId="0">
      <x:text>
        <x:r>
          <x:t>23/12/2026</x:t>
        </x:r>
      </x:text>
    </x:comment>
    <x:comment ref="D46" authorId="0">
      <x:text>
        <x:r>
          <x:t>23/07/2026</x:t>
        </x:r>
      </x:text>
    </x:comment>
    <x:comment ref="T62" authorId="0">
      <x:text>
        <x:r>
          <x:t>24/12/2026</x:t>
        </x:r>
      </x:text>
    </x:comment>
    <x:comment ref="E46" authorId="0">
      <x:text>
        <x:r>
          <x:t>24/07/2026</x:t>
        </x:r>
      </x:text>
    </x:comment>
    <x:comment ref="U62" authorId="0">
      <x:text>
        <x:r>
          <x:t>25/12/2026</x:t>
        </x:r>
      </x:text>
    </x:comment>
    <x:comment ref="F46" authorId="0">
      <x:text>
        <x:r>
          <x:t>25/07/2026</x:t>
        </x:r>
      </x:text>
    </x:comment>
    <x:comment ref="V62" authorId="0">
      <x:text>
        <x:r>
          <x:t>26/12/2026</x:t>
        </x:r>
      </x:text>
    </x:comment>
    <x:comment ref="G46" authorId="0">
      <x:text>
        <x:r>
          <x:t>26/07/2026</x:t>
        </x:r>
      </x:text>
    </x:comment>
    <x:comment ref="W62" authorId="0">
      <x:text>
        <x:r>
          <x:t>27/12/2026</x:t>
        </x:r>
      </x:text>
    </x:comment>
    <x:comment ref="I46" authorId="0">
      <x:text>
        <x:r>
          <x:t>17/08/2026</x:t>
        </x:r>
      </x:text>
    </x:comment>
    <x:comment ref="J46" authorId="0">
      <x:text>
        <x:r>
          <x:t>18/08/2026</x:t>
        </x:r>
      </x:text>
    </x:comment>
    <x:comment ref="K46" authorId="0">
      <x:text>
        <x:r>
          <x:t>19/08/2026</x:t>
        </x:r>
      </x:text>
    </x:comment>
    <x:comment ref="L46" authorId="0">
      <x:text>
        <x:r>
          <x:t>20/08/2026</x:t>
        </x:r>
      </x:text>
    </x:comment>
    <x:comment ref="M46" authorId="0">
      <x:text>
        <x:r>
          <x:t>21/08/2026</x:t>
        </x:r>
      </x:text>
    </x:comment>
    <x:comment ref="N46" authorId="0">
      <x:text>
        <x:r>
          <x:t>22/08/2026</x:t>
        </x:r>
      </x:text>
    </x:comment>
    <x:comment ref="O46" authorId="0">
      <x:text>
        <x:r>
          <x:t>23/08/2026</x:t>
        </x:r>
      </x:text>
    </x:comment>
    <x:comment ref="A30" authorId="0">
      <x:text>
        <x:r>
          <x:t>20/04/2026</x:t>
        </x:r>
      </x:text>
    </x:comment>
    <x:comment ref="Q46" authorId="0">
      <x:text>
        <x:r>
          <x:t>21/09/2026</x:t>
        </x:r>
      </x:text>
    </x:comment>
    <x:comment ref="B30" authorId="0">
      <x:text>
        <x:r>
          <x:t>21/04/2026</x:t>
        </x:r>
      </x:text>
    </x:comment>
    <x:comment ref="R46" authorId="0">
      <x:text>
        <x:r>
          <x:t>22/09/2026</x:t>
        </x:r>
      </x:text>
    </x:comment>
    <x:comment ref="C30" authorId="0">
      <x:text>
        <x:r>
          <x:t>22/04/2026</x:t>
        </x:r>
      </x:text>
    </x:comment>
    <x:comment ref="S46" authorId="0">
      <x:text>
        <x:r>
          <x:t>23/09/2026</x:t>
        </x:r>
      </x:text>
    </x:comment>
    <x:comment ref="D30" authorId="0">
      <x:text>
        <x:r>
          <x:t>23/04/2026</x:t>
        </x:r>
      </x:text>
    </x:comment>
    <x:comment ref="T46" authorId="0">
      <x:text>
        <x:r>
          <x:t>24/09/2026</x:t>
        </x:r>
      </x:text>
    </x:comment>
    <x:comment ref="E30" authorId="0">
      <x:text>
        <x:r>
          <x:t>24/04/2026</x:t>
        </x:r>
      </x:text>
    </x:comment>
    <x:comment ref="U46" authorId="0">
      <x:text>
        <x:r>
          <x:t>25/09/2026</x:t>
        </x:r>
      </x:text>
    </x:comment>
    <x:comment ref="F30" authorId="0">
      <x:text>
        <x:r>
          <x:t>25/04/2026</x:t>
        </x:r>
      </x:text>
    </x:comment>
    <x:comment ref="V46" authorId="0">
      <x:text>
        <x:r>
          <x:t>26/09/2026</x:t>
        </x:r>
      </x:text>
    </x:comment>
    <x:comment ref="G30" authorId="0">
      <x:text>
        <x:r>
          <x:t>26/04/2026</x:t>
        </x:r>
      </x:text>
    </x:comment>
    <x:comment ref="W46" authorId="0">
      <x:text>
        <x:r>
          <x:t>27/09/2026</x:t>
        </x:r>
      </x:text>
    </x:comment>
    <x:comment ref="I30" authorId="0">
      <x:text>
        <x:r>
          <x:t>18/05/2026</x:t>
        </x:r>
      </x:text>
    </x:comment>
    <x:comment ref="J30" authorId="0">
      <x:text>
        <x:r>
          <x:t>19/05/2026</x:t>
        </x:r>
      </x:text>
    </x:comment>
    <x:comment ref="K30" authorId="0">
      <x:text>
        <x:r>
          <x:t>20/05/2026</x:t>
        </x:r>
      </x:text>
    </x:comment>
    <x:comment ref="L30" authorId="0">
      <x:text>
        <x:r>
          <x:t>21/05/2026</x:t>
        </x:r>
      </x:text>
    </x:comment>
    <x:comment ref="M30" authorId="0">
      <x:text>
        <x:r>
          <x:t>22/05/2026</x:t>
        </x:r>
      </x:text>
    </x:comment>
    <x:comment ref="N30" authorId="0">
      <x:text>
        <x:r>
          <x:t>23/05/2026</x:t>
        </x:r>
      </x:text>
    </x:comment>
    <x:comment ref="O30" authorId="0">
      <x:text>
        <x:r>
          <x:t>24/05/2026</x:t>
        </x:r>
      </x:text>
    </x:comment>
    <x:comment ref="A14" authorId="0">
      <x:text>
        <x:r>
          <x:t>19/01/2026</x:t>
        </x:r>
      </x:text>
    </x:comment>
    <x:comment ref="Q30" authorId="0">
      <x:text>
        <x:r>
          <x:t>22/06/2026</x:t>
        </x:r>
      </x:text>
    </x:comment>
    <x:comment ref="B14" authorId="0">
      <x:text>
        <x:r>
          <x:t>20/01/2026</x:t>
        </x:r>
      </x:text>
    </x:comment>
    <x:comment ref="R30" authorId="0">
      <x:text>
        <x:r>
          <x:t>23/06/2026</x:t>
        </x:r>
      </x:text>
    </x:comment>
    <x:comment ref="C14" authorId="0">
      <x:text>
        <x:r>
          <x:t>21/01/2026</x:t>
        </x:r>
      </x:text>
    </x:comment>
    <x:comment ref="S30" authorId="0">
      <x:text>
        <x:r>
          <x:t>24/06/2026</x:t>
        </x:r>
      </x:text>
    </x:comment>
    <x:comment ref="D14" authorId="0">
      <x:text>
        <x:r>
          <x:t>22/01/2026</x:t>
        </x:r>
      </x:text>
    </x:comment>
    <x:comment ref="T30" authorId="0">
      <x:text>
        <x:r>
          <x:t>25/06/2026</x:t>
        </x:r>
      </x:text>
    </x:comment>
    <x:comment ref="E14" authorId="0">
      <x:text>
        <x:r>
          <x:t>23/01/2026</x:t>
        </x:r>
      </x:text>
    </x:comment>
    <x:comment ref="U30" authorId="0">
      <x:text>
        <x:r>
          <x:t>26/06/2026</x:t>
        </x:r>
      </x:text>
    </x:comment>
    <x:comment ref="F14" authorId="0">
      <x:text>
        <x:r>
          <x:t>24/01/2026</x:t>
        </x:r>
      </x:text>
    </x:comment>
    <x:comment ref="V30" authorId="0">
      <x:text>
        <x:r>
          <x:t>27/06/2026</x:t>
        </x:r>
      </x:text>
    </x:comment>
    <x:comment ref="G14" authorId="0">
      <x:text>
        <x:r>
          <x:t>25/01/2026</x:t>
        </x:r>
      </x:text>
    </x:comment>
    <x:comment ref="W30" authorId="0">
      <x:text>
        <x:r>
          <x:t>28/06/2026</x:t>
        </x:r>
      </x:text>
    </x:comment>
    <x:comment ref="I14" authorId="0">
      <x:text>
        <x:r>
          <x:t>16/02/2026</x:t>
        </x:r>
      </x:text>
    </x:comment>
    <x:comment ref="J14" authorId="0">
      <x:text>
        <x:r>
          <x:t>17/02/2026</x:t>
        </x:r>
      </x:text>
    </x:comment>
    <x:comment ref="K14" authorId="0">
      <x:text>
        <x:r>
          <x:t>18/02/2026</x:t>
        </x:r>
      </x:text>
    </x:comment>
    <x:comment ref="L14" authorId="0">
      <x:text>
        <x:r>
          <x:t>19/02/2026</x:t>
        </x:r>
      </x:text>
    </x:comment>
    <x:comment ref="M14" authorId="0">
      <x:text>
        <x:r>
          <x:t>20/02/2026</x:t>
        </x:r>
      </x:text>
    </x:comment>
    <x:comment ref="N14" authorId="0">
      <x:text>
        <x:r>
          <x:t>21/02/2026</x:t>
        </x:r>
      </x:text>
    </x:comment>
    <x:comment ref="O14" authorId="0">
      <x:text>
        <x:r>
          <x:t>22/02/2026</x:t>
        </x:r>
      </x:text>
    </x:comment>
    <x:comment ref="A64" authorId="0">
      <x:text>
        <x:r>
          <x:t>26/10/2026</x:t>
        </x:r>
      </x:text>
    </x:comment>
    <x:comment ref="B64" authorId="0">
      <x:text>
        <x:r>
          <x:t>27/10/2026</x:t>
        </x:r>
      </x:text>
    </x:comment>
    <x:comment ref="Q14" authorId="0">
      <x:text>
        <x:r>
          <x:t>16/03/2026</x:t>
        </x:r>
      </x:text>
    </x:comment>
    <x:comment ref="C64" authorId="0">
      <x:text>
        <x:r>
          <x:t>28/10/2026</x:t>
        </x:r>
      </x:text>
    </x:comment>
    <x:comment ref="R14" authorId="0">
      <x:text>
        <x:r>
          <x:t>17/03/2026</x:t>
        </x:r>
      </x:text>
    </x:comment>
    <x:comment ref="D64" authorId="0">
      <x:text>
        <x:r>
          <x:t>29/10/2026</x:t>
        </x:r>
      </x:text>
    </x:comment>
    <x:comment ref="S14" authorId="0">
      <x:text>
        <x:r>
          <x:t>18/03/2026</x:t>
        </x:r>
      </x:text>
    </x:comment>
    <x:comment ref="E64" authorId="0">
      <x:text>
        <x:r>
          <x:t>30/10/2026</x:t>
        </x:r>
      </x:text>
    </x:comment>
    <x:comment ref="T14" authorId="0">
      <x:text>
        <x:r>
          <x:t>19/03/2026</x:t>
        </x:r>
      </x:text>
    </x:comment>
    <x:comment ref="F64" authorId="0">
      <x:text>
        <x:r>
          <x:t>31/10/2026</x:t>
        </x:r>
      </x:text>
    </x:comment>
    <x:comment ref="U14" authorId="0">
      <x:text>
        <x:r>
          <x:t>20/03/2026</x:t>
        </x:r>
      </x:text>
    </x:comment>
    <x:comment ref="V14" authorId="0">
      <x:text>
        <x:r>
          <x:t>21/03/2026</x:t>
        </x:r>
      </x:text>
    </x:comment>
    <x:comment ref="W14" authorId="0">
      <x:text>
        <x:r>
          <x:t>22/03/2026</x:t>
        </x:r>
      </x:text>
    </x:comment>
    <x:comment ref="I64" authorId="0">
      <x:text>
        <x:r>
          <x:t>23/11/2026</x:t>
        </x:r>
      </x:text>
    </x:comment>
    <x:comment ref="J64" authorId="0">
      <x:text>
        <x:r>
          <x:t>24/11/2026</x:t>
        </x:r>
      </x:text>
    </x:comment>
    <x:comment ref="K64" authorId="0">
      <x:text>
        <x:r>
          <x:t>25/11/2026</x:t>
        </x:r>
      </x:text>
    </x:comment>
    <x:comment ref="L64" authorId="0">
      <x:text>
        <x:r>
          <x:t>26/11/2026</x:t>
        </x:r>
      </x:text>
    </x:comment>
    <x:comment ref="M64" authorId="0">
      <x:text>
        <x:r>
          <x:t>27/11/2026</x:t>
        </x:r>
      </x:text>
    </x:comment>
    <x:comment ref="N64" authorId="0">
      <x:text>
        <x:r>
          <x:t>28/11/2026</x:t>
        </x:r>
      </x:text>
    </x:comment>
    <x:comment ref="O64" authorId="0">
      <x:text>
        <x:r>
          <x:t>29/11/2026</x:t>
        </x:r>
      </x:text>
    </x:comment>
    <x:comment ref="A48" authorId="0">
      <x:text>
        <x:r>
          <x:t>27/07/2026</x:t>
        </x:r>
      </x:text>
    </x:comment>
    <x:comment ref="Q64" authorId="0">
      <x:text>
        <x:r>
          <x:t>28/12/2026</x:t>
        </x:r>
      </x:text>
    </x:comment>
    <x:comment ref="B48" authorId="0">
      <x:text>
        <x:r>
          <x:t>28/07/2026</x:t>
        </x:r>
      </x:text>
    </x:comment>
    <x:comment ref="R64" authorId="0">
      <x:text>
        <x:r>
          <x:t>29/12/2026</x:t>
        </x:r>
      </x:text>
    </x:comment>
    <x:comment ref="C48" authorId="0">
      <x:text>
        <x:r>
          <x:t>29/07/2026</x:t>
        </x:r>
      </x:text>
    </x:comment>
    <x:comment ref="S64" authorId="0">
      <x:text>
        <x:r>
          <x:t>30/12/2026</x:t>
        </x:r>
      </x:text>
    </x:comment>
    <x:comment ref="D48" authorId="0">
      <x:text>
        <x:r>
          <x:t>30/07/2026</x:t>
        </x:r>
      </x:text>
    </x:comment>
    <x:comment ref="T64" authorId="0">
      <x:text>
        <x:r>
          <x:t>31/12/2026</x:t>
        </x:r>
      </x:text>
    </x:comment>
    <x:comment ref="E48" authorId="0">
      <x:text>
        <x:r>
          <x:t>31/07/2026</x:t>
        </x:r>
      </x:text>
    </x:comment>
    <x:comment ref="I48" authorId="0">
      <x:text>
        <x:r>
          <x:t>24/08/2026</x:t>
        </x:r>
      </x:text>
    </x:comment>
    <x:comment ref="J48" authorId="0">
      <x:text>
        <x:r>
          <x:t>25/08/2026</x:t>
        </x:r>
      </x:text>
    </x:comment>
    <x:comment ref="K48" authorId="0">
      <x:text>
        <x:r>
          <x:t>26/08/2026</x:t>
        </x:r>
      </x:text>
    </x:comment>
    <x:comment ref="L48" authorId="0">
      <x:text>
        <x:r>
          <x:t>27/08/2026</x:t>
        </x:r>
      </x:text>
    </x:comment>
    <x:comment ref="M48" authorId="0">
      <x:text>
        <x:r>
          <x:t>28/08/2026</x:t>
        </x:r>
      </x:text>
    </x:comment>
    <x:comment ref="N48" authorId="0">
      <x:text>
        <x:r>
          <x:t>29/08/2026</x:t>
        </x:r>
      </x:text>
    </x:comment>
    <x:comment ref="O48" authorId="0">
      <x:text>
        <x:r>
          <x:t>30/08/2026</x:t>
        </x:r>
      </x:text>
    </x:comment>
    <x:comment ref="A32" authorId="0">
      <x:text>
        <x:r>
          <x:t>27/04/2026</x:t>
        </x:r>
      </x:text>
    </x:comment>
    <x:comment ref="Q48" authorId="0">
      <x:text>
        <x:r>
          <x:t>28/09/2026</x:t>
        </x:r>
      </x:text>
    </x:comment>
    <x:comment ref="B32" authorId="0">
      <x:text>
        <x:r>
          <x:t>28/04/2026</x:t>
        </x:r>
      </x:text>
    </x:comment>
    <x:comment ref="R48" authorId="0">
      <x:text>
        <x:r>
          <x:t>29/09/2026</x:t>
        </x:r>
      </x:text>
    </x:comment>
    <x:comment ref="C32" authorId="0">
      <x:text>
        <x:r>
          <x:t>29/04/2026</x:t>
        </x:r>
      </x:text>
    </x:comment>
    <x:comment ref="S48" authorId="0">
      <x:text>
        <x:r>
          <x:t>30/09/2026</x:t>
        </x:r>
      </x:text>
    </x:comment>
    <x:comment ref="D32" authorId="0">
      <x:text>
        <x:r>
          <x:t>30/04/2026</x:t>
        </x:r>
      </x:text>
    </x:comment>
    <x:comment ref="I32" authorId="0">
      <x:text>
        <x:r>
          <x:t>25/05/2026</x:t>
        </x:r>
      </x:text>
    </x:comment>
    <x:comment ref="J32" authorId="0">
      <x:text>
        <x:r>
          <x:t>26/05/2026</x:t>
        </x:r>
      </x:text>
    </x:comment>
    <x:comment ref="K32" authorId="0">
      <x:text>
        <x:r>
          <x:t>27/05/2026</x:t>
        </x:r>
      </x:text>
    </x:comment>
    <x:comment ref="L32" authorId="0">
      <x:text>
        <x:r>
          <x:t>28/05/2026</x:t>
        </x:r>
      </x:text>
    </x:comment>
    <x:comment ref="M32" authorId="0">
      <x:text>
        <x:r>
          <x:t>29/05/2026</x:t>
        </x:r>
      </x:text>
    </x:comment>
    <x:comment ref="N32" authorId="0">
      <x:text>
        <x:r>
          <x:t>30/05/2026</x:t>
        </x:r>
      </x:text>
    </x:comment>
    <x:comment ref="O32" authorId="0">
      <x:text>
        <x:r>
          <x:t>31/05/2026</x:t>
        </x:r>
      </x:text>
    </x:comment>
    <x:comment ref="A16" authorId="0">
      <x:text>
        <x:r>
          <x:t>26/01/2026</x:t>
        </x:r>
      </x:text>
    </x:comment>
    <x:comment ref="Q32" authorId="0">
      <x:text>
        <x:r>
          <x:t>29/06/2026</x:t>
        </x:r>
      </x:text>
    </x:comment>
    <x:comment ref="B16" authorId="0">
      <x:text>
        <x:r>
          <x:t>27/01/2026</x:t>
        </x:r>
      </x:text>
    </x:comment>
    <x:comment ref="R32" authorId="0">
      <x:text>
        <x:r>
          <x:t>30/06/2026</x:t>
        </x:r>
      </x:text>
    </x:comment>
    <x:comment ref="C16" authorId="0">
      <x:text>
        <x:r>
          <x:t>28/01/2026</x:t>
        </x:r>
      </x:text>
    </x:comment>
    <x:comment ref="D16" authorId="0">
      <x:text>
        <x:r>
          <x:t>29/01/2026</x:t>
        </x:r>
      </x:text>
    </x:comment>
    <x:comment ref="E16" authorId="0">
      <x:text>
        <x:r>
          <x:t>30/01/2026</x:t>
        </x:r>
      </x:text>
    </x:comment>
    <x:comment ref="F16" authorId="0">
      <x:text>
        <x:r>
          <x:t>31/01/2026</x:t>
        </x:r>
      </x:text>
    </x:comment>
    <x:comment ref="I16" authorId="0">
      <x:text>
        <x:r>
          <x:t>23/02/2026</x:t>
        </x:r>
      </x:text>
    </x:comment>
    <x:comment ref="J16" authorId="0">
      <x:text>
        <x:r>
          <x:t>24/02/2026</x:t>
        </x:r>
      </x:text>
    </x:comment>
    <x:comment ref="K16" authorId="0">
      <x:text>
        <x:r>
          <x:t>25/02/2026</x:t>
        </x:r>
      </x:text>
    </x:comment>
    <x:comment ref="L16" authorId="0">
      <x:text>
        <x:r>
          <x:t>26/02/2026</x:t>
        </x:r>
      </x:text>
    </x:comment>
    <x:comment ref="M16" authorId="0">
      <x:text>
        <x:r>
          <x:t>27/02/2026</x:t>
        </x:r>
      </x:text>
    </x:comment>
    <x:comment ref="N16" authorId="0">
      <x:text>
        <x:r>
          <x:t>28/02/2026</x:t>
        </x:r>
      </x:text>
    </x:comment>
    <x:comment ref="Q16" authorId="0">
      <x:text>
        <x:r>
          <x:t>23/03/2026</x:t>
        </x:r>
      </x:text>
    </x:comment>
    <x:comment ref="R16" authorId="0">
      <x:text>
        <x:r>
          <x:t>24/03/2026</x:t>
        </x:r>
      </x:text>
    </x:comment>
    <x:comment ref="S16" authorId="0">
      <x:text>
        <x:r>
          <x:t>25/03/2026</x:t>
        </x:r>
      </x:text>
    </x:comment>
    <x:comment ref="D33" authorId="0">
      <x:text>
        <x:r>
          <x:t>Cierre mensual histórico vinculado a Evolucion. Se excluye de la volatilidad diaria.</x:t>
        </x:r>
      </x:text>
    </x:comment>
    <x:comment ref="T16" authorId="0">
      <x:text>
        <x:r>
          <x:t>26/03/2026</x:t>
        </x:r>
      </x:text>
    </x:comment>
    <x:comment ref="U16" authorId="0">
      <x:text>
        <x:r>
          <x:t>27/03/2026</x:t>
        </x:r>
      </x:text>
    </x:comment>
    <x:comment ref="V16" authorId="0">
      <x:text>
        <x:r>
          <x:t>28/03/2026</x:t>
        </x:r>
      </x:text>
    </x:comment>
    <x:comment ref="W16" authorId="0">
      <x:text>
        <x:r>
          <x:t>29/03/2026</x:t>
        </x:r>
      </x:text>
    </x:comment>
    <x:comment ref="I66" authorId="0">
      <x:text>
        <x:r>
          <x:t>30/11/2026</x:t>
        </x:r>
      </x:text>
    </x:comment>
    <x:comment ref="M33" authorId="0">
      <x:text>
        <x:r>
          <x:t>Cierre mensual histórico vinculado a Evolucion. Se excluye de la volatilidad diaria.</x:t>
        </x:r>
      </x:text>
    </x:comment>
    <x:comment ref="R33" authorId="0">
      <x:text>
        <x:r>
          <x:t>Cierre mensual histórico vinculado a Evolucion. Se excluye de la volatilidad diaria.</x:t>
        </x:r>
      </x:text>
    </x:comment>
    <x:comment ref="E17" authorId="0">
      <x:text>
        <x:r>
          <x:t>Cierre mensual histórico vinculado a Evolucion. Se excluye de la volatilidad diaria.</x:t>
        </x:r>
      </x:text>
    </x:comment>
    <x:comment ref="I50" authorId="0">
      <x:text>
        <x:r>
          <x:t>31/08/2026</x:t>
        </x:r>
      </x:text>
    </x:comment>
    <x:comment ref="M17" authorId="0">
      <x:text>
        <x:r>
          <x:t>Cierre mensual histórico vinculado a Evolucion. Se excluye de la volatilidad diaria.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<x:sst xmlns:x="http://schemas.openxmlformats.org/spreadsheetml/2006/main">
  <x:si>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Activo</x:t>
  </x:si>
  <x:si>
    <x:t xml:space="preserve">Importe (€)</x:t>
  </x:si>
  <x:si>
    <x:t xml:space="preserve">Peso %</x:t>
  </x:si>
  <x:si>
    <x:t xml:space="preserve">TOTAL</x:t>
  </x:si>
  <x:si>
    <x:t xml:space="preserve">2025</x:t>
  </x:si>
  <x:si>
    <x:t xml:space="preserve">Mes</x:t>
  </x:si>
  <x:si>
    <x:t xml:space="preserve">Valor Total</x:t>
  </x:si>
  <x:si>
    <x:t xml:space="preserve">Capital Inicial</x:t>
  </x:si>
  <x:si>
    <x:t xml:space="preserve">Capital Aportado</x:t>
  </x:si>
  <x:si>
    <x:t xml:space="preserve">Plusvalías</x:t>
  </x:si>
  <x:si>
    <x:t xml:space="preserve">% mens.</x:t>
  </x:si>
  <x:si>
    <x:t xml:space="preserve">TWR YTD</x:t>
  </x:si>
  <x:si>
    <x:t xml:space="preserve">Periodo</x:t>
  </x:si>
  <x:si>
    <x:t xml:space="preserve">Capital invertido estimado</x:t>
  </x:si>
  <x:si>
    <x:t xml:space="preserve">Plusvalía estimada</x:t>
  </x:si>
  <x:si>
    <x:t xml:space="preserve">Capital invertido</x:t>
  </x:si>
  <x:si>
    <x:t xml:space="preserve">Plusvalías acumuladas</x:t>
  </x:si>
  <x:si>
    <x:t xml:space="preserve">Feb</x:t>
  </x:si>
  <x:si>
    <x:t xml:space="preserve">Mar</x:t>
  </x:si>
  <x:si>
    <x:t xml:space="preserve">Abr</x:t>
  </x:si>
  <x:si>
    <x:t xml:space="preserve">May</x:t>
  </x:si>
  <x:si>
    <x:t xml:space="preserve">Jun</x:t>
  </x:si>
  <x:si>
    <x:t xml:space="preserve">Jul</x:t>
  </x:si>
  <x:si>
    <x:t xml:space="preserve">Ago</x:t>
  </x:si>
  <x:si>
    <x:t xml:space="preserve">Sep</x:t>
  </x:si>
  <x:si>
    <x:t xml:space="preserve">Oct</x:t>
  </x:si>
  <x:si>
    <x:t xml:space="preserve">Nov</x:t>
  </x:si>
  <x:si>
    <x:t xml:space="preserve">Dic</x:t>
  </x:si>
  <x:si>
    <x:t xml:space="preserve">YTD 2025</x:t>
  </x:si>
  <x:si>
    <x:t xml:space="preserve">Volatilidad</x:t>
  </x:si>
  <x:si>
    <x:t xml:space="preserve">2026</x:t>
  </x:si>
  <x:si>
    <x:t xml:space="preserve">% Ganancia Mes</x:t>
  </x:si>
  <x:si>
    <x:t xml:space="preserve">Ene</x:t>
  </x:si>
  <x:si>
    <x:t xml:space="preserve">YTD 2026</x:t>
  </x:si>
  <x:si>
    <x:t xml:space="preserve">Volatilidad </x:t>
  </x:si>
  <x:si>
    <x:t xml:space="preserve">2027</x:t>
  </x:si>
  <x:si>
    <x:t xml:space="preserve">YTD 2027</x:t>
  </x:si>
  <x:si>
    <x:t xml:space="preserve">Año</x:t>
  </x:si>
  <x:si>
    <x:t xml:space="preserve">Rentabilidad Cartera (%)</x:t>
  </x:si>
  <x:si>
    <x:t xml:space="preserve">Rentabilidad MSCI World (%)</x:t>
  </x:si>
  <x:si>
    <x:t xml:space="preserve">Cartera Acum (%)</x:t>
  </x:si>
  <x:si>
    <x:t xml:space="preserve">MSCI Acum (%)</x:t>
  </x:si>
  <x:si>
    <x:t xml:space="preserve">CALENDARIO DEL PORTFOLIO · 2026</x:t>
  </x:si>
  <x:si>
    <x:t xml:space="preserve">Introduce el valor del portfolio en las casillas amarillas de cada día laborable.
Los cierres mensuales conocidos aparecen en verde y no se usan como retornos diarios.
Registra aportaciones o reintegros en la tabla inferior para ajustar la rentabilidad.</x:t>
  </x:si>
  <x:si>
    <x:t xml:space="preserve">VOLATILIDAD DIARIA</x:t>
  </x:si>
  <x:si>
    <x:t xml:space="preserve">MÉTODO ACTIVO</x:t>
  </x:si>
  <x:si>
    <x:t xml:space="preserve">OBSERVACIONES DIARIAS</x:t>
  </x:si>
  <x:si>
    <x:t xml:space="preserve">ÚLTIMO DATO</x:t>
  </x:si>
  <x:si>
    <x:t xml:space="preserve">LEYENDA · Verde: cierre mensual/base · Amarillo: entrada diaria · Gris: fin de semana</x:t>
  </x:si>
  <x:si>
    <x:t xml:space="preserve">ENERO</x:t>
  </x:si>
  <x:si>
    <x:t xml:space="preserve">FEBRERO</x:t>
  </x:si>
  <x:si>
    <x:t xml:space="preserve">MARZO</x:t>
  </x:si>
  <x:si>
    <x:t xml:space="preserve">L</x:t>
  </x:si>
  <x:si>
    <x:t xml:space="preserve">M</x:t>
  </x:si>
  <x:si>
    <x:t xml:space="preserve">X</x:t>
  </x:si>
  <x:si>
    <x:t xml:space="preserve">J</x:t>
  </x:si>
  <x:si>
    <x:t xml:space="preserve">V</x:t>
  </x:si>
  <x:si>
    <x:t xml:space="preserve">S</x:t>
  </x:si>
  <x:si>
    <x:t xml:space="preserve">D</x:t>
  </x:si>
  <x:si>
    <x:t xml:space="preserve">ABRIL</x:t>
  </x:si>
  <x:si>
    <x:t xml:space="preserve">MAYO</x:t>
  </x:si>
  <x:si>
    <x:t xml:space="preserve">JUNIO</x:t>
  </x:si>
  <x:si>
    <x:t xml:space="preserve">JULIO</x:t>
  </x:si>
  <x:si>
    <x:t xml:space="preserve">AGOSTO</x:t>
  </x:si>
  <x:si>
    <x:t xml:space="preserve">SEPTIEMBRE</x:t>
  </x:si>
  <x:si>
    <x:t xml:space="preserve">OCTUBRE</x:t>
  </x:si>
  <x:si>
    <x:t xml:space="preserve">NOVIEMBRE</x:t>
  </x:si>
  <x:si>
    <x:t xml:space="preserve">DICIEMBRE</x:t>
  </x:si>
  <x:si>
    <x:t xml:space="preserve">APORTACIONES Y REINTEGROS</x:t>
  </x:si>
  <x:si>
    <x:t xml:space="preserve">Fecha</x:t>
  </x:si>
  <x:si>
    <x:t xml:space="preserve">Nota</x:t>
  </x:si>
  <x:si>
    <x:t xml:space="preserve">Valor portfolio</x:t>
  </x:si>
  <x:si>
    <x:t xml:space="preserve">Flujo neto</x:t>
  </x:si>
  <x:si>
    <x:t xml:space="preserve">Retorno diario (%)</x:t>
  </x:si>
  <x:si>
    <x:t xml:space="preserve">Tipo de dato</x:t>
  </x:si>
  <x:si>
    <x:t xml:space="preserve">ESTADÍSTICAS AVANZADAS · PORTFOLIO</x:t>
  </x:si>
  <x:si>
    <x:t xml:space="preserve">€STR anual (tasa libre de riesgo)</x:t>
  </x:si>
  <x:si>
    <x:t xml:space="preserve">Métricas calculadas con la rentabilidad mensual disponible de Cartera y MSCI World. La volatilidad diaria seguirá creciendo con el Calendario.</x:t>
  </x:si>
  <x:si>
    <x:t xml:space="preserve">Ratio Sharpe</x:t>
  </x:si>
  <x:si>
    <x:t xml:space="preserve">Ratio Sortino</x:t>
  </x:si>
  <x:si>
    <x:t xml:space="preserve">Alpha anual</x:t>
  </x:si>
  <x:si>
    <x:t xml:space="preserve">Beta vs MSCI World</x:t>
  </x:si>
  <x:si>
    <x:t xml:space="preserve">Máximo drawdown</x:t>
  </x:si>
  <x:si>
    <x:t xml:space="preserve">Information ratio</x:t>
  </x:si>
  <x:si>
    <x:t xml:space="preserve">Tracking error anual</x:t>
  </x:si>
  <x:si>
    <x:t xml:space="preserve">Correlación</x:t>
  </x:si>
  <x:si>
    <x:t xml:space="preserve">Rentabilidad anualizada</x:t>
  </x:si>
  <x:si>
    <x:t xml:space="preserve">Volatilidad anualizada</x:t>
  </x:si>
  <x:si>
    <x:t xml:space="preserve">Meses analizados</x:t>
  </x:si>
  <x:si>
    <x:t xml:space="preserve">Mejor mes</x:t>
  </x:si>
  <x:si>
    <x:t xml:space="preserve">Ratio Treynor</x:t>
  </x:si>
  <x:si>
    <x:t xml:space="preserve">DETALLE DE CÁLCULO · RENTABILIDADES MENSUALES</x:t>
  </x:si>
</x:sst>
</file>

<file path=xl/styles.xml><?xml version="1.0" encoding="utf-8"?>
<x:styleSheet xmlns:x="http://schemas.openxmlformats.org/spreadsheetml/2006/main">
  <x:numFmts count="7">
    <x:numFmt numFmtId="164" formatCode="0.00&quot;%&quot;"/>
    <x:numFmt numFmtId="165" formatCode="dd/mm/yyyy"/>
    <x:numFmt numFmtId="166" formatCode="#,##0&quot; €&quot;"/>
    <x:numFmt numFmtId="167" formatCode="#,##0 €"/>
    <x:numFmt numFmtId="168" formatCode="#,##0.00&quot; €&quot;"/>
    <x:numFmt numFmtId="169" formatCode="0.0000&quot;%&quot;"/>
    <x:numFmt numFmtId="170" formatCode="0.0000"/>
  </x:numFmts>
  <x:fonts count="36">
    <x:font>
      <x:sz val="11"/>
      <x:color rgb="FF000000"/>
      <x:name val="Arial"/>
    </x:font>
    <x:font>
      <x:b/>
      <x:sz val="16"/>
      <x:color rgb="FFFFFFFF"/>
      <x:name val="Arial"/>
    </x:font>
    <x:font>
      <x:sz val="10"/>
      <x:color rgb="FF243447"/>
      <x:name val="Arial"/>
    </x:font>
    <x:font/>
    <x:font>
      <x:color theme="1"/>
      <x:name val="Arial"/>
    </x:font>
    <x:font>
      <x:b/>
      <x:sz val="10"/>
      <x:color rgb="FF1F4E78"/>
      <x:name val="Arial"/>
    </x:font>
    <x:font>
      <x:b/>
      <x:sz val="11"/>
      <x:color rgb="FF243447"/>
      <x:name val="Arial"/>
    </x:font>
    <x:font>
      <x:b/>
      <x:sz val="10"/>
      <x:color rgb="FF243447"/>
      <x:name val="Arial"/>
    </x:font>
    <x:font>
      <x:b/>
      <x:sz val="9"/>
      <x:color rgb="FF1F4E78"/>
      <x:name val="Arial"/>
    </x:font>
    <x:font>
      <x:b/>
      <x:sz val="12"/>
      <x:color rgb="FFFFFFFF"/>
      <x:name val="Arial"/>
    </x:font>
    <x:font>
      <x:b/>
      <x:sz val="8"/>
      <x:color rgb="FF1F4E78"/>
      <x:name val="Arial"/>
    </x:font>
    <x:font>
      <x:b/>
      <x:sz val="8"/>
      <x:color rgb="FF6B7280"/>
      <x:name val="Arial"/>
    </x:font>
    <x:font>
      <x:sz val="8"/>
      <x:color rgb="FF0000FF"/>
      <x:name val="Arial"/>
    </x:font>
    <x:font>
      <x:sz val="8"/>
      <x:color rgb="FF6B7280"/>
      <x:name val="Arial"/>
    </x:font>
    <x:font>
      <x:b/>
      <x:color rgb="FFFFFFFF"/>
      <x:name val="Arial"/>
    </x:font>
    <x:font>
      <x:sz val="11"/>
      <x:color rgb="FF000000"/>
      <x:name val="Arial"/>
    </x:font>
    <x:font>
      <x:color rgb="FF000000"/>
      <x:name val="Arial"/>
    </x:font>
    <x:font>
      <x:color rgb="FF6AA84F"/>
      <x:name val="Arial"/>
    </x:font>
    <x:font>
      <x:color rgb="FF0B5394"/>
      <x:name val="Arial"/>
    </x:font>
    <x:font>
      <x:b/>
      <x:sz val="13"/>
      <x:color rgb="FFFFFFFF"/>
      <x:name val="Arial"/>
    </x:font>
    <x:font>
      <x:b/>
      <x:sz val="8"/>
      <x:color rgb="FF008000"/>
      <x:name val="Arial"/>
    </x:font>
    <x:font>
      <x:b/>
      <x:sz val="11"/>
      <x:color rgb="FF000000"/>
      <x:name val="Arial"/>
    </x:font>
    <x:font>
      <x:color rgb="FF008000"/>
      <x:name val="Arial"/>
    </x:font>
    <x:font>
      <x:b/>
      <x:color theme="1"/>
      <x:name val="Arial"/>
    </x:font>
    <x:font>
      <x:color rgb="FF11519E"/>
      <x:name val="Arial"/>
    </x:font>
    <x:font>
      <x:b/>
      <x:sz val="11"/>
      <x:color rgb="FFFFFFFF"/>
      <x:name val="Arial"/>
    </x:font>
    <x:font>
      <x:sz val="9"/>
      <x:color rgb="FF0000FF"/>
      <x:name val="Arial"/>
    </x:font>
    <x:font>
      <x:sz val="11"/>
      <x:color theme="1"/>
      <x:name val="Arial"/>
    </x:font>
    <x:font>
      <x:b/>
      <x:color rgb="FFFFFFFF"/>
      <x:name val="Arial"/>
    </x:font>
    <x:font>
      <x:color theme="1"/>
      <x:name val="Arial"/>
    </x:font>
    <x:font>
      <x:color rgb="FF008000"/>
      <x:name val="Arial"/>
    </x:font>
    <x:font>
      <x:b/>
      <x:sz val="12"/>
      <x:color rgb="FF11519E"/>
      <x:name val="Arial"/>
    </x:font>
    <x:font>
      <x:i/>
      <x:sz val="10"/>
      <x:color theme="1"/>
      <x:name val="Arial"/>
    </x:font>
    <x:font>
      <x:b/>
      <x:sz val="10"/>
      <x:color rgb="FFFFFFFF"/>
      <x:name val="Arial"/>
    </x:font>
    <x:font>
      <x:b/>
      <x:sz val="15"/>
      <x:color rgb="FF0A284F"/>
      <x:name val="Arial"/>
    </x:font>
    <x:font>
      <x:sz val="9"/>
      <x:color theme="1"/>
      <x:name val="Arial"/>
    </x:font>
  </x:fonts>
  <x:fills count="18">
    <x:fill>
      <x:patternFill patternType="none"/>
    </x:fill>
    <x:fill>
      <x:patternFill patternType="lightGray"/>
    </x:fill>
    <x:fill>
      <x:patternFill patternType="solid">
        <x:fgColor rgb="FF17365D"/>
      </x:patternFill>
    </x:fill>
    <x:fill>
      <x:patternFill patternType="solid">
        <x:fgColor rgb="FFEEF4FA"/>
      </x:patternFill>
    </x:fill>
    <x:fill>
      <x:patternFill patternType="solid">
        <x:fgColor rgb="FFDCE6F1"/>
      </x:patternFill>
    </x:fill>
    <x:fill>
      <x:patternFill patternType="solid">
        <x:fgColor rgb="FF1F4E78"/>
      </x:patternFill>
    </x:fill>
    <x:fill>
      <x:patternFill patternType="solid">
        <x:fgColor rgb="FFF1F3F5"/>
      </x:patternFill>
    </x:fill>
    <x:fill>
      <x:patternFill patternType="solid">
        <x:fgColor rgb="FFFFFFFF"/>
      </x:patternFill>
    </x:fill>
    <x:fill>
      <x:patternFill patternType="solid">
        <x:fgColor rgb="FF0A284F"/>
      </x:patternFill>
    </x:fill>
    <x:fill>
      <x:patternFill patternType="solid">
        <x:fgColor rgb="FFE2F0D9"/>
      </x:patternFill>
    </x:fill>
    <x:fill>
      <x:patternFill patternType="solid">
        <x:fgColor rgb="FFEAF4FB"/>
      </x:patternFill>
    </x:fill>
    <x:fill>
      <x:patternFill patternType="solid">
        <x:fgColor rgb="FFFFF4CC"/>
      </x:patternFill>
    </x:fill>
    <x:fill>
      <x:patternFill patternType="solid">
        <x:fgColor rgb="FFCFE2F3"/>
      </x:patternFill>
    </x:fill>
    <x:fill>
      <x:patternFill patternType="solid">
        <x:fgColor rgb="FFE8F2F9"/>
      </x:patternFill>
    </x:fill>
    <x:fill>
      <x:patternFill patternType="solid">
        <x:fgColor rgb="FFEFF2F4"/>
      </x:patternFill>
    </x:fill>
    <x:fill>
      <x:patternFill patternType="solid">
        <x:fgColor rgb="FFFFF4C6"/>
      </x:patternFill>
    </x:fill>
    <x:fill>
      <x:patternFill patternType="solid">
        <x:fgColor rgb="FFEDF4FC"/>
      </x:patternFill>
    </x:fill>
    <x:fill>
      <x:patternFill patternType="solid">
        <x:fgColor rgb="FFEFF7FC"/>
      </x:patternFill>
    </x:fill>
  </x:fills>
  <x:borders count="17">
    <x:border/>
    <x:border>
      <x:left style="thin">
        <x:color rgb="FFCAD6E2"/>
      </x:left>
      <x:top style="thin">
        <x:color rgb="FFCAD6E2"/>
      </x:top>
    </x:border>
    <x:border>
      <x:top style="thin">
        <x:color rgb="FFCAD6E2"/>
      </x:top>
    </x:border>
    <x:border>
      <x:right style="thin">
        <x:color rgb="FFCAD6E2"/>
      </x:right>
      <x:top style="thin">
        <x:color rgb="FFCAD6E2"/>
      </x:top>
    </x:border>
    <x:border>
      <x:bottom style="thin">
        <x:color rgb="FFCAD6E2"/>
      </x:bottom>
    </x:border>
    <x:border>
      <x:left style="thin">
        <x:color rgb="FFCAD6E2"/>
      </x:left>
    </x:border>
    <x:border>
      <x:right style="thin">
        <x:color rgb="FFCAD6E2"/>
      </x:right>
    </x:border>
    <x:border>
      <x:left style="thin">
        <x:color rgb="FFCAD6E2"/>
      </x:left>
      <x:bottom style="thin">
        <x:color rgb="FFCAD6E2"/>
      </x:bottom>
    </x:border>
    <x:border>
      <x:right style="thin">
        <x:color rgb="FFCAD6E2"/>
      </x:right>
      <x:bottom style="thin">
        <x:color rgb="FFCAD6E2"/>
      </x:bottom>
    </x:border>
    <x:border>
      <x:left style="thin">
        <x:color rgb="FFCAD6E2"/>
      </x:left>
      <x:right style="thin">
        <x:color rgb="FFCAD6E2"/>
      </x:right>
      <x:top style="thin">
        <x:color rgb="FFCAD6E2"/>
      </x:top>
    </x:border>
    <x:border>
      <x:left style="thin">
        <x:color rgb="FFCAD6E2"/>
      </x:left>
      <x:right style="thin">
        <x:color rgb="FFCAD6E2"/>
      </x:right>
      <x:bottom style="thin">
        <x:color rgb="FFCAD6E2"/>
      </x:bottom>
    </x:border>
    <x:border>
      <x:bottom style="medium">
        <x:color rgb="FF1F4E78"/>
      </x:bottom>
    </x:border>
    <x:border>
      <x:bottom style="thin">
        <x:color rgb="FFD9E2EA"/>
      </x:bottom>
    </x:border>
    <x:border>
      <x:top style="medium">
        <x:color rgb="FF1F4E78"/>
      </x:top>
      <x:bottom style="medium">
        <x:color rgb="FF1F4E78"/>
      </x:bottom>
    </x:border>
    <x:border>
      <x:top style="medium">
        <x:color rgb="FF1F4E78"/>
      </x:top>
      <x:bottom style="thin">
        <x:color rgb="FFD9E2EA"/>
      </x:bottom>
    </x:border>
    <x:border>
      <x:top style="thin">
        <x:color rgb="FFD9E2EA"/>
      </x:top>
      <x:bottom style="thin">
        <x:color rgb="FFD9E2EA"/>
      </x:bottom>
    </x:border>
    <x:border>
      <x:top style="thick">
        <x:color rgb="FF17365D"/>
      </x:top>
      <x:bottom style="medium">
        <x:color rgb="FF1F4E78"/>
      </x:bottom>
    </x:border>
  </x:borders>
  <x:cellStyleXfs count="1">
    <x:xf numFmtId="0" fontId="0" fillId="0" borderId="0" applyFont="1" applyAlignment="1"/>
  </x:cellStyleXfs>
  <x:cellXfs count="134">
    <x:xf numFmtId="0" fontId="0" fillId="0" borderId="0" xfId="0" applyFont="1" applyAlignment="1">
      <x:alignment vertical="bottom" wrapText="0"/>
    </x:xf>
    <x:xf numFmtId="0" fontId="1" fillId="2" borderId="0" xfId="0" applyFont="1" applyFill="1" applyAlignment="1">
      <x:alignment horizontal="center" vertical="center"/>
    </x:xf>
    <x:xf numFmtId="0" fontId="2" fillId="3" borderId="1" xfId="0" applyFont="1" applyFill="1" applyBorder="1" applyAlignment="1">
      <x:alignment vertical="center" wrapText="1"/>
    </x:xf>
    <x:xf numFmtId="0" fontId="3" fillId="0" borderId="2" xfId="0" applyFont="1" applyBorder="1"/>
    <x:xf numFmtId="0" fontId="3" fillId="0" borderId="3" xfId="0" applyFont="1" applyBorder="1"/>
    <x:xf numFmtId="0" fontId="4" fillId="0" borderId="0" xfId="0" applyFont="1"/>
    <x:xf numFmtId="0" fontId="5" fillId="3" borderId="4" xfId="0" applyFont="1" applyBorder="1" applyAlignment="1">
      <x:alignment horizontal="left" vertical="center"/>
    </x:xf>
    <x:xf numFmtId="0" fontId="3" fillId="0" borderId="4" xfId="0" applyFont="1" applyBorder="1"/>
    <x:xf numFmtId="164" fontId="6" fillId="3" borderId="4" xfId="0" applyNumberFormat="1" applyFont="1" applyBorder="1" applyAlignment="1">
      <x:alignment horizontal="right" vertical="center"/>
    </x:xf>
    <x:xf numFmtId="0" fontId="4" fillId="3" borderId="4" xfId="0" applyFont="1" applyBorder="1" applyAlignment="1">
      <x:alignment vertical="center"/>
    </x:xf>
    <x:xf numFmtId="0" fontId="7" fillId="3" borderId="4" xfId="0" applyFont="1" applyBorder="1" applyAlignment="1">
      <x:alignment horizontal="right" vertical="center"/>
    </x:xf>
    <x:xf numFmtId="0" fontId="3" fillId="0" borderId="5" xfId="0" applyFont="1" applyBorder="1"/>
    <x:xf numFmtId="0" fontId="3" fillId="0" borderId="6" xfId="0" applyFont="1" applyBorder="1"/>
    <x:xf numFmtId="0" fontId="6" fillId="3" borderId="4" xfId="0" applyFont="1" applyBorder="1" applyAlignment="1">
      <x:alignment horizontal="right" vertical="center"/>
    </x:xf>
    <x:xf numFmtId="165" fontId="7" fillId="3" borderId="4" xfId="0" applyNumberFormat="1" applyFont="1" applyBorder="1" applyAlignment="1">
      <x:alignment horizontal="right" vertical="center"/>
    </x:xf>
    <x:xf numFmtId="0" fontId="3" fillId="0" borderId="7" xfId="0" applyFont="1" applyBorder="1"/>
    <x:xf numFmtId="0" fontId="3" fillId="0" borderId="8" xfId="0" applyFont="1" applyBorder="1"/>
    <x:xf numFmtId="0" fontId="8" fillId="4" borderId="0" xfId="0" applyFont="1" applyFill="1" applyAlignment="1">
      <x:alignment horizontal="center" vertical="center"/>
    </x:xf>
    <x:xf numFmtId="0" fontId="9" fillId="5" borderId="0" xfId="0" applyFont="1" applyFill="1" applyAlignment="1">
      <x:alignment horizontal="center" vertical="center"/>
    </x:xf>
    <x:xf numFmtId="0" fontId="8" fillId="4" borderId="4" xfId="0" applyFont="1" applyBorder="1" applyAlignment="1">
      <x:alignment horizontal="center" vertical="center"/>
    </x:xf>
    <x:xf numFmtId="0" fontId="8" fillId="6" borderId="4" xfId="0" applyFont="1" applyFill="1" applyBorder="1" applyAlignment="1">
      <x:alignment horizontal="center" vertical="center"/>
    </x:xf>
    <x:xf numFmtId="0" fontId="10" fillId="7" borderId="9" xfId="0" applyFont="1" applyFill="1" applyBorder="1" applyAlignment="1">
      <x:alignment horizontal="left" vertical="top"/>
    </x:xf>
    <x:xf numFmtId="0" fontId="11" fillId="6" borderId="9" xfId="0" applyFont="1" applyBorder="1" applyAlignment="1">
      <x:alignment horizontal="left" vertical="top"/>
    </x:xf>
    <x:xf numFmtId="166" fontId="12" fillId="7" borderId="10" xfId="0" applyNumberFormat="1" applyFont="1" applyBorder="1" applyAlignment="1">
      <x:alignment horizontal="right" vertical="center"/>
    </x:xf>
    <x:xf numFmtId="166" fontId="13" fillId="6" borderId="10" xfId="0" applyNumberFormat="1" applyFont="1" applyBorder="1" applyAlignment="1">
      <x:alignment horizontal="right" vertical="center"/>
    </x:xf>
    <x:xf numFmtId="0" fontId="14" fillId="5" borderId="11" xfId="0" applyFont="1" applyBorder="1" applyAlignment="1">
      <x:alignment horizontal="center" vertical="center" wrapText="1"/>
    </x:xf>
    <x:xf numFmtId="0" fontId="15" fillId="0" borderId="0" xfId="0" applyFont="1"/>
    <x:xf numFmtId="1" fontId="16" fillId="0" borderId="12" xfId="0" applyNumberFormat="1" applyFont="1" applyBorder="1" applyAlignment="1">
      <x:alignment horizontal="center" vertical="center"/>
    </x:xf>
    <x:xf numFmtId="0" fontId="16" fillId="0" borderId="12" xfId="0" applyFont="1" applyBorder="1" applyAlignment="1">
      <x:alignment horizontal="center" vertical="center"/>
    </x:xf>
    <x:xf numFmtId="164" fontId="17" fillId="0" borderId="12" xfId="0" applyNumberFormat="1" applyFont="1" applyBorder="1" applyAlignment="1">
      <x:alignment horizontal="right" vertical="center"/>
    </x:xf>
    <x:xf numFmtId="164" fontId="18" fillId="0" borderId="12" xfId="0" applyNumberFormat="1" applyFont="1" applyBorder="1" applyAlignment="1">
      <x:alignment horizontal="right" vertical="center"/>
    </x:xf>
    <x:xf numFmtId="0" fontId="19" fillId="8" borderId="13" xfId="0" applyFont="1" applyFill="1" applyBorder="1" applyAlignment="1">
      <x:alignment horizontal="center" vertical="center"/>
    </x:xf>
    <x:xf numFmtId="0" fontId="3" fillId="0" borderId="13" xfId="0" applyFont="1" applyBorder="1"/>
    <x:xf numFmtId="164" fontId="16" fillId="0" borderId="12" xfId="0" applyNumberFormat="1" applyFont="1" applyBorder="1" applyAlignment="1">
      <x:alignment horizontal="right" vertical="center"/>
    </x:xf>
    <x:xf numFmtId="166" fontId="20" fillId="9" borderId="10" xfId="0" applyNumberFormat="1" applyFont="1" applyFill="1" applyBorder="1" applyAlignment="1">
      <x:alignment horizontal="right" vertical="center"/>
    </x:xf>
    <x:xf numFmtId="1" fontId="16" fillId="10" borderId="12" xfId="0" applyNumberFormat="1" applyFont="1" applyFill="1" applyBorder="1" applyAlignment="1">
      <x:alignment horizontal="center" vertical="center"/>
    </x:xf>
    <x:xf numFmtId="0" fontId="21" fillId="0" borderId="0" xfId="0" applyFont="1"/>
    <x:xf numFmtId="0" fontId="16" fillId="10" borderId="12" xfId="0" applyFont="1" applyBorder="1" applyAlignment="1">
      <x:alignment horizontal="center" vertical="center"/>
    </x:xf>
    <x:xf numFmtId="0" fontId="14" fillId="5" borderId="0" xfId="0" applyFont="1" applyAlignment="1">
      <x:alignment horizontal="center" vertical="center" wrapText="1"/>
    </x:xf>
    <x:xf numFmtId="0" fontId="14" fillId="5" borderId="0" xfId="0" applyFont="1" applyAlignment="1">
      <x:alignment horizontal="center" vertical="center" wrapText="1"/>
    </x:xf>
    <x:xf numFmtId="167" fontId="14" fillId="5" borderId="0" xfId="0" applyNumberFormat="1" applyFont="1" applyAlignment="1">
      <x:alignment horizontal="center" vertical="center" wrapText="1"/>
    </x:xf>
    <x:xf numFmtId="164" fontId="17" fillId="10" borderId="12" xfId="0" applyNumberFormat="1" applyFont="1" applyBorder="1" applyAlignment="1">
      <x:alignment horizontal="right" vertical="center"/>
    </x:xf>
    <x:xf numFmtId="164" fontId="18" fillId="10" borderId="12" xfId="0" applyNumberFormat="1" applyFont="1" applyBorder="1" applyAlignment="1">
      <x:alignment horizontal="right" vertical="center"/>
    </x:xf>
    <x:xf numFmtId="0" fontId="16" fillId="0" borderId="12" xfId="0" applyFont="1" applyBorder="1" applyAlignment="1">
      <x:alignment horizontal="left"/>
    </x:xf>
    <x:xf numFmtId="167" fontId="4" fillId="0" borderId="12" xfId="0" applyNumberFormat="1" applyFont="1" applyBorder="1" applyAlignment="1">
      <x:alignment horizontal="right"/>
    </x:xf>
    <x:xf numFmtId="164" fontId="16" fillId="10" borderId="12" xfId="0" applyNumberFormat="1" applyFont="1" applyBorder="1" applyAlignment="1">
      <x:alignment horizontal="right" vertical="center"/>
    </x:xf>
    <x:xf numFmtId="164" fontId="15" fillId="0" borderId="12" xfId="0" applyNumberFormat="1" applyFont="1" applyBorder="1" applyAlignment="1">
      <x:alignment horizontal="right"/>
    </x:xf>
    <x:xf numFmtId="164" fontId="17" fillId="0" borderId="12" xfId="0" applyNumberFormat="1" applyFont="1" applyBorder="1" applyAlignment="1">
      <x:alignment horizontal="right" vertical="center"/>
    </x:xf>
    <x:xf numFmtId="0" fontId="22" fillId="0" borderId="12" xfId="0" applyFont="1" applyBorder="1" applyAlignment="1">
      <x:alignment horizontal="center" vertical="center"/>
    </x:xf>
    <x:xf numFmtId="164" fontId="18" fillId="0" borderId="12" xfId="0" applyNumberFormat="1" applyFont="1" applyBorder="1" applyAlignment="1">
      <x:alignment horizontal="right" vertical="center"/>
    </x:xf>
    <x:xf numFmtId="167" fontId="22" fillId="0" borderId="12" xfId="0" applyNumberFormat="1" applyFont="1" applyBorder="1" applyAlignment="1">
      <x:alignment horizontal="right" vertical="center"/>
    </x:xf>
    <x:xf numFmtId="167" fontId="4" fillId="0" borderId="0" xfId="0" applyNumberFormat="1" applyFont="1"/>
    <x:xf numFmtId="0" fontId="16" fillId="10" borderId="12" xfId="0" applyFont="1" applyBorder="1" applyAlignment="1">
      <x:alignment horizontal="left"/>
    </x:xf>
    <x:xf numFmtId="167" fontId="4" fillId="10" borderId="12" xfId="0" applyNumberFormat="1" applyFont="1" applyBorder="1" applyAlignment="1">
      <x:alignment horizontal="right"/>
    </x:xf>
    <x:xf numFmtId="167" fontId="16" fillId="10" borderId="12" xfId="0" applyNumberFormat="1" applyFont="1" applyBorder="1" applyAlignment="1">
      <x:alignment horizontal="right"/>
    </x:xf>
    <x:xf numFmtId="164" fontId="16" fillId="10" borderId="12" xfId="0" applyNumberFormat="1" applyFont="1" applyBorder="1" applyAlignment="1">
      <x:alignment horizontal="right"/>
    </x:xf>
    <x:xf numFmtId="0" fontId="22" fillId="10" borderId="12" xfId="0" applyFont="1" applyBorder="1" applyAlignment="1">
      <x:alignment horizontal="center" vertical="center"/>
    </x:xf>
    <x:xf numFmtId="167" fontId="22" fillId="10" borderId="12" xfId="0" applyNumberFormat="1" applyFont="1" applyBorder="1" applyAlignment="1">
      <x:alignment horizontal="right" vertical="center"/>
    </x:xf>
    <x:xf numFmtId="166" fontId="13" fillId="6" borderId="10" xfId="0" applyNumberFormat="1" applyFont="1" applyBorder="1" applyAlignment="1">
      <x:alignment horizontal="right" vertical="center"/>
    </x:xf>
    <x:xf numFmtId="167" fontId="16" fillId="0" borderId="12" xfId="0" applyNumberFormat="1" applyFont="1" applyBorder="1" applyAlignment="1">
      <x:alignment horizontal="right"/>
    </x:xf>
    <x:xf numFmtId="166" fontId="12" fillId="11" borderId="10" xfId="0" applyNumberFormat="1" applyFont="1" applyFill="1" applyBorder="1" applyAlignment="1">
      <x:alignment horizontal="right" vertical="center"/>
    </x:xf>
    <x:xf numFmtId="164" fontId="16" fillId="0" borderId="12" xfId="0" applyNumberFormat="1" applyFont="1" applyBorder="1" applyAlignment="1">
      <x:alignment horizontal="right"/>
    </x:xf>
    <x:xf numFmtId="166" fontId="20" fillId="9" borderId="0" xfId="0" applyNumberFormat="1" applyFont="1" applyAlignment="1">
      <x:alignment horizontal="right" vertical="center"/>
    </x:xf>
    <x:xf numFmtId="166" fontId="12" fillId="11" borderId="0" xfId="0" applyNumberFormat="1" applyFont="1" applyAlignment="1">
      <x:alignment horizontal="right" vertical="center"/>
    </x:xf>
    <x:xf numFmtId="166" fontId="12" fillId="11" borderId="10" xfId="0" applyNumberFormat="1" applyFont="1" applyBorder="1" applyAlignment="1">
      <x:alignment horizontal="right" vertical="center"/>
    </x:xf>
    <x:xf numFmtId="1" fontId="16" fillId="12" borderId="14" xfId="0" applyNumberFormat="1" applyFont="1" applyFill="1" applyBorder="1" applyAlignment="1">
      <x:alignment horizontal="center" vertical="center"/>
    </x:xf>
    <x:xf numFmtId="0" fontId="16" fillId="12" borderId="14" xfId="0" applyFont="1" applyBorder="1" applyAlignment="1">
      <x:alignment horizontal="center" vertical="center"/>
    </x:xf>
    <x:xf numFmtId="164" fontId="17" fillId="12" borderId="14" xfId="0" applyNumberFormat="1" applyFont="1" applyBorder="1" applyAlignment="1">
      <x:alignment horizontal="right" vertical="center"/>
    </x:xf>
    <x:xf numFmtId="164" fontId="18" fillId="12" borderId="14" xfId="0" applyNumberFormat="1" applyFont="1" applyBorder="1" applyAlignment="1">
      <x:alignment horizontal="right" vertical="center"/>
    </x:xf>
    <x:xf numFmtId="164" fontId="16" fillId="12" borderId="14" xfId="0" applyNumberFormat="1" applyFont="1" applyBorder="1" applyAlignment="1">
      <x:alignment horizontal="right" vertical="center"/>
    </x:xf>
    <x:xf numFmtId="0" fontId="23" fillId="13" borderId="14" xfId="0" applyFont="1" applyFill="1" applyBorder="1" applyAlignment="1">
      <x:alignment horizontal="left"/>
    </x:xf>
    <x:xf numFmtId="167" fontId="23" fillId="13" borderId="14" xfId="0" applyNumberFormat="1" applyFont="1" applyBorder="1" applyAlignment="1">
      <x:alignment horizontal="right"/>
    </x:xf>
    <x:xf numFmtId="10" fontId="23" fillId="13" borderId="14" xfId="0" applyNumberFormat="1" applyFont="1" applyBorder="1" applyAlignment="1">
      <x:alignment horizontal="right"/>
    </x:xf>
    <x:xf numFmtId="164" fontId="23" fillId="13" borderId="14" xfId="0" applyNumberFormat="1" applyFont="1" applyBorder="1" applyAlignment="1">
      <x:alignment horizontal="right"/>
    </x:xf>
    <x:xf numFmtId="0" fontId="23" fillId="14" borderId="15" xfId="0" applyFont="1" applyFill="1" applyBorder="1" applyAlignment="1">
      <x:alignment vertical="center"/>
    </x:xf>
    <x:xf numFmtId="164" fontId="18" fillId="10" borderId="12" xfId="0" applyNumberFormat="1" applyFont="1" applyBorder="1" applyAlignment="1">
      <x:alignment horizontal="right" vertical="center"/>
    </x:xf>
    <x:xf numFmtId="164" fontId="23" fillId="14" borderId="15" xfId="0" applyNumberFormat="1" applyFont="1" applyBorder="1" applyAlignment="1">
      <x:alignment horizontal="right" vertical="center"/>
    </x:xf>
    <x:xf numFmtId="1" fontId="16" fillId="0" borderId="12" xfId="0" applyNumberFormat="1" applyFont="1" applyBorder="1" applyAlignment="1">
      <x:alignment horizontal="center" vertical="center"/>
    </x:xf>
    <x:xf numFmtId="167" fontId="23" fillId="14" borderId="15" xfId="0" applyNumberFormat="1" applyFont="1" applyBorder="1" applyAlignment="1">
      <x:alignment horizontal="right"/>
    </x:xf>
    <x:xf numFmtId="0" fontId="16" fillId="0" borderId="12" xfId="0" applyFont="1" applyBorder="1" applyAlignment="1">
      <x:alignment horizontal="center" vertical="center"/>
    </x:xf>
    <x:xf numFmtId="0" fontId="14" fillId="5" borderId="11" xfId="0" applyFont="1" applyBorder="1" applyAlignment="1">
      <x:alignment horizontal="center" vertical="center" wrapText="1"/>
    </x:xf>
    <x:xf numFmtId="164" fontId="23" fillId="14" borderId="15" xfId="0" applyNumberFormat="1" applyFont="1" applyBorder="1" applyAlignment="1">
      <x:alignment horizontal="right"/>
    </x:xf>
    <x:xf numFmtId="0" fontId="16" fillId="0" borderId="12" xfId="0" applyFont="1" applyBorder="1" applyAlignment="1">
      <x:alignment horizontal="left" vertical="center"/>
    </x:xf>
    <x:xf numFmtId="167" fontId="24" fillId="15" borderId="12" xfId="0" applyNumberFormat="1" applyFont="1" applyFill="1" applyBorder="1" applyAlignment="1">
      <x:alignment horizontal="right"/>
    </x:xf>
    <x:xf numFmtId="1" fontId="16" fillId="10" borderId="12" xfId="0" applyNumberFormat="1" applyFont="1" applyBorder="1" applyAlignment="1">
      <x:alignment horizontal="center" vertical="center"/>
    </x:xf>
    <x:xf numFmtId="0" fontId="16" fillId="10" borderId="12" xfId="0" applyFont="1" applyBorder="1" applyAlignment="1">
      <x:alignment horizontal="center" vertical="center"/>
    </x:xf>
    <x:xf numFmtId="10" fontId="16" fillId="0" borderId="12" xfId="0" applyNumberFormat="1" applyFont="1" applyBorder="1" applyAlignment="1">
      <x:alignment horizontal="right"/>
    </x:xf>
    <x:xf numFmtId="0" fontId="19" fillId="8" borderId="13" xfId="0" applyFont="1" applyBorder="1" applyAlignment="1">
      <x:alignment horizontal="center" vertical="center"/>
    </x:xf>
    <x:xf numFmtId="0" fontId="16" fillId="10" borderId="12" xfId="0" applyFont="1" applyBorder="1" applyAlignment="1">
      <x:alignment horizontal="left" vertical="center"/>
    </x:xf>
    <x:xf numFmtId="10" fontId="16" fillId="10" borderId="12" xfId="0" applyNumberFormat="1" applyFont="1" applyBorder="1" applyAlignment="1">
      <x:alignment horizontal="right"/>
    </x:xf>
    <x:xf numFmtId="0" fontId="25" fillId="5" borderId="11" xfId="0" applyFont="1" applyBorder="1" applyAlignment="1">
      <x:alignment horizontal="center" vertical="center" wrapText="1"/>
    </x:xf>
    <x:xf numFmtId="0" fontId="16" fillId="0" borderId="12" xfId="0" applyFont="1" applyBorder="1" applyAlignment="1">
      <x:alignment horizontal="left" vertical="center"/>
    </x:xf>
    <x:xf numFmtId="0" fontId="25" fillId="5" borderId="0" xfId="0" applyFont="1" applyAlignment="1">
      <x:alignment horizontal="center" vertical="center"/>
    </x:xf>
    <x:xf numFmtId="167" fontId="24" fillId="15" borderId="12" xfId="0" applyNumberFormat="1" applyFont="1" applyBorder="1" applyAlignment="1">
      <x:alignment horizontal="right"/>
    </x:xf>
    <x:xf numFmtId="165" fontId="26" fillId="11" borderId="4" xfId="0" applyNumberFormat="1" applyFont="1" applyBorder="1" applyAlignment="1">
      <x:alignment horizontal="center" vertical="center"/>
    </x:xf>
    <x:xf numFmtId="168" fontId="26" fillId="11" borderId="4" xfId="0" applyNumberFormat="1" applyFont="1" applyBorder="1" applyAlignment="1">
      <x:alignment horizontal="right" vertical="center"/>
    </x:xf>
    <x:xf numFmtId="0" fontId="26" fillId="11" borderId="4" xfId="0" applyFont="1" applyBorder="1" applyAlignment="1">
      <x:alignment vertical="center"/>
    </x:xf>
    <x:xf numFmtId="0" fontId="16" fillId="10" borderId="12" xfId="0" applyFont="1" applyBorder="1" applyAlignment="1">
      <x:alignment horizontal="left" vertical="center"/>
    </x:xf>
    <x:xf numFmtId="0" fontId="14" fillId="5" borderId="16" xfId="0" applyFont="1" applyBorder="1" applyAlignment="1">
      <x:alignment horizontal="center" vertical="center"/>
    </x:xf>
    <x:xf numFmtId="167" fontId="14" fillId="5" borderId="16" xfId="0" applyNumberFormat="1" applyFont="1" applyBorder="1" applyAlignment="1">
      <x:alignment horizontal="center" vertical="center"/>
    </x:xf>
    <x:xf numFmtId="167" fontId="4" fillId="0" borderId="12" xfId="0" applyNumberFormat="1" applyFont="1" applyBorder="1" applyAlignment="1">
      <x:alignment horizontal="right"/>
    </x:xf>
    <x:xf numFmtId="167" fontId="27" fillId="10" borderId="12" xfId="0" applyNumberFormat="1" applyFont="1" applyBorder="1" applyAlignment="1">
      <x:alignment horizontal="right"/>
    </x:xf>
    <x:xf numFmtId="167" fontId="15" fillId="0" borderId="12" xfId="0" applyNumberFormat="1" applyFont="1" applyBorder="1" applyAlignment="1">
      <x:alignment horizontal="right"/>
    </x:xf>
    <x:xf numFmtId="167" fontId="15" fillId="10" borderId="12" xfId="0" applyNumberFormat="1" applyFont="1" applyBorder="1" applyAlignment="1">
      <x:alignment horizontal="right"/>
    </x:xf>
    <x:xf numFmtId="0" fontId="16" fillId="0" borderId="0" xfId="0" applyFont="1"/>
    <x:xf numFmtId="167" fontId="15" fillId="0" borderId="12" xfId="0" applyNumberFormat="1" applyFont="1" applyBorder="1" applyAlignment="1">
      <x:alignment horizontal="right"/>
    </x:xf>
    <x:xf numFmtId="0" fontId="19" fillId="8" borderId="13" xfId="0" applyFont="1" applyBorder="1" applyAlignment="1">
      <x:alignment horizontal="center" vertical="center"/>
    </x:xf>
    <x:xf numFmtId="0" fontId="14" fillId="5" borderId="11" xfId="0" applyFont="1" applyBorder="1" applyAlignment="1">
      <x:alignment horizontal="center" vertical="center" wrapText="1"/>
    </x:xf>
    <x:xf numFmtId="0" fontId="16" fillId="0" borderId="12" xfId="0" applyFont="1" applyBorder="1" applyAlignment="1">
      <x:alignment horizontal="left"/>
    </x:xf>
    <x:xf numFmtId="0" fontId="14" fillId="0" borderId="11" xfId="0" applyFont="1" applyBorder="1" applyAlignment="1">
      <x:alignment horizontal="center" vertical="center"/>
    </x:xf>
    <x:xf numFmtId="0" fontId="16" fillId="0" borderId="0" xfId="0" applyFont="1" applyAlignment="1">
      <x:alignment horizontal="left" vertical="center" wrapText="1"/>
    </x:xf>
    <x:xf numFmtId="0" fontId="16" fillId="10" borderId="12" xfId="0" applyFont="1" applyBorder="1" applyAlignment="1">
      <x:alignment horizontal="left"/>
    </x:xf>
    <x:xf numFmtId="0" fontId="23" fillId="13" borderId="14" xfId="0" applyFont="1" applyBorder="1" applyAlignment="1">
      <x:alignment horizontal="left"/>
    </x:xf>
    <x:xf numFmtId="0" fontId="23" fillId="14" borderId="15" xfId="0" applyFont="1" applyBorder="1" applyAlignment="1">
      <x:alignment vertical="center"/>
    </x:xf>
    <x:xf numFmtId="0" fontId="28" fillId="5" borderId="0" xfId="0" applyFont="1" applyAlignment="1">
      <x:alignment horizontal="center"/>
    </x:xf>
    <x:xf numFmtId="165" fontId="29" fillId="0" borderId="0" xfId="0" applyNumberFormat="1" applyFont="1" applyAlignment="1">
      <x:alignment horizontal="center"/>
    </x:xf>
    <x:xf numFmtId="168" fontId="30" fillId="0" borderId="0" xfId="0" applyNumberFormat="1" applyFont="1" applyAlignment="1">
      <x:alignment horizontal="right"/>
    </x:xf>
    <x:xf numFmtId="169" fontId="29" fillId="0" borderId="0" xfId="0" applyNumberFormat="1" applyFont="1" applyAlignment="1">
      <x:alignment horizontal="right"/>
    </x:xf>
    <x:xf numFmtId="0" fontId="29" fillId="4" borderId="0" xfId="0" applyFont="1"/>
    <x:xf numFmtId="0" fontId="1" fillId="8" borderId="0" xfId="0" applyFont="1" applyAlignment="1">
      <x:alignment horizontal="center" vertical="center"/>
    </x:xf>
    <x:xf numFmtId="0" fontId="4" fillId="0" borderId="0" xfId="0" applyFont="1" applyAlignment="1"/>
    <x:xf numFmtId="164" fontId="31" fillId="15" borderId="0" xfId="0" applyNumberFormat="1" applyFont="1" applyAlignment="1">
      <x:alignment horizontal="center" vertical="center"/>
    </x:xf>
    <x:xf numFmtId="0" fontId="32" fillId="16" borderId="0" xfId="0" applyFont="1" applyFill="1" applyAlignment="1">
      <x:alignment horizontal="center" vertical="center" wrapText="1"/>
    </x:xf>
    <x:xf numFmtId="0" fontId="33" fillId="5" borderId="0" xfId="0" applyFont="1" applyAlignment="1">
      <x:alignment horizontal="center" vertical="center" wrapText="1"/>
    </x:xf>
    <x:xf numFmtId="2" fontId="34" fillId="17" borderId="0" xfId="0" applyNumberFormat="1" applyFont="1" applyFill="1" applyAlignment="1">
      <x:alignment horizontal="center" vertical="center" wrapText="1"/>
    </x:xf>
    <x:xf numFmtId="164" fontId="34" fillId="17" borderId="0" xfId="0" applyNumberFormat="1" applyFont="1" applyAlignment="1">
      <x:alignment horizontal="center" vertical="center" wrapText="1"/>
    </x:xf>
    <x:xf numFmtId="10" fontId="34" fillId="17" borderId="0" xfId="0" applyNumberFormat="1" applyFont="1" applyAlignment="1">
      <x:alignment horizontal="center" vertical="center" wrapText="1"/>
    </x:xf>
    <x:xf numFmtId="1" fontId="34" fillId="17" borderId="0" xfId="0" applyNumberFormat="1" applyFont="1" applyAlignment="1">
      <x:alignment horizontal="center" vertical="center" wrapText="1"/>
    </x:xf>
    <x:xf numFmtId="0" fontId="19" fillId="8" borderId="0" xfId="0" applyFont="1" applyAlignment="1">
      <x:alignment horizontal="center" vertical="center"/>
    </x:xf>
    <x:xf numFmtId="0" fontId="14" fillId="5" borderId="0" xfId="0" applyFont="1" applyAlignment="1">
      <x:alignment horizontal="center" vertical="center" wrapText="1"/>
    </x:xf>
    <x:xf numFmtId="0" fontId="35" fillId="0" borderId="0" xfId="0" applyFont="1" applyAlignment="1">
      <x:alignment horizontal="center" vertical="center"/>
    </x:xf>
    <x:xf numFmtId="164" fontId="35" fillId="0" borderId="0" xfId="0" applyNumberFormat="1" applyFont="1" applyAlignment="1">
      <x:alignment horizontal="center" vertical="center"/>
    </x:xf>
    <x:xf numFmtId="170" fontId="35" fillId="0" borderId="0" xfId="0" applyNumberFormat="1" applyFont="1" applyAlignment="1">
      <x:alignment horizontal="center" vertical="center"/>
    </x:xf>
    <x:xf numFmtId="10" fontId="35" fillId="0" borderId="0" xfId="0" applyNumberFormat="1" applyFont="1" applyAlignment="1">
      <x:alignment horizontal="center" vertical="center"/>
    </x:xf>
  </x:cellXfs>
  <x:cellStyles count="1">
    <x:cellStyle name="Normal" xfId="0"/>
  </x:cellStyles>
  <x:dxfs count="8">
    <x:dxf>
      <x:fill>
        <x:patternFill patternType="none"/>
      </x:fill>
      <x:border/>
    </x:dxf>
    <x:dxf>
      <x:fill>
        <x:patternFill>
          <x:bgColor rgb="FFFFFFFF"/>
        </x:patternFill>
      </x:fill>
      <x:border/>
    </x:dxf>
    <x:dxf>
      <x:fill>
        <x:patternFill>
          <x:bgColor rgb="FFDBE5F1"/>
        </x:patternFill>
      </x:fill>
      <x:border/>
    </x:dxf>
    <x:dxf>
      <x:fill>
        <x:patternFill>
          <x:bgColor rgb="FFB8CCE4"/>
        </x:patternFill>
      </x:fill>
      <x:border/>
    </x:dxf>
    <x:dxf>
      <x:fill>
        <x:patternFill>
          <x:bgColor rgb="FFE2F0D9"/>
        </x:patternFill>
      </x:fill>
      <x:border/>
    </x:dxf>
    <x:dxf>
      <x:fill>
        <x:patternFill>
          <x:bgColor rgb="FFF4CCCC"/>
        </x:patternFill>
      </x:fill>
      <x:border/>
    </x:dxf>
    <x:dxf>
      <x:fill>
        <x:patternFill>
          <x:bgColor rgb="FFFCE4D6"/>
        </x:patternFill>
      </x:fill>
      <x:border/>
    </x:dxf>
    <x:dxf>
      <x:font>
        <x:color rgb="FFA51919"/>
      </x:font>
      <x:fill>
        <x:patternFill>
          <x:bgColor rgb="FFF9E5E5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b3ac8641794e48" /><Relationship Type="http://schemas.openxmlformats.org/officeDocument/2006/relationships/theme" Target="/xl/theme/theme1.xml" Id="R262a7647cf7e4f1d" /><Relationship Type="http://schemas.openxmlformats.org/officeDocument/2006/relationships/sharedStrings" Target="/xl/sharedStrings.xml" Id="R7c018de9dd324329" /><Relationship Type="http://schemas.openxmlformats.org/officeDocument/2006/relationships/worksheet" Target="/xl/worksheets/sheet1.xml" Id="Raea7cfe6664c47ac" /><Relationship Type="http://schemas.openxmlformats.org/officeDocument/2006/relationships/worksheet" Target="/xl/worksheets/sheet2.xml" Id="R9d71073cc6444eee" /><Relationship Type="http://schemas.openxmlformats.org/officeDocument/2006/relationships/worksheet" Target="/xl/worksheets/sheet3.xml" Id="R4ee796974d42454a" /><Relationship Type="http://schemas.openxmlformats.org/officeDocument/2006/relationships/worksheet" Target="/xl/worksheets/sheet4.xml" Id="Re226c10b7f944fbc" /><Relationship Type="http://schemas.openxmlformats.org/officeDocument/2006/relationships/worksheet" Target="/xl/worksheets/sheet5.xml" Id="R3e9d86eeab8c44b6" /><Relationship Type="http://schemas.openxmlformats.org/officeDocument/2006/relationships/worksheet" Target="/xl/worksheets/sheet6.xml" Id="R3f37179f69ed46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81d36215b0840a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428df43f0b044f33" /><Relationship Type="http://schemas.openxmlformats.org/officeDocument/2006/relationships/chart" Target="/xl/drawings/charts/chart3.xml" Id="R013f1751a18d4b48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e7daade58bf34493" /><Relationship Type="http://schemas.openxmlformats.org/officeDocument/2006/relationships/chart" Target="/xl/drawings/charts/chart5.xml" Id="R8429d14b687f4095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d83f5326e26a4afd" /><Relationship Type="http://schemas.openxmlformats.org/officeDocument/2006/relationships/chart" Target="/xl/drawings/charts/chart7.xml" Id="Rc1afc56d3f854fef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b="1" i="0">
                <a:solidFill>
                  <a:srgbClr val="757575"/>
                </a:solidFill>
                <a:latin typeface="+mn-lt"/>
                <a:ea typeface="+mn-lt"/>
                <a:cs typeface="+mn-lt"/>
              </a:rPr>
              <a:t>Distribución de la cartera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1" i="0">
              <a:solidFill>
                <a:srgbClr val="757575"/>
              </a:solidFill>
              <a:latin typeface="+mn-lt"/>
              <a:ea typeface="+mn-lt"/>
              <a:cs typeface="+mn-lt"/>
            </a:defRPr>
          </a:pPr>
        </a:p>
      </c:txPr>
    </c:title>
    <c:plotArea>
      <c:pieChart>
        <c:ser>
          <c:idx val="0"/>
          <c:order val="0"/>
          <c:tx>
            <c:strRef>
              <c:f>Cartera!$C$1</c:f>
              <c:strCache>
                <c:ptCount val="1"/>
                <c:pt idx="0">
                  <c:v/>
                </c:pt>
              </c:strCache>
            </c:strRef>
          </c:tx>
          <c:dPt>
            <c:idx val="0"/>
            <c:spPr>
              <a:solidFill xmlns:a="http://schemas.openxmlformats.org/drawingml/2006/main">
                <a:srgbClr val="4285F4"/>
              </a:solidFill>
            </c:spPr>
          </c:dPt>
          <c:dPt>
            <c:idx val="1"/>
            <c:spPr>
              <a:solidFill xmlns:a="http://schemas.openxmlformats.org/drawingml/2006/main">
                <a:srgbClr val="EA4335"/>
              </a:solidFill>
            </c:spPr>
          </c:dPt>
          <c:dPt>
            <c:idx val="2"/>
            <c:spPr>
              <a:solidFill xmlns:a="http://schemas.openxmlformats.org/drawingml/2006/main">
                <a:srgbClr val="FBBC04"/>
              </a:solidFill>
            </c:spPr>
          </c:dPt>
          <c:dPt>
            <c:idx val="3"/>
            <c:spPr>
              <a:solidFill xmlns:a="http://schemas.openxmlformats.org/drawingml/2006/main">
                <a:srgbClr val="34A853"/>
              </a:solidFill>
            </c:spPr>
          </c:dPt>
          <c:dPt>
            <c:idx val="4"/>
            <c:spPr>
              <a:solidFill xmlns:a="http://schemas.openxmlformats.org/drawingml/2006/main">
                <a:srgbClr val="FF6D01"/>
              </a:solidFill>
            </c:spPr>
          </c:dPt>
          <c:dPt>
            <c:idx val="5"/>
            <c:spPr>
              <a:solidFill xmlns:a="http://schemas.openxmlformats.org/drawingml/2006/main">
                <a:srgbClr val="46BDC6"/>
              </a:solidFill>
            </c:spPr>
          </c:dPt>
          <c:dPt>
            <c:idx val="6"/>
            <c:spPr>
              <a:solidFill xmlns:a="http://schemas.openxmlformats.org/drawingml/2006/main">
                <a:srgbClr val="7BAAF7"/>
              </a:solidFill>
            </c:spPr>
          </c:dPt>
          <c:dPt>
            <c:idx val="7"/>
            <c:spPr>
              <a:solidFill xmlns:a="http://schemas.openxmlformats.org/drawingml/2006/main">
                <a:srgbClr val="F07B72"/>
              </a:solidFill>
            </c:spPr>
          </c:dPt>
          <c:dPt>
            <c:idx val="8"/>
            <c:spPr>
              <a:solidFill xmlns:a="http://schemas.openxmlformats.org/drawingml/2006/main">
                <a:srgbClr val="FCD04F"/>
              </a:solidFill>
            </c:spPr>
          </c:dPt>
          <c:dPt>
            <c:idx val="9"/>
            <c:spPr>
              <a:solidFill xmlns:a="http://schemas.openxmlformats.org/drawingml/2006/main">
                <a:srgbClr val="71C287"/>
              </a:solidFill>
            </c:spPr>
          </c:dPt>
          <c:dPt>
            <c:idx val="10"/>
            <c:spPr>
              <a:solidFill xmlns:a="http://schemas.openxmlformats.org/drawingml/2006/main">
                <a:srgbClr val="FF994D"/>
              </a:solidFill>
            </c:spPr>
          </c:dPt>
          <c:dPt>
            <c:idx val="11"/>
            <c:spPr>
              <a:solidFill xmlns:a="http://schemas.openxmlformats.org/drawingml/2006/main">
                <a:srgbClr val="7ED1D7"/>
              </a:solidFill>
            </c:spPr>
          </c:dPt>
          <c:dPt>
            <c:idx val="12"/>
            <c:spPr>
              <a:solidFill xmlns:a="http://schemas.openxmlformats.org/drawingml/2006/main">
                <a:srgbClr val="B3CEFB"/>
              </a:solidFill>
            </c:spPr>
          </c:dPt>
          <c:dPt>
            <c:idx val="13"/>
            <c:spPr>
              <a:solidFill xmlns:a="http://schemas.openxmlformats.org/drawingml/2006/main">
                <a:srgbClr val="E6B9B8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Lit>
              <c:ptCount val="0"/>
            </c:strLit>
          </c:cat>
          <c:val>
            <c:numRef>
              <c:f>Cartera!$C$2:$C$16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0" i="0">
              <a:solidFill>
                <a:srgbClr val="1A1A1A"/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b="0">
                <a:solidFill>
                  <a:srgbClr val="757575"/>
                </a:solidFill>
                <a:latin typeface="+mn-lt"/>
                <a:ea typeface="+mn-lt"/>
                <a:cs typeface="+mn-lt"/>
              </a:rPr>
              <a:t>Evolución 2025: valor total, capital invertido y plusvalías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0">
              <a:solidFill>
                <a:srgbClr val="757575"/>
              </a:solidFill>
              <a:latin typeface="+mn-lt"/>
              <a:ea typeface="+mn-lt"/>
              <a:cs typeface="+mn-lt"/>
            </a:defRPr>
          </a:pPr>
        </a:p>
      </c:txPr>
    </c:title>
    <c:plotArea>
      <c:lineChart>
        <c:grouping val="standard"/>
        <c:ser>
          <c:idx val="0"/>
          <c:order val="0"/>
          <c:tx>
            <c:strRef>
              <c:f>Evolucion!$U$2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 cmpd="sng">
              <a:solidFill>
                <a:srgbClr val="4F81BD"/>
              </a:solidFill>
            </a:ln>
          </c:spPr>
          <c:marker>
            <c:symbol val="none"/>
          </c:marker>
          <c:cat>
            <c:strLit>
              <c:ptCount val="0"/>
            </c:strLit>
          </c:cat>
          <c:val>
            <c:numRef>
              <c:f>Evolucion!$U$3:$U$13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strRef>
              <c:f>Evolucion!$V$2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 cmpd="sng">
              <a:solidFill>
                <a:srgbClr val="C0504D"/>
              </a:solidFill>
            </a:ln>
          </c:spPr>
          <c:marker>
            <c:symbol val="none"/>
          </c:marker>
          <c:cat>
            <c:strLit>
              <c:ptCount val="0"/>
            </c:strLit>
          </c:cat>
          <c:val>
            <c:numRef>
              <c:f>Evolucion!$V$3:$V$13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strRef>
              <c:f>Evolucion!$W$2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 cmpd="sng">
              <a:solidFill>
                <a:srgbClr val="9BBB59"/>
              </a:solidFill>
            </a:ln>
          </c:spPr>
          <c:marker>
            <c:symbol val="none"/>
          </c:marker>
          <c:cat>
            <c:strLit>
              <c:ptCount val="0"/>
            </c:strLit>
          </c:cat>
          <c:val>
            <c:numRef>
              <c:f>Evolucion!$W$3:$W$13</c:f>
              <c:numCache>
                <c:formatCode>General</c:formatCode>
                <c:ptCount val="0"/>
              </c:numCache>
            </c:numRef>
          </c:val>
          <c:smooth val="0"/>
        </c:ser>
        <c:axId val="305741045"/>
        <c:axId val="1425350641"/>
      </c:lineChart>
      <c:catAx>
        <c:axId val="305741045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b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rPr>
                  <a:t>Mes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</a:p>
        </c:txPr>
        <c:crossAx val="1425350641"/>
      </c:catAx>
      <c:valAx>
        <c:axId val="1425350641"/>
        <c:scaling>
          <c:orientation val="minMax"/>
        </c:scaling>
        <c:delete val="0"/>
        <c:axPos val="l"/>
        <c:majorGridlines>
          <c:spPr>
            <a:ln xmlns:a="http://schemas.openxmlformats.org/drawingml/2006/main">
              <a:solidFill>
                <a:srgbClr val="B7B7B7"/>
              </a:solidFill>
            </a:ln>
          </c:spPr>
        </c:majorGridlines>
        <c:minorGridlines>
          <c:spPr>
            <a:ln xmlns:a="http://schemas.openxmlformats.org/drawingml/2006/main">
              <a:solidFill>
                <a:srgbClr val="CCCCCC">
                  <a:alpha val="0"/>
                </a:srgbClr>
              </a:solidFill>
            </a:ln>
          </c:spPr>
        </c:minorGridlines>
        <c:title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</a:p>
        </c:txPr>
        <c:crossAx val="305741045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0">
              <a:solidFill>
                <a:srgbClr val="1A1A1A"/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b="0">
                <a:solidFill>
                  <a:srgbClr val="757575"/>
                </a:solidFill>
                <a:latin typeface="+mn-lt"/>
                <a:ea typeface="+mn-lt"/>
                <a:cs typeface="+mn-lt"/>
              </a:rPr>
              <a:t>Evolución 2026: valor total, capital invertido y plusvalías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0">
              <a:solidFill>
                <a:srgbClr val="757575"/>
              </a:solidFill>
              <a:latin typeface="+mn-lt"/>
              <a:ea typeface="+mn-lt"/>
              <a:cs typeface="+mn-lt"/>
            </a:defRPr>
          </a:pPr>
        </a:p>
      </c:txPr>
    </c:title>
    <c:plotArea>
      <c:lineChart>
        <c:grouping val="standard"/>
        <c:ser>
          <c:idx val="0"/>
          <c:order val="0"/>
          <c:tx>
            <c:strRef>
              <c:f>Evolucion!$U$17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 cmpd="sng">
              <a:solidFill>
                <a:srgbClr val="4F81BD"/>
              </a:solidFill>
            </a:ln>
          </c:spPr>
          <c:marker>
            <c:symbol val="none"/>
          </c:marker>
          <c:cat>
            <c:strLit>
              <c:ptCount val="0"/>
            </c:strLit>
          </c:cat>
          <c:val>
            <c:numRef>
              <c:f>Evolucion!$U$18:$U$29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strRef>
              <c:f>Evolucion!$V$17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 cmpd="sng">
              <a:solidFill>
                <a:srgbClr val="C0504D"/>
              </a:solidFill>
            </a:ln>
          </c:spPr>
          <c:marker>
            <c:symbol val="none"/>
          </c:marker>
          <c:cat>
            <c:strLit>
              <c:ptCount val="0"/>
            </c:strLit>
          </c:cat>
          <c:val>
            <c:numRef>
              <c:f>Evolucion!$V$18:$V$29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strRef>
              <c:f>Evolucion!$W$17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 cmpd="sng">
              <a:solidFill>
                <a:srgbClr val="9BBB59"/>
              </a:solidFill>
            </a:ln>
          </c:spPr>
          <c:marker>
            <c:symbol val="none"/>
          </c:marker>
          <c:cat>
            <c:strLit>
              <c:ptCount val="0"/>
            </c:strLit>
          </c:cat>
          <c:val>
            <c:numRef>
              <c:f>Evolucion!$W$18:$W$29</c:f>
              <c:numCache>
                <c:formatCode>General</c:formatCode>
                <c:ptCount val="0"/>
              </c:numCache>
            </c:numRef>
          </c:val>
          <c:smooth val="0"/>
        </c:ser>
        <c:axId val="104718534"/>
        <c:axId val="1591955653"/>
      </c:lineChart>
      <c:catAx>
        <c:axId val="104718534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b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rPr>
                  <a:t>Mes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</a:p>
        </c:txPr>
        <c:crossAx val="1591955653"/>
      </c:catAx>
      <c:valAx>
        <c:axId val="1591955653"/>
        <c:scaling>
          <c:orientation val="minMax"/>
        </c:scaling>
        <c:delete val="0"/>
        <c:axPos val="l"/>
        <c:majorGridlines>
          <c:spPr>
            <a:ln xmlns:a="http://schemas.openxmlformats.org/drawingml/2006/main">
              <a:solidFill>
                <a:srgbClr val="B7B7B7"/>
              </a:solidFill>
            </a:ln>
          </c:spPr>
        </c:majorGridlines>
        <c:minorGridlines>
          <c:spPr>
            <a:ln xmlns:a="http://schemas.openxmlformats.org/drawingml/2006/main">
              <a:solidFill>
                <a:srgbClr val="CCCCCC">
                  <a:alpha val="0"/>
                </a:srgbClr>
              </a:solidFill>
            </a:ln>
          </c:spPr>
        </c:minorGridlines>
        <c:title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</a:p>
        </c:txPr>
        <c:crossAx val="104718534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0">
              <a:solidFill>
                <a:srgbClr val="1A1A1A"/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b="1" i="0">
                <a:solidFill>
                  <a:srgbClr val="757575"/>
                </a:solidFill>
                <a:latin typeface="+mn-lt"/>
                <a:ea typeface="+mn-lt"/>
                <a:cs typeface="+mn-lt"/>
              </a:rPr>
              <a:t>Rentabilidad mensual: cartera vs MSCI World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1" i="0">
              <a:solidFill>
                <a:srgbClr val="757575"/>
              </a:solidFill>
              <a:latin typeface="+mn-lt"/>
              <a:ea typeface="+mn-lt"/>
              <a:cs typeface="+mn-lt"/>
            </a:defRPr>
          </a:pPr>
        </a:p>
      </c:txPr>
    </c:title>
    <c:plotArea>
      <c:lineChart>
        <c:grouping val="standard"/>
        <c:ser>
          <c:idx val="0"/>
          <c:order val="0"/>
          <c:tx>
            <c:strRef>
              <c:f>Comparativa!$D$1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 cmpd="sng">
              <a:solidFill>
                <a:srgbClr val="4285F4"/>
              </a:solidFill>
            </a:ln>
          </c:spPr>
          <c:marker>
            <c:symbol val="none"/>
          </c:marker>
          <c:cat>
            <c:strLit>
              <c:ptCount val="0"/>
            </c:strLit>
          </c:cat>
          <c:val>
            <c:numRef>
              <c:f>Comparativa!$D$2:$D$24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strRef>
              <c:f>Comparativa!$E$1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 cmpd="sng">
              <a:solidFill>
                <a:srgbClr val="EA4335"/>
              </a:solidFill>
            </a:ln>
          </c:spPr>
          <c:marker>
            <c:symbol val="none"/>
          </c:marker>
          <c:cat>
            <c:strLit>
              <c:ptCount val="0"/>
            </c:strLit>
          </c:cat>
          <c:val>
            <c:numRef>
              <c:f>Comparativa!$E$2:$E$24</c:f>
              <c:numCache>
                <c:formatCode>General</c:formatCode>
                <c:ptCount val="0"/>
              </c:numCache>
            </c:numRef>
          </c:val>
          <c:smooth val="0"/>
        </c:ser>
        <c:axId val="24005"/>
        <c:axId val="1987443130"/>
      </c:lineChart>
      <c:catAx>
        <c:axId val="24005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b="1" i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rPr>
                  <a:t>Periodo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1" i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</a:p>
        </c:txPr>
        <c:crossAx val="1987443130"/>
      </c:catAx>
      <c:valAx>
        <c:axId val="1987443130"/>
        <c:scaling>
          <c:orientation val="minMax"/>
        </c:scaling>
        <c:delete val="0"/>
        <c:axPos val="l"/>
        <c:majorGridlines>
          <c:spPr>
            <a:ln xmlns:a="http://schemas.openxmlformats.org/drawingml/2006/main">
              <a:solidFill>
                <a:srgbClr val="B7B7B7"/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b="1" i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rPr>
                  <a:t>Rentabilidad (%)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1" i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</a:p>
        </c:txPr>
        <c:crossAx val="24005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0" i="0">
              <a:solidFill>
                <a:srgbClr val="1A1A1A"/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b="1" i="0">
                <a:solidFill>
                  <a:srgbClr val="757575"/>
                </a:solidFill>
                <a:latin typeface="+mn-lt"/>
                <a:ea typeface="+mn-lt"/>
                <a:cs typeface="+mn-lt"/>
              </a:rPr>
              <a:t>Rentabilidad acumulada: cartera vs MSCI World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1" i="0">
              <a:solidFill>
                <a:srgbClr val="757575"/>
              </a:solidFill>
              <a:latin typeface="+mn-lt"/>
              <a:ea typeface="+mn-lt"/>
              <a:cs typeface="+mn-lt"/>
            </a:defRPr>
          </a:pPr>
        </a:p>
      </c:txPr>
    </c:title>
    <c:plotArea>
      <c:lineChart>
        <c:grouping val="standard"/>
        <c:ser>
          <c:idx val="0"/>
          <c:order val="0"/>
          <c:tx>
            <c:strRef>
              <c:f>Comparativa!$F$1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 cmpd="sng">
              <a:solidFill>
                <a:srgbClr val="4285F4"/>
              </a:solidFill>
            </a:ln>
          </c:spPr>
          <c:marker>
            <c:symbol val="none"/>
          </c:marker>
          <c:cat>
            <c:strLit>
              <c:ptCount val="0"/>
            </c:strLit>
          </c:cat>
          <c:val>
            <c:numRef>
              <c:f>Comparativa!$F$2:$F$24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strRef>
              <c:f>Comparativa!$G$1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 cmpd="sng">
              <a:solidFill>
                <a:srgbClr val="EA4335"/>
              </a:solidFill>
            </a:ln>
          </c:spPr>
          <c:marker>
            <c:symbol val="none"/>
          </c:marker>
          <c:cat>
            <c:strLit>
              <c:ptCount val="0"/>
            </c:strLit>
          </c:cat>
          <c:val>
            <c:numRef>
              <c:f>Comparativa!$G$2:$G$24</c:f>
              <c:numCache>
                <c:formatCode>General</c:formatCode>
                <c:ptCount val="0"/>
              </c:numCache>
            </c:numRef>
          </c:val>
          <c:smooth val="0"/>
        </c:ser>
        <c:axId val="1916981342"/>
        <c:axId val="1764350014"/>
      </c:lineChart>
      <c:catAx>
        <c:axId val="1916981342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b="1" i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rPr>
                  <a:t>Periodo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1" i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</a:p>
        </c:txPr>
        <c:crossAx val="1764350014"/>
      </c:catAx>
      <c:valAx>
        <c:axId val="1764350014"/>
        <c:scaling>
          <c:orientation val="minMax"/>
        </c:scaling>
        <c:delete val="0"/>
        <c:axPos val="l"/>
        <c:majorGridlines>
          <c:spPr>
            <a:ln xmlns:a="http://schemas.openxmlformats.org/drawingml/2006/main">
              <a:solidFill>
                <a:srgbClr val="B7B7B7"/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b="1" i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rPr>
                  <a:t>Rentabilidad (%)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1" i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 i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</a:p>
        </c:txPr>
        <c:crossAx val="191698134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0" i="0">
              <a:solidFill>
                <a:srgbClr val="1A1A1A"/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</c:chartSpace>
</file>

<file path=xl/drawings/charts/chart6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b="0">
                <a:solidFill>
                  <a:srgbClr val="757575"/>
                </a:solidFill>
                <a:latin typeface="+mn-lt"/>
                <a:ea typeface="+mn-lt"/>
                <a:cs typeface="+mn-lt"/>
              </a:rPr>
              <a:t>Crecimiento acumulado · Cartera vs MSCI World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0">
              <a:solidFill>
                <a:srgbClr val="757575"/>
              </a:solidFill>
              <a:latin typeface="+mn-lt"/>
              <a:ea typeface="+mn-lt"/>
              <a:cs typeface="+mn-lt"/>
            </a:defRPr>
          </a:pPr>
        </a:p>
      </c:txPr>
    </c:title>
    <c:plotArea>
      <c:lineChart>
        <c:grouping val="standard"/>
        <c:ser>
          <c:idx val="0"/>
          <c:order val="0"/>
          <c:tx>
            <c:strRef>
              <c:f>'Estadísticas avanzadas'!$M$35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 cmpd="sng">
              <a:solidFill>
                <a:srgbClr val="0A549E"/>
              </a:solidFill>
            </a:ln>
          </c:spPr>
          <c:marker>
            <c:symbol val="none"/>
          </c:marker>
          <c:cat>
            <c:strLit>
              <c:ptCount val="0"/>
            </c:strLit>
          </c:cat>
          <c:val>
            <c:numRef>
              <c:f>'Estadísticas avanzadas'!$M$36:$M$58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strRef>
              <c:f>'Estadísticas avanzadas'!$N$35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 cmpd="sng">
              <a:solidFill>
                <a:srgbClr val="728CA5"/>
              </a:solidFill>
            </a:ln>
          </c:spPr>
          <c:marker>
            <c:symbol val="none"/>
          </c:marker>
          <c:cat>
            <c:strLit>
              <c:ptCount val="0"/>
            </c:strLit>
          </c:cat>
          <c:val>
            <c:numRef>
              <c:f>'Estadísticas avanzadas'!$N$36:$N$58</c:f>
              <c:numCache>
                <c:formatCode>General</c:formatCode>
                <c:ptCount val="0"/>
              </c:numCache>
            </c:numRef>
          </c:val>
          <c:smooth val="0"/>
        </c:ser>
        <c:axId val="1021670150"/>
        <c:axId val="452623833"/>
      </c:lineChart>
      <c:catAx>
        <c:axId val="1021670150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b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rPr>
                  <a:t>Periodo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</a:p>
        </c:txPr>
        <c:crossAx val="452623833"/>
      </c:catAx>
      <c:valAx>
        <c:axId val="452623833"/>
        <c:scaling>
          <c:orientation val="minMax"/>
        </c:scaling>
        <c:delete val="0"/>
        <c:axPos val="l"/>
        <c:majorGridlines>
          <c:spPr>
            <a:ln xmlns:a="http://schemas.openxmlformats.org/drawingml/2006/main">
              <a:solidFill>
                <a:srgbClr val="B7B7B7"/>
              </a:solidFill>
            </a:ln>
          </c:spPr>
        </c:majorGridlines>
        <c:minorGridlines>
          <c:spPr>
            <a:ln xmlns:a="http://schemas.openxmlformats.org/drawingml/2006/main"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b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rPr>
                  <a:t>Valor acumulado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</a:p>
        </c:txPr>
        <c:crossAx val="1021670150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0">
              <a:solidFill>
                <a:srgbClr val="1A1A1A"/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</c:chartSpace>
</file>

<file path=xl/drawings/charts/chart7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b="0">
                <a:solidFill>
                  <a:srgbClr val="757575"/>
                </a:solidFill>
                <a:latin typeface="+mn-lt"/>
                <a:ea typeface="+mn-lt"/>
                <a:cs typeface="+mn-lt"/>
              </a:rPr>
              <a:t>Rentabilidad activa mensual vs MSCI World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0">
              <a:solidFill>
                <a:srgbClr val="757575"/>
              </a:solidFill>
              <a:latin typeface="+mn-lt"/>
              <a:ea typeface="+mn-lt"/>
              <a:cs typeface="+mn-lt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strRef>
              <c:f>'Estadísticas avanzadas'!$Q$35</c:f>
              <c:strCache>
                <c:ptCount val="1"/>
                <c:pt idx="0">
                  <c:v/>
                </c:pt>
              </c:strCache>
            </c:strRef>
          </c:tx>
          <c:spPr>
            <a:solidFill xmlns:a="http://schemas.openxmlformats.org/drawingml/2006/main">
              <a:srgbClr val="19846B"/>
            </a:solidFill>
            <a:ln xmlns:a="http://schemas.openxmlformats.org/drawingml/2006/main" cmpd="sng">
              <a:noFill/>
            </a:ln>
          </c:spPr>
          <c:cat>
            <c:strLit>
              <c:ptCount val="0"/>
            </c:strLit>
          </c:cat>
          <c:val>
            <c:numRef>
              <c:f>'Estadísticas avanzadas'!$Q$36:$Q$58</c:f>
              <c:numCache>
                <c:formatCode>General</c:formatCode>
                <c:ptCount val="0"/>
              </c:numCache>
            </c:numRef>
          </c:val>
        </c:ser>
        <c:axId val="2093259620"/>
        <c:axId val="1497775101"/>
      </c:barChart>
      <c:catAx>
        <c:axId val="2093259620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b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rPr>
                  <a:t>Periodo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</a:p>
        </c:txPr>
        <c:crossAx val="1497775101"/>
      </c:catAx>
      <c:valAx>
        <c:axId val="1497775101"/>
        <c:scaling>
          <c:orientation val="minMax"/>
        </c:scaling>
        <c:delete val="0"/>
        <c:axPos val="l"/>
        <c:majorGridlines>
          <c:spPr>
            <a:ln xmlns:a="http://schemas.openxmlformats.org/drawingml/2006/main">
              <a:solidFill>
                <a:srgbClr val="B7B7B7"/>
              </a:solidFill>
            </a:ln>
          </c:spPr>
        </c:majorGridlines>
        <c:minorGridlines>
          <c:spPr>
            <a:ln xmlns:a="http://schemas.openxmlformats.org/drawingml/2006/main"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b="0">
                    <a:solidFill>
                      <a:srgbClr val="000000"/>
                    </a:solidFill>
                    <a:latin typeface="+mn-lt"/>
                    <a:ea typeface="+mn-lt"/>
                    <a:cs typeface="+mn-lt"/>
                  </a:rPr>
                  <a:t>Diferencia (%)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</a:p>
        </c:txPr>
        <c:crossAx val="2093259620"/>
        <c:crossBetween val="between"/>
      </c:valAx>
    </c:plotArea>
    <c:plotVisOnly val="1"/>
  </c:chart>
</c:chartSpace>
</file>

<file path=xl/drawings/drawing1.xml><?xml version="1.0" encoding="utf-8"?>
<xdr:wsDr xmlns:xdr="http://schemas.openxmlformats.org/drawingml/2006/spreadsheetDrawing">
  <xdr:oneCellAnchor>
    <xdr:from>
      <xdr:col>4</xdr:col>
      <xdr:colOff>0</xdr:colOff>
      <xdr:row>1</xdr:row>
      <xdr:rowOff>0</xdr:rowOff>
    </xdr:from>
    <xdr:ext cx="7248525" cy="4448175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1d36215b0840a3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7</xdr:col>
      <xdr:colOff>0</xdr:colOff>
      <xdr:row>2</xdr:row>
      <xdr:rowOff>104775</xdr:rowOff>
    </xdr:from>
    <xdr:ext cx="4762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8df43f0b044f33"/>
        </a:graphicData>
      </a:graphic>
    </xdr:graphicFrame>
    <xdr:clientData/>
  </xdr:oneCellAnchor>
  <xdr:oneCellAnchor>
    <xdr:from>
      <xdr:col>7</xdr:col>
      <xdr:colOff>57150</xdr:colOff>
      <xdr:row>18</xdr:row>
      <xdr:rowOff>104775</xdr:rowOff>
    </xdr:from>
    <xdr:ext cx="4762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3f1751a18d4b48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8</xdr:col>
      <xdr:colOff>0</xdr:colOff>
      <xdr:row>1</xdr:row>
      <xdr:rowOff>0</xdr:rowOff>
    </xdr:from>
    <xdr:ext cx="5905500" cy="2657475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daade58bf34493"/>
        </a:graphicData>
      </a:graphic>
    </xdr:graphicFrame>
    <xdr:clientData/>
  </xdr:oneCellAnchor>
  <xdr:oneCellAnchor>
    <xdr:from>
      <xdr:col>8</xdr:col>
      <xdr:colOff>0</xdr:colOff>
      <xdr:row>14</xdr:row>
      <xdr:rowOff>228600</xdr:rowOff>
    </xdr:from>
    <xdr:ext cx="5905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29d14b687f4095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18</xdr:row>
      <xdr:rowOff>0</xdr:rowOff>
    </xdr:from>
    <xdr:ext cx="57150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3f5326e26a4afd"/>
        </a:graphicData>
      </a:graphic>
    </xdr:graphicFrame>
    <xdr:clientData/>
  </xdr:oneCellAnchor>
  <xdr:oneCellAnchor>
    <xdr:from>
      <xdr:col>8</xdr:col>
      <xdr:colOff>0</xdr:colOff>
      <xdr:row>16</xdr:row>
      <xdr:rowOff>0</xdr:rowOff>
    </xdr:from>
    <xdr:ext cx="57150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afc56d3f854fef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Table_1" displayName="Table_1" ref="A1:C16">
  <x:tableColumns count="3">
    <x:tableColumn id="1" name="Activo"/>
    <x:tableColumn id="2" name="Importe (€)"/>
    <x:tableColumn id="3" name="Peso %"/>
  </x:tableColumns>
  <x:tableStyleInfo name="Cartera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59754ce7934a05" /><Relationship Type="http://schemas.openxmlformats.org/officeDocument/2006/relationships/table" Target="/xl/tables/table1.xml" Id="R244b82f862b0475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99ff816dfd8d43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6109bebf4da144d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17931d723ec74f2d" /><Relationship Type="http://schemas.openxmlformats.org/officeDocument/2006/relationships/vmlDrawing" Target="/xl/drawings/vmldrawing.vml" Id="R39236ded5cab4c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4.xml" Id="Rd262ac32bf514aa7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ColWidth="12.630000114440918" defaultRowHeight="15"/>
  <x:cols>
    <x:col min="1" max="1" width="33.880001068115234" customWidth="1"/>
    <x:col min="2" max="3" width="14.5" customWidth="1"/>
    <x:col min="4" max="4" width="3.130000114440918" customWidth="1"/>
    <x:col min="5" max="6" width="18" customWidth="1"/>
  </x:cols>
  <x:sheetData>
    <x:row r="1" ht="22.5" customHeight="1">
      <x:c r="A1" s="80" t="s">
        <x:v>0</x:v>
      </x:c>
      <x:c r="B1" s="80" t="s">
        <x:v>1</x:v>
      </x:c>
      <x:c r="C1" s="80" t="s">
        <x:v>2</x:v>
      </x:c>
      <x:c r="D1" s="26"/>
      <x:c r="E1" s="26"/>
      <x:c r="F1" s="26"/>
    </x:row>
    <x:row r="2" ht="18" customHeight="1">
      <x:c r="A2" s="82" t="str">
        <x:v>Demo World Equity</x:v>
      </x:c>
      <x:c r="B2" s="83" t="n">
        <x:v>8200</x:v>
      </x:c>
      <x:c r="C2" s="86" t="n">
        <x:f t="shared" ref="C2:C15" si="1">B2/$B$16</x:f>
        <x:v>0.21298701298701297</x:v>
      </x:c>
      <x:c r="D2" s="26"/>
      <x:c r="E2" s="26"/>
      <x:c r="F2" s="26"/>
    </x:row>
    <x:row r="3" ht="18" customHeight="1">
      <x:c r="A3" s="88" t="str">
        <x:v>Demo Emerging Markets</x:v>
      </x:c>
      <x:c r="B3" s="83" t="n">
        <x:v>3600</x:v>
      </x:c>
      <x:c r="C3" s="89" t="n">
        <x:f t="shared" si="1"/>
        <x:v>0.0935064935</x:v>
      </x:c>
      <x:c r="D3" s="26"/>
      <x:c r="E3" s="26"/>
      <x:c r="F3" s="26"/>
    </x:row>
    <x:row r="4" ht="18" customHeight="1">
      <x:c r="A4" s="91" t="str">
        <x:v>Demo Asia Equity</x:v>
      </x:c>
      <x:c r="B4" s="83" t="n">
        <x:v>1800</x:v>
      </x:c>
      <x:c r="C4" s="86" t="n">
        <x:f t="shared" si="1"/>
        <x:v>0.0467532468</x:v>
      </x:c>
      <x:c r="D4" s="26"/>
      <x:c r="E4" s="26"/>
      <x:c r="F4" s="26"/>
    </x:row>
    <x:row r="5" ht="18" customHeight="1">
      <x:c r="A5" s="88" t="str">
        <x:v>Demo Quality Factor</x:v>
      </x:c>
      <x:c r="B5" s="83" t="n">
        <x:v>3200</x:v>
      </x:c>
      <x:c r="C5" s="89" t="n">
        <x:f t="shared" si="1"/>
        <x:v>0.0831168831</x:v>
      </x:c>
      <x:c r="D5" s="26"/>
      <x:c r="E5" s="26"/>
      <x:c r="F5" s="26"/>
    </x:row>
    <x:row r="6" ht="18" customHeight="1">
      <x:c r="A6" s="91" t="str">
        <x:v>Demo Global Value</x:v>
      </x:c>
      <x:c r="B6" s="83" t="n">
        <x:v>2800</x:v>
      </x:c>
      <x:c r="C6" s="86" t="n">
        <x:f t="shared" si="1"/>
        <x:v>0.0727272727</x:v>
      </x:c>
      <x:c r="D6" s="26"/>
      <x:c r="E6" s="26"/>
      <x:c r="F6" s="26"/>
    </x:row>
    <x:row r="7" ht="18" customHeight="1">
      <x:c r="A7" s="88" t="str">
        <x:v>Demo Small Cap</x:v>
      </x:c>
      <x:c r="B7" s="83" t="n">
        <x:v>1200</x:v>
      </x:c>
      <x:c r="C7" s="89" t="n">
        <x:f t="shared" si="1"/>
        <x:v>0.0311688312</x:v>
      </x:c>
      <x:c r="D7" s="26"/>
      <x:c r="E7" s="26"/>
      <x:c r="F7" s="26"/>
    </x:row>
    <x:row r="8" ht="18" customHeight="1">
      <x:c r="A8" s="91" t="str">
        <x:v>Demo Corporate Bonds</x:v>
      </x:c>
      <x:c r="B8" s="83" t="n">
        <x:v>4200</x:v>
      </x:c>
      <x:c r="C8" s="86" t="n">
        <x:f t="shared" si="1"/>
        <x:v>0.1090909091</x:v>
      </x:c>
      <x:c r="D8" s="26"/>
      <x:c r="E8" s="26"/>
      <x:c r="F8" s="26"/>
    </x:row>
    <x:row r="9" ht="18" customHeight="1">
      <x:c r="A9" s="88" t="str">
        <x:v>Demo Global Bonds</x:v>
      </x:c>
      <x:c r="B9" s="83" t="n">
        <x:v>3500</x:v>
      </x:c>
      <x:c r="C9" s="89" t="n">
        <x:f t="shared" si="1"/>
        <x:v>0.0909090909</x:v>
      </x:c>
      <x:c r="D9" s="26"/>
      <x:c r="E9" s="26"/>
      <x:c r="F9" s="26"/>
    </x:row>
    <x:row r="10" ht="18" customHeight="1">
      <x:c r="A10" s="91" t="str">
        <x:v>Demo Short Duration</x:v>
      </x:c>
      <x:c r="B10" s="83" t="n">
        <x:v>1900</x:v>
      </x:c>
      <x:c r="C10" s="86" t="n">
        <x:f t="shared" si="1"/>
        <x:v>0.0493506494</x:v>
      </x:c>
      <x:c r="D10" s="26"/>
      <x:c r="E10" s="26"/>
      <x:c r="F10" s="26"/>
    </x:row>
    <x:row r="11" ht="18" customHeight="1">
      <x:c r="A11" s="88" t="str">
        <x:v>Demo Cash Reserve</x:v>
      </x:c>
      <x:c r="B11" s="83" t="n">
        <x:v>800</x:v>
      </x:c>
      <x:c r="C11" s="89" t="n">
        <x:f t="shared" si="1"/>
        <x:v>0.0207792208</x:v>
      </x:c>
      <x:c r="D11" s="26"/>
      <x:c r="E11" s="26"/>
      <x:c r="F11" s="26"/>
    </x:row>
    <x:row r="12" ht="18" customHeight="1">
      <x:c r="A12" s="91" t="str">
        <x:v>Demo Dividend Equity</x:v>
      </x:c>
      <x:c r="B12" s="83" t="n">
        <x:v>2600</x:v>
      </x:c>
      <x:c r="C12" s="86" t="n">
        <x:f t="shared" si="1"/>
        <x:v>0.0675324675</x:v>
      </x:c>
      <x:c r="D12" s="26"/>
      <x:c r="E12" s="26"/>
      <x:c r="F12" s="26"/>
    </x:row>
    <x:row r="13" ht="18" customHeight="1">
      <x:c r="A13" s="88" t="str">
        <x:v>Demo Euro Equity</x:v>
      </x:c>
      <x:c r="B13" s="83" t="n">
        <x:v>1400</x:v>
      </x:c>
      <x:c r="C13" s="89" t="n">
        <x:f t="shared" si="1"/>
        <x:v>0.0363636364</x:v>
      </x:c>
      <x:c r="D13" s="26"/>
      <x:c r="E13" s="26"/>
      <x:c r="F13" s="26"/>
    </x:row>
    <x:row r="14" ht="18" customHeight="1">
      <x:c r="A14" s="91" t="str">
        <x:v>Demo Alternatives</x:v>
      </x:c>
      <x:c r="B14" s="83" t="n">
        <x:v>1100</x:v>
      </x:c>
      <x:c r="C14" s="86" t="n">
        <x:f t="shared" si="1"/>
        <x:v>0.0285714286</x:v>
      </x:c>
      <x:c r="D14" s="26"/>
      <x:c r="E14" s="26"/>
      <x:c r="F14" s="26"/>
    </x:row>
    <x:row r="15" ht="18" customHeight="1">
      <x:c r="A15" s="97" t="str">
        <x:v>Demo Floating Rate</x:v>
      </x:c>
      <x:c r="B15" s="83" t="n">
        <x:v>2200</x:v>
      </x:c>
      <x:c r="C15" s="89" t="n">
        <x:f t="shared" si="1"/>
        <x:v>0.0571428571</x:v>
      </x:c>
      <x:c r="D15" s="26"/>
      <x:c r="E15" s="26"/>
      <x:c r="F15" s="26"/>
    </x:row>
    <x:row r="16" ht="18" customHeight="1">
      <x:c r="A16" s="98" t="s">
        <x:v>3</x:v>
      </x:c>
      <x:c r="B16" s="99" t="n">
        <x:f>SUM(B2:B15)</x:f>
        <x:v>38500</x:v>
      </x:c>
      <x:c r="C16" s="98"/>
      <x:c r="D16" s="26"/>
      <x:c r="E16" s="26"/>
      <x:c r="F16" s="26"/>
    </x:row>
    <x:row r="17">
      <x:c r="A17" s="26"/>
      <x:c r="B17" s="26"/>
      <x:c r="C17" s="26"/>
      <x:c r="D17" s="26"/>
      <x:c r="E17" s="26"/>
      <x:c r="F17" s="26"/>
    </x:row>
    <x:row r="18">
      <x:c r="A18" s="26"/>
      <x:c r="B18" s="26"/>
      <x:c r="C18" s="26"/>
      <x:c r="D18" s="26"/>
      <x:c r="E18" s="26"/>
      <x:c r="F18" s="26"/>
    </x:row>
    <x:row r="19">
      <x:c r="A19" s="26"/>
      <x:c r="B19" s="26"/>
      <x:c r="C19" s="26"/>
      <x:c r="D19" s="26"/>
      <x:c r="E19" s="26"/>
      <x:c r="F19" s="26"/>
    </x:row>
    <x:row r="20">
      <x:c r="A20" s="26"/>
      <x:c r="B20" s="26"/>
      <x:c r="C20" s="26"/>
      <x:c r="D20" s="26"/>
      <x:c r="E20" s="26"/>
      <x:c r="F20" s="26"/>
    </x:row>
    <x:row r="21" ht="15.75" customHeight="1">
      <x:c r="A21" s="26"/>
      <x:c r="B21" s="26"/>
      <x:c r="C21" s="26"/>
      <x:c r="D21" s="26"/>
      <x:c r="E21" s="26"/>
      <x:c r="F21" s="26"/>
    </x:row>
    <x:row r="22" ht="15.75" customHeight="1">
      <x:c r="A22" s="26"/>
      <x:c r="B22" s="26"/>
      <x:c r="C22" s="26"/>
      <x:c r="D22" s="26"/>
      <x:c r="E22" s="26"/>
      <x:c r="F22" s="26"/>
    </x:row>
    <x:row r="23" ht="15.75" customHeight="1">
      <x:c r="A23" s="26"/>
      <x:c r="B23" s="26"/>
      <x:c r="C23" s="26"/>
      <x:c r="D23" s="26"/>
      <x:c r="E23" s="26"/>
      <x:c r="F23" s="26"/>
    </x:row>
    <x:row r="24" ht="15.75" customHeight="1">
      <x:c r="A24" s="26"/>
      <x:c r="B24" s="26"/>
      <x:c r="C24" s="26"/>
      <x:c r="D24" s="26"/>
      <x:c r="E24" s="26"/>
      <x:c r="F24" s="26"/>
    </x:row>
    <x:row r="25" ht="15.75" customHeight="1">
      <x:c r="A25" s="26"/>
      <x:c r="B25" s="26"/>
      <x:c r="C25" s="26"/>
      <x:c r="D25" s="26"/>
      <x:c r="E25" s="26"/>
      <x:c r="F25" s="26"/>
    </x:row>
    <x:row r="26" ht="15.75" customHeight="1">
      <x:c r="A26" s="26"/>
      <x:c r="B26" s="26"/>
      <x:c r="C26" s="26"/>
      <x:c r="D26" s="26"/>
      <x:c r="E26" s="26"/>
      <x:c r="F26" s="26"/>
    </x:row>
    <x:row r="27" ht="15.75" customHeight="1">
      <x:c r="A27" s="26"/>
      <x:c r="B27" s="26"/>
      <x:c r="C27" s="26"/>
      <x:c r="D27" s="26"/>
      <x:c r="E27" s="26"/>
      <x:c r="F27" s="26"/>
    </x:row>
    <x:row r="28" ht="15.75" customHeight="1">
      <x:c r="A28" s="26"/>
      <x:c r="B28" s="26"/>
      <x:c r="C28" s="26"/>
      <x:c r="D28" s="26"/>
      <x:c r="E28" s="26"/>
      <x:c r="F28" s="26"/>
    </x:row>
    <x:row r="29" ht="15.75" customHeight="1">
      <x:c r="A29" s="26"/>
      <x:c r="B29" s="26"/>
      <x:c r="C29" s="26"/>
      <x:c r="D29" s="26"/>
      <x:c r="E29" s="26"/>
      <x:c r="F29" s="26"/>
    </x:row>
    <x:row r="30" ht="15.75" customHeight="1">
      <x:c r="A30" s="26"/>
      <x:c r="B30" s="26"/>
      <x:c r="C30" s="26"/>
      <x:c r="D30" s="26"/>
      <x:c r="E30" s="26"/>
      <x:c r="F30" s="26"/>
    </x:row>
    <x:row r="31" ht="15.75" customHeight="1">
      <x:c r="A31" s="26"/>
      <x:c r="B31" s="26"/>
      <x:c r="C31" s="26"/>
      <x:c r="D31" s="26"/>
      <x:c r="E31" s="26"/>
      <x:c r="F31" s="26"/>
    </x:row>
    <x:row r="32" ht="15.75" customHeight="1">
      <x:c r="A32" s="26"/>
      <x:c r="B32" s="26"/>
      <x:c r="C32" s="26"/>
      <x:c r="D32" s="26"/>
      <x:c r="E32" s="26"/>
      <x:c r="F32" s="26"/>
    </x:row>
    <x:row r="33" ht="15.75" customHeight="1">
      <x:c r="A33" s="26"/>
      <x:c r="B33" s="26"/>
      <x:c r="C33" s="26"/>
      <x:c r="D33" s="26"/>
      <x:c r="E33" s="26"/>
      <x:c r="F33" s="26"/>
    </x:row>
    <x:row r="34" ht="15.75" customHeight="1">
      <x:c r="A34" s="26"/>
      <x:c r="B34" s="26"/>
      <x:c r="C34" s="26"/>
      <x:c r="D34" s="26"/>
      <x:c r="E34" s="26"/>
      <x:c r="F34" s="26"/>
    </x:row>
    <x:row r="35" ht="15.75" customHeight="1">
      <x:c r="A35" s="26"/>
      <x:c r="B35" s="26"/>
      <x:c r="C35" s="26"/>
      <x:c r="D35" s="26"/>
      <x:c r="E35" s="26"/>
      <x:c r="F35" s="26"/>
    </x:row>
    <x:row r="36" ht="15.75" customHeight="1">
      <x:c r="A36" s="26"/>
      <x:c r="B36" s="26"/>
      <x:c r="C36" s="26"/>
      <x:c r="D36" s="26"/>
      <x:c r="E36" s="26"/>
      <x:c r="F36" s="26"/>
    </x:row>
    <x:row r="37" ht="15.75" customHeight="1">
      <x:c r="A37" s="26"/>
      <x:c r="B37" s="26"/>
      <x:c r="C37" s="26"/>
      <x:c r="D37" s="26"/>
      <x:c r="E37" s="26"/>
      <x:c r="F37" s="26"/>
    </x:row>
    <x:row r="38" ht="15.75" customHeight="1">
      <x:c r="A38" s="26"/>
      <x:c r="B38" s="26"/>
      <x:c r="C38" s="26"/>
      <x:c r="D38" s="26"/>
      <x:c r="E38" s="26"/>
      <x:c r="F38" s="26"/>
    </x:row>
    <x:row r="39" ht="15.75" customHeight="1">
      <x:c r="A39" s="26"/>
      <x:c r="B39" s="26"/>
      <x:c r="C39" s="26"/>
      <x:c r="D39" s="26"/>
      <x:c r="E39" s="26"/>
      <x:c r="F39" s="26"/>
    </x:row>
    <x:row r="40" ht="15.75" customHeight="1">
      <x:c r="A40" s="26"/>
      <x:c r="B40" s="26"/>
      <x:c r="C40" s="26"/>
      <x:c r="D40" s="26"/>
      <x:c r="E40" s="26"/>
      <x:c r="F40" s="26"/>
    </x:row>
    <x:row r="41" ht="15.75" customHeight="1">
      <x:c r="A41" s="26"/>
      <x:c r="B41" s="26"/>
      <x:c r="C41" s="26"/>
      <x:c r="D41" s="26"/>
      <x:c r="E41" s="26"/>
      <x:c r="F41" s="26"/>
    </x:row>
    <x:row r="42" ht="15.75" customHeight="1">
      <x:c r="A42" s="26"/>
      <x:c r="B42" s="26"/>
      <x:c r="C42" s="26"/>
      <x:c r="D42" s="26"/>
      <x:c r="E42" s="26"/>
      <x:c r="F42" s="26"/>
    </x:row>
    <x:row r="43" ht="15.75" customHeight="1">
      <x:c r="A43" s="26"/>
      <x:c r="B43" s="26"/>
      <x:c r="C43" s="26"/>
      <x:c r="D43" s="26"/>
      <x:c r="E43" s="26"/>
      <x:c r="F43" s="26"/>
    </x:row>
    <x:row r="44" ht="15.75" customHeight="1">
      <x:c r="A44" s="26"/>
      <x:c r="B44" s="26"/>
      <x:c r="C44" s="26"/>
      <x:c r="D44" s="26"/>
      <x:c r="E44" s="26"/>
      <x:c r="F44" s="26"/>
    </x:row>
    <x:row r="45" ht="15.75" customHeight="1">
      <x:c r="A45" s="26"/>
      <x:c r="B45" s="26"/>
      <x:c r="C45" s="26"/>
      <x:c r="D45" s="26"/>
      <x:c r="E45" s="26"/>
      <x:c r="F45" s="26"/>
    </x:row>
    <x:row r="46" ht="15.75" customHeight="1">
      <x:c r="A46" s="26"/>
      <x:c r="B46" s="26"/>
      <x:c r="C46" s="26"/>
      <x:c r="D46" s="26"/>
      <x:c r="E46" s="26"/>
      <x:c r="F46" s="26"/>
    </x:row>
    <x:row r="47" ht="15.75" customHeight="1">
      <x:c r="A47" s="26"/>
      <x:c r="B47" s="26"/>
      <x:c r="C47" s="26"/>
      <x:c r="D47" s="26"/>
      <x:c r="E47" s="26"/>
      <x:c r="F47" s="26"/>
    </x:row>
    <x:row r="48" ht="15.75" customHeight="1">
      <x:c r="A48" s="26"/>
      <x:c r="B48" s="26"/>
      <x:c r="C48" s="26"/>
      <x:c r="D48" s="26"/>
      <x:c r="E48" s="26"/>
      <x:c r="F48" s="26"/>
    </x:row>
    <x:row r="49" ht="15.75" customHeight="1">
      <x:c r="A49" s="26"/>
      <x:c r="B49" s="26"/>
      <x:c r="C49" s="26"/>
      <x:c r="D49" s="26"/>
      <x:c r="E49" s="26"/>
      <x:c r="F49" s="26"/>
    </x:row>
    <x:row r="50" ht="15.75" customHeight="1">
      <x:c r="A50" s="26"/>
      <x:c r="B50" s="26"/>
      <x:c r="C50" s="26"/>
      <x:c r="D50" s="26"/>
      <x:c r="E50" s="26"/>
      <x:c r="F50" s="26"/>
    </x:row>
    <x:row r="51" ht="15.75" customHeight="1">
      <x:c r="A51" s="26"/>
      <x:c r="B51" s="26"/>
      <x:c r="C51" s="26"/>
      <x:c r="D51" s="26"/>
      <x:c r="E51" s="26"/>
      <x:c r="F51" s="26"/>
    </x:row>
    <x:row r="52" ht="15.75" customHeight="1">
      <x:c r="A52" s="26"/>
      <x:c r="B52" s="26"/>
      <x:c r="C52" s="26"/>
      <x:c r="D52" s="26"/>
      <x:c r="E52" s="26"/>
      <x:c r="F52" s="26"/>
    </x:row>
    <x:row r="53" ht="15.75" customHeight="1">
      <x:c r="A53" s="26"/>
      <x:c r="B53" s="26"/>
      <x:c r="C53" s="26"/>
      <x:c r="D53" s="26"/>
      <x:c r="E53" s="26"/>
      <x:c r="F53" s="26"/>
    </x:row>
    <x:row r="54" ht="15.75" customHeight="1">
      <x:c r="A54" s="26"/>
      <x:c r="B54" s="26"/>
      <x:c r="C54" s="26"/>
      <x:c r="D54" s="26"/>
      <x:c r="E54" s="26"/>
      <x:c r="F54" s="26"/>
    </x:row>
    <x:row r="55" ht="15.75" customHeight="1">
      <x:c r="A55" s="26"/>
      <x:c r="B55" s="26"/>
      <x:c r="C55" s="26"/>
      <x:c r="D55" s="26"/>
      <x:c r="E55" s="26"/>
      <x:c r="F55" s="26"/>
    </x:row>
    <x:row r="56" ht="15.75" customHeight="1">
      <x:c r="A56" s="26"/>
      <x:c r="B56" s="26"/>
      <x:c r="C56" s="26"/>
      <x:c r="D56" s="26"/>
      <x:c r="E56" s="26"/>
      <x:c r="F56" s="26"/>
    </x:row>
    <x:row r="57" ht="15.75" customHeight="1">
      <x:c r="A57" s="26"/>
      <x:c r="B57" s="26"/>
      <x:c r="C57" s="26"/>
      <x:c r="D57" s="26"/>
      <x:c r="E57" s="26"/>
      <x:c r="F57" s="26"/>
    </x:row>
    <x:row r="58" ht="15.75" customHeight="1">
      <x:c r="A58" s="26"/>
      <x:c r="B58" s="26"/>
      <x:c r="C58" s="26"/>
      <x:c r="D58" s="26"/>
      <x:c r="E58" s="26"/>
      <x:c r="F58" s="26"/>
    </x:row>
    <x:row r="59" ht="15.75" customHeight="1">
      <x:c r="A59" s="26"/>
      <x:c r="B59" s="26"/>
      <x:c r="C59" s="26"/>
      <x:c r="D59" s="26"/>
      <x:c r="E59" s="26"/>
      <x:c r="F59" s="26"/>
    </x:row>
    <x:row r="60" ht="15.75" customHeight="1">
      <x:c r="A60" s="26"/>
      <x:c r="B60" s="26"/>
      <x:c r="C60" s="26"/>
      <x:c r="D60" s="26"/>
      <x:c r="E60" s="26"/>
      <x:c r="F60" s="26"/>
    </x:row>
    <x:row r="61" ht="15.75" customHeight="1">
      <x:c r="A61" s="26"/>
      <x:c r="B61" s="26"/>
      <x:c r="C61" s="26"/>
      <x:c r="D61" s="26"/>
      <x:c r="E61" s="26"/>
      <x:c r="F61" s="26"/>
    </x:row>
    <x:row r="62" ht="15.75" customHeight="1">
      <x:c r="A62" s="26"/>
      <x:c r="B62" s="26"/>
      <x:c r="C62" s="26"/>
      <x:c r="D62" s="26"/>
      <x:c r="E62" s="26"/>
      <x:c r="F62" s="26"/>
    </x:row>
    <x:row r="63" ht="15.75" customHeight="1">
      <x:c r="A63" s="26"/>
      <x:c r="B63" s="26"/>
      <x:c r="C63" s="26"/>
      <x:c r="D63" s="26"/>
      <x:c r="E63" s="26"/>
      <x:c r="F63" s="26"/>
    </x:row>
    <x:row r="64" ht="15.75" customHeight="1">
      <x:c r="A64" s="26"/>
      <x:c r="B64" s="26"/>
      <x:c r="C64" s="26"/>
      <x:c r="D64" s="26"/>
      <x:c r="E64" s="26"/>
      <x:c r="F64" s="26"/>
    </x:row>
    <x:row r="65" ht="15.75" customHeight="1">
      <x:c r="A65" s="26"/>
      <x:c r="B65" s="26"/>
      <x:c r="C65" s="26"/>
      <x:c r="D65" s="26"/>
      <x:c r="E65" s="26"/>
      <x:c r="F65" s="26"/>
    </x:row>
    <x:row r="66" ht="15.75" customHeight="1">
      <x:c r="A66" s="26"/>
      <x:c r="B66" s="26"/>
      <x:c r="C66" s="26"/>
      <x:c r="D66" s="26"/>
      <x:c r="E66" s="26"/>
      <x:c r="F66" s="26"/>
    </x:row>
    <x:row r="67" ht="15.75" customHeight="1">
      <x:c r="A67" s="26"/>
      <x:c r="B67" s="26"/>
      <x:c r="C67" s="26"/>
      <x:c r="D67" s="26"/>
      <x:c r="E67" s="26"/>
      <x:c r="F67" s="26"/>
    </x:row>
    <x:row r="68" ht="15.75" customHeight="1">
      <x:c r="A68" s="26"/>
      <x:c r="B68" s="26"/>
      <x:c r="C68" s="26"/>
      <x:c r="D68" s="26"/>
      <x:c r="E68" s="26"/>
      <x:c r="F68" s="26"/>
    </x:row>
    <x:row r="69" ht="15.75" customHeight="1">
      <x:c r="A69" s="26"/>
      <x:c r="B69" s="26"/>
      <x:c r="C69" s="26"/>
      <x:c r="D69" s="26"/>
      <x:c r="E69" s="26"/>
      <x:c r="F69" s="26"/>
    </x:row>
    <x:row r="70" ht="15.75" customHeight="1">
      <x:c r="A70" s="26"/>
      <x:c r="B70" s="26"/>
      <x:c r="C70" s="26"/>
      <x:c r="D70" s="26"/>
      <x:c r="E70" s="26"/>
      <x:c r="F70" s="26"/>
    </x:row>
    <x:row r="71" ht="15.75" customHeight="1">
      <x:c r="A71" s="26"/>
      <x:c r="B71" s="26"/>
      <x:c r="C71" s="26"/>
      <x:c r="D71" s="26"/>
      <x:c r="E71" s="26"/>
      <x:c r="F71" s="26"/>
    </x:row>
    <x:row r="72" ht="15.75" customHeight="1">
      <x:c r="A72" s="26"/>
      <x:c r="B72" s="26"/>
      <x:c r="C72" s="26"/>
      <x:c r="D72" s="26"/>
      <x:c r="E72" s="26"/>
      <x:c r="F72" s="26"/>
    </x:row>
    <x:row r="73" ht="15.75" customHeight="1">
      <x:c r="A73" s="26"/>
      <x:c r="B73" s="26"/>
      <x:c r="C73" s="26"/>
      <x:c r="D73" s="26"/>
      <x:c r="E73" s="26"/>
      <x:c r="F73" s="26"/>
    </x:row>
    <x:row r="74" ht="15.75" customHeight="1">
      <x:c r="A74" s="26"/>
      <x:c r="B74" s="26"/>
      <x:c r="C74" s="26"/>
      <x:c r="D74" s="26"/>
      <x:c r="E74" s="26"/>
      <x:c r="F74" s="26"/>
    </x:row>
    <x:row r="75" ht="15.75" customHeight="1">
      <x:c r="A75" s="26"/>
      <x:c r="B75" s="26"/>
      <x:c r="C75" s="26"/>
      <x:c r="D75" s="26"/>
      <x:c r="E75" s="26"/>
      <x:c r="F75" s="26"/>
    </x:row>
    <x:row r="76" ht="15.75" customHeight="1">
      <x:c r="A76" s="26"/>
      <x:c r="B76" s="26"/>
      <x:c r="C76" s="26"/>
      <x:c r="D76" s="26"/>
      <x:c r="E76" s="26"/>
      <x:c r="F76" s="26"/>
    </x:row>
    <x:row r="77" ht="15.75" customHeight="1">
      <x:c r="A77" s="26"/>
      <x:c r="B77" s="26"/>
      <x:c r="C77" s="26"/>
      <x:c r="D77" s="26"/>
      <x:c r="E77" s="26"/>
      <x:c r="F77" s="26"/>
    </x:row>
    <x:row r="78" ht="15.75" customHeight="1">
      <x:c r="A78" s="26"/>
      <x:c r="B78" s="26"/>
      <x:c r="C78" s="26"/>
      <x:c r="D78" s="26"/>
      <x:c r="E78" s="26"/>
      <x:c r="F78" s="26"/>
    </x:row>
    <x:row r="79" ht="15.75" customHeight="1">
      <x:c r="A79" s="26"/>
      <x:c r="B79" s="26"/>
      <x:c r="C79" s="26"/>
      <x:c r="D79" s="26"/>
      <x:c r="E79" s="26"/>
      <x:c r="F79" s="26"/>
    </x:row>
    <x:row r="80" ht="15.75" customHeight="1">
      <x:c r="A80" s="26"/>
      <x:c r="B80" s="26"/>
      <x:c r="C80" s="26"/>
      <x:c r="D80" s="26"/>
      <x:c r="E80" s="26"/>
      <x:c r="F80" s="26"/>
    </x:row>
    <x:row r="81" ht="15.75" customHeight="1">
      <x:c r="A81" s="26"/>
      <x:c r="B81" s="26"/>
      <x:c r="C81" s="26"/>
      <x:c r="D81" s="26"/>
      <x:c r="E81" s="26"/>
      <x:c r="F81" s="26"/>
    </x:row>
    <x:row r="82" ht="15.75" customHeight="1">
      <x:c r="A82" s="26"/>
      <x:c r="B82" s="26"/>
      <x:c r="C82" s="26"/>
      <x:c r="D82" s="26"/>
      <x:c r="E82" s="26"/>
      <x:c r="F82" s="26"/>
    </x:row>
    <x:row r="83" ht="15.75" customHeight="1">
      <x:c r="A83" s="26"/>
      <x:c r="B83" s="26"/>
      <x:c r="C83" s="26"/>
      <x:c r="D83" s="26"/>
      <x:c r="E83" s="26"/>
      <x:c r="F83" s="26"/>
    </x:row>
    <x:row r="84" ht="15.75" customHeight="1">
      <x:c r="A84" s="26"/>
      <x:c r="B84" s="26"/>
      <x:c r="C84" s="26"/>
      <x:c r="D84" s="26"/>
      <x:c r="E84" s="26"/>
      <x:c r="F84" s="26"/>
    </x:row>
    <x:row r="85" ht="15.75" customHeight="1">
      <x:c r="A85" s="26"/>
      <x:c r="B85" s="26"/>
      <x:c r="C85" s="26"/>
      <x:c r="D85" s="26"/>
      <x:c r="E85" s="26"/>
      <x:c r="F85" s="26"/>
    </x:row>
    <x:row r="86" ht="15.75" customHeight="1">
      <x:c r="A86" s="26"/>
      <x:c r="B86" s="26"/>
      <x:c r="C86" s="26"/>
      <x:c r="D86" s="26"/>
      <x:c r="E86" s="26"/>
      <x:c r="F86" s="26"/>
    </x:row>
    <x:row r="87" ht="15.75" customHeight="1">
      <x:c r="A87" s="26"/>
      <x:c r="B87" s="26"/>
      <x:c r="C87" s="26"/>
      <x:c r="D87" s="26"/>
      <x:c r="E87" s="26"/>
      <x:c r="F87" s="26"/>
    </x:row>
    <x:row r="88" ht="15.75" customHeight="1">
      <x:c r="A88" s="26"/>
      <x:c r="B88" s="26"/>
      <x:c r="C88" s="26"/>
      <x:c r="D88" s="26"/>
      <x:c r="E88" s="26"/>
      <x:c r="F88" s="26"/>
    </x:row>
    <x:row r="89" ht="15.75" customHeight="1">
      <x:c r="A89" s="26"/>
      <x:c r="B89" s="26"/>
      <x:c r="C89" s="26"/>
      <x:c r="D89" s="26"/>
      <x:c r="E89" s="26"/>
      <x:c r="F89" s="26"/>
    </x:row>
    <x:row r="90" ht="15.75" customHeight="1">
      <x:c r="A90" s="26"/>
      <x:c r="B90" s="26"/>
      <x:c r="C90" s="26"/>
      <x:c r="D90" s="26"/>
      <x:c r="E90" s="26"/>
      <x:c r="F90" s="26"/>
    </x:row>
    <x:row r="91" ht="15.75" customHeight="1">
      <x:c r="A91" s="26"/>
      <x:c r="B91" s="26"/>
      <x:c r="C91" s="26"/>
      <x:c r="D91" s="26"/>
      <x:c r="E91" s="26"/>
      <x:c r="F91" s="26"/>
    </x:row>
    <x:row r="92" ht="15.75" customHeight="1">
      <x:c r="A92" s="26"/>
      <x:c r="B92" s="26"/>
      <x:c r="C92" s="26"/>
      <x:c r="D92" s="26"/>
      <x:c r="E92" s="26"/>
      <x:c r="F92" s="26"/>
    </x:row>
    <x:row r="93" ht="15.75" customHeight="1">
      <x:c r="A93" s="26"/>
      <x:c r="B93" s="26"/>
      <x:c r="C93" s="26"/>
      <x:c r="D93" s="26"/>
      <x:c r="E93" s="26"/>
      <x:c r="F93" s="26"/>
    </x:row>
    <x:row r="94" ht="15.75" customHeight="1">
      <x:c r="A94" s="26"/>
      <x:c r="B94" s="26"/>
      <x:c r="C94" s="26"/>
      <x:c r="D94" s="26"/>
      <x:c r="E94" s="26"/>
      <x:c r="F94" s="26"/>
    </x:row>
    <x:row r="95" ht="15.75" customHeight="1">
      <x:c r="A95" s="26"/>
      <x:c r="B95" s="26"/>
      <x:c r="C95" s="26"/>
      <x:c r="D95" s="26"/>
      <x:c r="E95" s="26"/>
      <x:c r="F95" s="26"/>
    </x:row>
    <x:row r="96" ht="15.75" customHeight="1">
      <x:c r="A96" s="26"/>
      <x:c r="B96" s="26"/>
      <x:c r="C96" s="26"/>
      <x:c r="D96" s="26"/>
      <x:c r="E96" s="26"/>
      <x:c r="F96" s="26"/>
    </x:row>
    <x:row r="97" ht="15.75" customHeight="1">
      <x:c r="A97" s="26"/>
      <x:c r="B97" s="26"/>
      <x:c r="C97" s="26"/>
      <x:c r="D97" s="26"/>
      <x:c r="E97" s="26"/>
      <x:c r="F97" s="26"/>
    </x:row>
    <x:row r="98" ht="15.75" customHeight="1">
      <x:c r="A98" s="26"/>
      <x:c r="B98" s="26"/>
      <x:c r="C98" s="26"/>
      <x:c r="D98" s="26"/>
      <x:c r="E98" s="26"/>
      <x:c r="F98" s="26"/>
    </x:row>
    <x:row r="99" ht="15.75" customHeight="1">
      <x:c r="A99" s="26"/>
      <x:c r="B99" s="26"/>
      <x:c r="C99" s="26"/>
      <x:c r="D99" s="26"/>
      <x:c r="E99" s="26"/>
      <x:c r="F99" s="26"/>
    </x:row>
    <x:row r="100" ht="15.75" customHeight="1">
      <x:c r="A100" s="26"/>
      <x:c r="B100" s="26"/>
      <x:c r="C100" s="26"/>
      <x:c r="D100" s="26"/>
      <x:c r="E100" s="26"/>
      <x:c r="F100" s="26"/>
    </x:row>
    <x:row r="101" ht="15.75" customHeight="1">
      <x:c r="A101" s="26"/>
      <x:c r="B101" s="26"/>
      <x:c r="C101" s="26"/>
      <x:c r="D101" s="26"/>
      <x:c r="E101" s="26"/>
      <x:c r="F101" s="26"/>
    </x:row>
    <x:row r="102" ht="15.75" customHeight="1">
      <x:c r="A102" s="26"/>
      <x:c r="B102" s="26"/>
      <x:c r="C102" s="26"/>
      <x:c r="D102" s="26"/>
      <x:c r="E102" s="26"/>
      <x:c r="F102" s="26"/>
    </x:row>
    <x:row r="103" ht="15.75" customHeight="1">
      <x:c r="A103" s="26"/>
      <x:c r="B103" s="26"/>
      <x:c r="C103" s="26"/>
      <x:c r="D103" s="26"/>
      <x:c r="E103" s="26"/>
      <x:c r="F103" s="26"/>
    </x:row>
    <x:row r="104" ht="15.75" customHeight="1">
      <x:c r="A104" s="26"/>
      <x:c r="B104" s="26"/>
      <x:c r="C104" s="26"/>
      <x:c r="D104" s="26"/>
      <x:c r="E104" s="26"/>
      <x:c r="F104" s="26"/>
    </x:row>
    <x:row r="105" ht="15.75" customHeight="1">
      <x:c r="A105" s="26"/>
      <x:c r="B105" s="26"/>
      <x:c r="C105" s="26"/>
      <x:c r="D105" s="26"/>
      <x:c r="E105" s="26"/>
      <x:c r="F105" s="26"/>
    </x:row>
    <x:row r="106" ht="15.75" customHeight="1">
      <x:c r="A106" s="26"/>
      <x:c r="B106" s="26"/>
      <x:c r="C106" s="26"/>
      <x:c r="D106" s="26"/>
      <x:c r="E106" s="26"/>
      <x:c r="F106" s="26"/>
    </x:row>
    <x:row r="107" ht="15.75" customHeight="1">
      <x:c r="A107" s="26"/>
      <x:c r="B107" s="26"/>
      <x:c r="C107" s="26"/>
      <x:c r="D107" s="26"/>
      <x:c r="E107" s="26"/>
      <x:c r="F107" s="26"/>
    </x:row>
    <x:row r="108" ht="15.75" customHeight="1">
      <x:c r="A108" s="26"/>
      <x:c r="B108" s="26"/>
      <x:c r="C108" s="26"/>
      <x:c r="D108" s="26"/>
      <x:c r="E108" s="26"/>
      <x:c r="F108" s="26"/>
    </x:row>
    <x:row r="109" ht="15.75" customHeight="1">
      <x:c r="A109" s="26"/>
      <x:c r="B109" s="26"/>
      <x:c r="C109" s="26"/>
      <x:c r="D109" s="26"/>
      <x:c r="E109" s="26"/>
      <x:c r="F109" s="26"/>
    </x:row>
    <x:row r="110" ht="15.75" customHeight="1">
      <x:c r="A110" s="26"/>
      <x:c r="B110" s="26"/>
      <x:c r="C110" s="26"/>
      <x:c r="D110" s="26"/>
      <x:c r="E110" s="26"/>
      <x:c r="F110" s="26"/>
    </x:row>
    <x:row r="111" ht="15.75" customHeight="1">
      <x:c r="A111" s="26"/>
      <x:c r="B111" s="26"/>
      <x:c r="C111" s="26"/>
      <x:c r="D111" s="26"/>
      <x:c r="E111" s="26"/>
      <x:c r="F111" s="26"/>
    </x:row>
    <x:row r="112" ht="15.75" customHeight="1">
      <x:c r="A112" s="26"/>
      <x:c r="B112" s="26"/>
      <x:c r="C112" s="26"/>
      <x:c r="D112" s="26"/>
      <x:c r="E112" s="26"/>
      <x:c r="F112" s="26"/>
    </x:row>
    <x:row r="113" ht="15.75" customHeight="1">
      <x:c r="A113" s="26"/>
      <x:c r="B113" s="26"/>
      <x:c r="C113" s="26"/>
      <x:c r="D113" s="26"/>
      <x:c r="E113" s="26"/>
      <x:c r="F113" s="26"/>
    </x:row>
    <x:row r="114" ht="15.75" customHeight="1">
      <x:c r="A114" s="26"/>
      <x:c r="B114" s="26"/>
      <x:c r="C114" s="26"/>
      <x:c r="D114" s="26"/>
      <x:c r="E114" s="26"/>
      <x:c r="F114" s="26"/>
    </x:row>
    <x:row r="115" ht="15.75" customHeight="1">
      <x:c r="A115" s="26"/>
      <x:c r="B115" s="26"/>
      <x:c r="C115" s="26"/>
      <x:c r="D115" s="26"/>
      <x:c r="E115" s="26"/>
      <x:c r="F115" s="26"/>
    </x:row>
    <x:row r="116" ht="15.75" customHeight="1">
      <x:c r="A116" s="26"/>
      <x:c r="B116" s="26"/>
      <x:c r="C116" s="26"/>
      <x:c r="D116" s="26"/>
      <x:c r="E116" s="26"/>
      <x:c r="F116" s="26"/>
    </x:row>
    <x:row r="117" ht="15.75" customHeight="1">
      <x:c r="A117" s="26"/>
      <x:c r="B117" s="26"/>
      <x:c r="C117" s="26"/>
      <x:c r="D117" s="26"/>
      <x:c r="E117" s="26"/>
      <x:c r="F117" s="26"/>
    </x:row>
    <x:row r="118" ht="15.75" customHeight="1">
      <x:c r="A118" s="26"/>
      <x:c r="B118" s="26"/>
      <x:c r="C118" s="26"/>
      <x:c r="D118" s="26"/>
      <x:c r="E118" s="26"/>
      <x:c r="F118" s="26"/>
    </x:row>
    <x:row r="119" ht="15.75" customHeight="1">
      <x:c r="A119" s="26"/>
      <x:c r="B119" s="26"/>
      <x:c r="C119" s="26"/>
      <x:c r="D119" s="26"/>
      <x:c r="E119" s="26"/>
      <x:c r="F119" s="26"/>
    </x:row>
    <x:row r="120" ht="15.75" customHeight="1">
      <x:c r="A120" s="26"/>
      <x:c r="B120" s="26"/>
      <x:c r="C120" s="26"/>
      <x:c r="D120" s="26"/>
      <x:c r="E120" s="26"/>
      <x:c r="F120" s="26"/>
    </x:row>
    <x:row r="121" ht="15.75" customHeight="1">
      <x:c r="A121" s="26"/>
      <x:c r="B121" s="26"/>
      <x:c r="C121" s="26"/>
      <x:c r="D121" s="26"/>
      <x:c r="E121" s="26"/>
      <x:c r="F121" s="26"/>
    </x:row>
    <x:row r="122" ht="15.75" customHeight="1">
      <x:c r="A122" s="26"/>
      <x:c r="B122" s="26"/>
      <x:c r="C122" s="26"/>
      <x:c r="D122" s="26"/>
      <x:c r="E122" s="26"/>
      <x:c r="F122" s="26"/>
    </x:row>
    <x:row r="123" ht="15.75" customHeight="1">
      <x:c r="A123" s="26"/>
      <x:c r="B123" s="26"/>
      <x:c r="C123" s="26"/>
      <x:c r="D123" s="26"/>
      <x:c r="E123" s="26"/>
      <x:c r="F123" s="26"/>
    </x:row>
    <x:row r="124" ht="15.75" customHeight="1">
      <x:c r="A124" s="26"/>
      <x:c r="B124" s="26"/>
      <x:c r="C124" s="26"/>
      <x:c r="D124" s="26"/>
      <x:c r="E124" s="26"/>
      <x:c r="F124" s="26"/>
    </x:row>
    <x:row r="125" ht="15.75" customHeight="1">
      <x:c r="A125" s="26"/>
      <x:c r="B125" s="26"/>
      <x:c r="C125" s="26"/>
      <x:c r="D125" s="26"/>
      <x:c r="E125" s="26"/>
      <x:c r="F125" s="26"/>
    </x:row>
    <x:row r="126" ht="15.75" customHeight="1">
      <x:c r="A126" s="26"/>
      <x:c r="B126" s="26"/>
      <x:c r="C126" s="26"/>
      <x:c r="D126" s="26"/>
      <x:c r="E126" s="26"/>
      <x:c r="F126" s="26"/>
    </x:row>
    <x:row r="127" ht="15.75" customHeight="1">
      <x:c r="A127" s="26"/>
      <x:c r="B127" s="26"/>
      <x:c r="C127" s="26"/>
      <x:c r="D127" s="26"/>
      <x:c r="E127" s="26"/>
      <x:c r="F127" s="26"/>
    </x:row>
    <x:row r="128" ht="15.75" customHeight="1">
      <x:c r="A128" s="26"/>
      <x:c r="B128" s="26"/>
      <x:c r="C128" s="26"/>
      <x:c r="D128" s="26"/>
      <x:c r="E128" s="26"/>
      <x:c r="F128" s="26"/>
    </x:row>
    <x:row r="129" ht="15.75" customHeight="1">
      <x:c r="A129" s="26"/>
      <x:c r="B129" s="26"/>
      <x:c r="C129" s="26"/>
      <x:c r="D129" s="26"/>
      <x:c r="E129" s="26"/>
      <x:c r="F129" s="26"/>
    </x:row>
    <x:row r="130" ht="15.75" customHeight="1">
      <x:c r="A130" s="26"/>
      <x:c r="B130" s="26"/>
      <x:c r="C130" s="26"/>
      <x:c r="D130" s="26"/>
      <x:c r="E130" s="26"/>
      <x:c r="F130" s="26"/>
    </x:row>
    <x:row r="131" ht="15.75" customHeight="1">
      <x:c r="A131" s="26"/>
      <x:c r="B131" s="26"/>
      <x:c r="C131" s="26"/>
      <x:c r="D131" s="26"/>
      <x:c r="E131" s="26"/>
      <x:c r="F131" s="26"/>
    </x:row>
    <x:row r="132" ht="15.75" customHeight="1">
      <x:c r="A132" s="26"/>
      <x:c r="B132" s="26"/>
      <x:c r="C132" s="26"/>
      <x:c r="D132" s="26"/>
      <x:c r="E132" s="26"/>
      <x:c r="F132" s="26"/>
    </x:row>
    <x:row r="133" ht="15.75" customHeight="1">
      <x:c r="A133" s="26"/>
      <x:c r="B133" s="26"/>
      <x:c r="C133" s="26"/>
      <x:c r="D133" s="26"/>
      <x:c r="E133" s="26"/>
      <x:c r="F133" s="26"/>
    </x:row>
    <x:row r="134" ht="15.75" customHeight="1">
      <x:c r="A134" s="26"/>
      <x:c r="B134" s="26"/>
      <x:c r="C134" s="26"/>
      <x:c r="D134" s="26"/>
      <x:c r="E134" s="26"/>
      <x:c r="F134" s="26"/>
    </x:row>
    <x:row r="135" ht="15.75" customHeight="1">
      <x:c r="A135" s="26"/>
      <x:c r="B135" s="26"/>
      <x:c r="C135" s="26"/>
      <x:c r="D135" s="26"/>
      <x:c r="E135" s="26"/>
      <x:c r="F135" s="26"/>
    </x:row>
    <x:row r="136" ht="15.75" customHeight="1">
      <x:c r="A136" s="26"/>
      <x:c r="B136" s="26"/>
      <x:c r="C136" s="26"/>
      <x:c r="D136" s="26"/>
      <x:c r="E136" s="26"/>
      <x:c r="F136" s="26"/>
    </x:row>
    <x:row r="137" ht="15.75" customHeight="1">
      <x:c r="A137" s="26"/>
      <x:c r="B137" s="26"/>
      <x:c r="C137" s="26"/>
      <x:c r="D137" s="26"/>
      <x:c r="E137" s="26"/>
      <x:c r="F137" s="26"/>
    </x:row>
    <x:row r="138" ht="15.75" customHeight="1">
      <x:c r="A138" s="26"/>
      <x:c r="B138" s="26"/>
      <x:c r="C138" s="26"/>
      <x:c r="D138" s="26"/>
      <x:c r="E138" s="26"/>
      <x:c r="F138" s="26"/>
    </x:row>
    <x:row r="139" ht="15.75" customHeight="1">
      <x:c r="A139" s="26"/>
      <x:c r="B139" s="26"/>
      <x:c r="C139" s="26"/>
      <x:c r="D139" s="26"/>
      <x:c r="E139" s="26"/>
      <x:c r="F139" s="26"/>
    </x:row>
    <x:row r="140" ht="15.75" customHeight="1">
      <x:c r="A140" s="26"/>
      <x:c r="B140" s="26"/>
      <x:c r="C140" s="26"/>
      <x:c r="D140" s="26"/>
      <x:c r="E140" s="26"/>
      <x:c r="F140" s="26"/>
    </x:row>
    <x:row r="141" ht="15.75" customHeight="1">
      <x:c r="A141" s="26"/>
      <x:c r="B141" s="26"/>
      <x:c r="C141" s="26"/>
      <x:c r="D141" s="26"/>
      <x:c r="E141" s="26"/>
      <x:c r="F141" s="26"/>
    </x:row>
    <x:row r="142" ht="15.75" customHeight="1">
      <x:c r="A142" s="26"/>
      <x:c r="B142" s="26"/>
      <x:c r="C142" s="26"/>
      <x:c r="D142" s="26"/>
      <x:c r="E142" s="26"/>
      <x:c r="F142" s="26"/>
    </x:row>
    <x:row r="143" ht="15.75" customHeight="1">
      <x:c r="A143" s="26"/>
      <x:c r="B143" s="26"/>
      <x:c r="C143" s="26"/>
      <x:c r="D143" s="26"/>
      <x:c r="E143" s="26"/>
      <x:c r="F143" s="26"/>
    </x:row>
    <x:row r="144" ht="15.75" customHeight="1">
      <x:c r="A144" s="26"/>
      <x:c r="B144" s="26"/>
      <x:c r="C144" s="26"/>
      <x:c r="D144" s="26"/>
      <x:c r="E144" s="26"/>
      <x:c r="F144" s="26"/>
    </x:row>
    <x:row r="145" ht="15.75" customHeight="1">
      <x:c r="A145" s="26"/>
      <x:c r="B145" s="26"/>
      <x:c r="C145" s="26"/>
      <x:c r="D145" s="26"/>
      <x:c r="E145" s="26"/>
      <x:c r="F145" s="26"/>
    </x:row>
    <x:row r="146" ht="15.75" customHeight="1">
      <x:c r="A146" s="26"/>
      <x:c r="B146" s="26"/>
      <x:c r="C146" s="26"/>
      <x:c r="D146" s="26"/>
      <x:c r="E146" s="26"/>
      <x:c r="F146" s="26"/>
    </x:row>
    <x:row r="147" ht="15.75" customHeight="1">
      <x:c r="A147" s="26"/>
      <x:c r="B147" s="26"/>
      <x:c r="C147" s="26"/>
      <x:c r="D147" s="26"/>
      <x:c r="E147" s="26"/>
      <x:c r="F147" s="26"/>
    </x:row>
    <x:row r="148" ht="15.75" customHeight="1">
      <x:c r="A148" s="26"/>
      <x:c r="B148" s="26"/>
      <x:c r="C148" s="26"/>
      <x:c r="D148" s="26"/>
      <x:c r="E148" s="26"/>
      <x:c r="F148" s="26"/>
    </x:row>
    <x:row r="149" ht="15.75" customHeight="1">
      <x:c r="A149" s="26"/>
      <x:c r="B149" s="26"/>
      <x:c r="C149" s="26"/>
      <x:c r="D149" s="26"/>
      <x:c r="E149" s="26"/>
      <x:c r="F149" s="26"/>
    </x:row>
    <x:row r="150" ht="15.75" customHeight="1">
      <x:c r="A150" s="26"/>
      <x:c r="B150" s="26"/>
      <x:c r="C150" s="26"/>
      <x:c r="D150" s="26"/>
      <x:c r="E150" s="26"/>
      <x:c r="F150" s="26"/>
    </x:row>
    <x:row r="151" ht="15.75" customHeight="1">
      <x:c r="A151" s="26"/>
      <x:c r="B151" s="26"/>
      <x:c r="C151" s="26"/>
      <x:c r="D151" s="26"/>
      <x:c r="E151" s="26"/>
      <x:c r="F151" s="26"/>
    </x:row>
    <x:row r="152" ht="15.75" customHeight="1">
      <x:c r="A152" s="26"/>
      <x:c r="B152" s="26"/>
      <x:c r="C152" s="26"/>
      <x:c r="D152" s="26"/>
      <x:c r="E152" s="26"/>
      <x:c r="F152" s="26"/>
    </x:row>
    <x:row r="153" ht="15.75" customHeight="1">
      <x:c r="A153" s="26"/>
      <x:c r="B153" s="26"/>
      <x:c r="C153" s="26"/>
      <x:c r="D153" s="26"/>
      <x:c r="E153" s="26"/>
      <x:c r="F153" s="26"/>
    </x:row>
    <x:row r="154" ht="15.75" customHeight="1">
      <x:c r="A154" s="26"/>
      <x:c r="B154" s="26"/>
      <x:c r="C154" s="26"/>
      <x:c r="D154" s="26"/>
      <x:c r="E154" s="26"/>
      <x:c r="F154" s="26"/>
    </x:row>
    <x:row r="155" ht="15.75" customHeight="1">
      <x:c r="A155" s="26"/>
      <x:c r="B155" s="26"/>
      <x:c r="C155" s="26"/>
      <x:c r="D155" s="26"/>
      <x:c r="E155" s="26"/>
      <x:c r="F155" s="26"/>
    </x:row>
    <x:row r="156" ht="15.75" customHeight="1">
      <x:c r="A156" s="26"/>
      <x:c r="B156" s="26"/>
      <x:c r="C156" s="26"/>
      <x:c r="D156" s="26"/>
      <x:c r="E156" s="26"/>
      <x:c r="F156" s="26"/>
    </x:row>
    <x:row r="157" ht="15.75" customHeight="1">
      <x:c r="A157" s="26"/>
      <x:c r="B157" s="26"/>
      <x:c r="C157" s="26"/>
      <x:c r="D157" s="26"/>
      <x:c r="E157" s="26"/>
      <x:c r="F157" s="26"/>
    </x:row>
    <x:row r="158" ht="15.75" customHeight="1">
      <x:c r="A158" s="26"/>
      <x:c r="B158" s="26"/>
      <x:c r="C158" s="26"/>
      <x:c r="D158" s="26"/>
      <x:c r="E158" s="26"/>
      <x:c r="F158" s="26"/>
    </x:row>
    <x:row r="159" ht="15.75" customHeight="1">
      <x:c r="A159" s="26"/>
      <x:c r="B159" s="26"/>
      <x:c r="C159" s="26"/>
      <x:c r="D159" s="26"/>
      <x:c r="E159" s="26"/>
      <x:c r="F159" s="26"/>
    </x:row>
    <x:row r="160" ht="15.75" customHeight="1">
      <x:c r="A160" s="26"/>
      <x:c r="B160" s="26"/>
      <x:c r="C160" s="26"/>
      <x:c r="D160" s="26"/>
      <x:c r="E160" s="26"/>
      <x:c r="F160" s="26"/>
    </x:row>
    <x:row r="161" ht="15.75" customHeight="1">
      <x:c r="A161" s="26"/>
      <x:c r="B161" s="26"/>
      <x:c r="C161" s="26"/>
      <x:c r="D161" s="26"/>
      <x:c r="E161" s="26"/>
      <x:c r="F161" s="26"/>
    </x:row>
    <x:row r="162" ht="15.75" customHeight="1">
      <x:c r="A162" s="26"/>
      <x:c r="B162" s="26"/>
      <x:c r="C162" s="26"/>
      <x:c r="D162" s="26"/>
      <x:c r="E162" s="26"/>
      <x:c r="F162" s="26"/>
    </x:row>
    <x:row r="163" ht="15.75" customHeight="1">
      <x:c r="A163" s="26"/>
      <x:c r="B163" s="26"/>
      <x:c r="C163" s="26"/>
      <x:c r="D163" s="26"/>
      <x:c r="E163" s="26"/>
      <x:c r="F163" s="26"/>
    </x:row>
    <x:row r="164" ht="15.75" customHeight="1">
      <x:c r="A164" s="26"/>
      <x:c r="B164" s="26"/>
      <x:c r="C164" s="26"/>
      <x:c r="D164" s="26"/>
      <x:c r="E164" s="26"/>
      <x:c r="F164" s="26"/>
    </x:row>
    <x:row r="165" ht="15.75" customHeight="1">
      <x:c r="A165" s="26"/>
      <x:c r="B165" s="26"/>
      <x:c r="C165" s="26"/>
      <x:c r="D165" s="26"/>
      <x:c r="E165" s="26"/>
      <x:c r="F165" s="26"/>
    </x:row>
    <x:row r="166" ht="15.75" customHeight="1">
      <x:c r="A166" s="26"/>
      <x:c r="B166" s="26"/>
      <x:c r="C166" s="26"/>
      <x:c r="D166" s="26"/>
      <x:c r="E166" s="26"/>
      <x:c r="F166" s="26"/>
    </x:row>
    <x:row r="167" ht="15.75" customHeight="1">
      <x:c r="A167" s="26"/>
      <x:c r="B167" s="26"/>
      <x:c r="C167" s="26"/>
      <x:c r="D167" s="26"/>
      <x:c r="E167" s="26"/>
      <x:c r="F167" s="26"/>
    </x:row>
    <x:row r="168" ht="15.75" customHeight="1">
      <x:c r="A168" s="26"/>
      <x:c r="B168" s="26"/>
      <x:c r="C168" s="26"/>
      <x:c r="D168" s="26"/>
      <x:c r="E168" s="26"/>
      <x:c r="F168" s="26"/>
    </x:row>
    <x:row r="169" ht="15.75" customHeight="1">
      <x:c r="A169" s="26"/>
      <x:c r="B169" s="26"/>
      <x:c r="C169" s="26"/>
      <x:c r="D169" s="26"/>
      <x:c r="E169" s="26"/>
      <x:c r="F169" s="26"/>
    </x:row>
    <x:row r="170" ht="15.75" customHeight="1">
      <x:c r="A170" s="26"/>
      <x:c r="B170" s="26"/>
      <x:c r="C170" s="26"/>
      <x:c r="D170" s="26"/>
      <x:c r="E170" s="26"/>
      <x:c r="F170" s="26"/>
    </x:row>
    <x:row r="171" ht="15.75" customHeight="1">
      <x:c r="A171" s="26"/>
      <x:c r="B171" s="26"/>
      <x:c r="C171" s="26"/>
      <x:c r="D171" s="26"/>
      <x:c r="E171" s="26"/>
      <x:c r="F171" s="26"/>
    </x:row>
    <x:row r="172" ht="15.75" customHeight="1">
      <x:c r="A172" s="26"/>
      <x:c r="B172" s="26"/>
      <x:c r="C172" s="26"/>
      <x:c r="D172" s="26"/>
      <x:c r="E172" s="26"/>
      <x:c r="F172" s="26"/>
    </x:row>
    <x:row r="173" ht="15.75" customHeight="1">
      <x:c r="A173" s="26"/>
      <x:c r="B173" s="26"/>
      <x:c r="C173" s="26"/>
      <x:c r="D173" s="26"/>
      <x:c r="E173" s="26"/>
      <x:c r="F173" s="26"/>
    </x:row>
    <x:row r="174" ht="15.75" customHeight="1">
      <x:c r="A174" s="26"/>
      <x:c r="B174" s="26"/>
      <x:c r="C174" s="26"/>
      <x:c r="D174" s="26"/>
      <x:c r="E174" s="26"/>
      <x:c r="F174" s="26"/>
    </x:row>
    <x:row r="175" ht="15.75" customHeight="1">
      <x:c r="A175" s="26"/>
      <x:c r="B175" s="26"/>
      <x:c r="C175" s="26"/>
      <x:c r="D175" s="26"/>
      <x:c r="E175" s="26"/>
      <x:c r="F175" s="26"/>
    </x:row>
    <x:row r="176" ht="15.75" customHeight="1">
      <x:c r="A176" s="26"/>
      <x:c r="B176" s="26"/>
      <x:c r="C176" s="26"/>
      <x:c r="D176" s="26"/>
      <x:c r="E176" s="26"/>
      <x:c r="F176" s="26"/>
    </x:row>
    <x:row r="177" ht="15.75" customHeight="1">
      <x:c r="A177" s="26"/>
      <x:c r="B177" s="26"/>
      <x:c r="C177" s="26"/>
      <x:c r="D177" s="26"/>
      <x:c r="E177" s="26"/>
      <x:c r="F177" s="26"/>
    </x:row>
    <x:row r="178" ht="15.75" customHeight="1">
      <x:c r="A178" s="26"/>
      <x:c r="B178" s="26"/>
      <x:c r="C178" s="26"/>
      <x:c r="D178" s="26"/>
      <x:c r="E178" s="26"/>
      <x:c r="F178" s="26"/>
    </x:row>
    <x:row r="179" ht="15.75" customHeight="1">
      <x:c r="A179" s="26"/>
      <x:c r="B179" s="26"/>
      <x:c r="C179" s="26"/>
      <x:c r="D179" s="26"/>
      <x:c r="E179" s="26"/>
      <x:c r="F179" s="26"/>
    </x:row>
    <x:row r="180" ht="15.75" customHeight="1">
      <x:c r="A180" s="26"/>
      <x:c r="B180" s="26"/>
      <x:c r="C180" s="26"/>
      <x:c r="D180" s="26"/>
      <x:c r="E180" s="26"/>
      <x:c r="F180" s="26"/>
    </x:row>
    <x:row r="181" ht="15.75" customHeight="1">
      <x:c r="A181" s="26"/>
      <x:c r="B181" s="26"/>
      <x:c r="C181" s="26"/>
      <x:c r="D181" s="26"/>
      <x:c r="E181" s="26"/>
      <x:c r="F181" s="26"/>
    </x:row>
    <x:row r="182" ht="15.75" customHeight="1">
      <x:c r="A182" s="26"/>
      <x:c r="B182" s="26"/>
      <x:c r="C182" s="26"/>
      <x:c r="D182" s="26"/>
      <x:c r="E182" s="26"/>
      <x:c r="F182" s="26"/>
    </x:row>
    <x:row r="183" ht="15.75" customHeight="1">
      <x:c r="A183" s="26"/>
      <x:c r="B183" s="26"/>
      <x:c r="C183" s="26"/>
      <x:c r="D183" s="26"/>
      <x:c r="E183" s="26"/>
      <x:c r="F183" s="26"/>
    </x:row>
    <x:row r="184" ht="15.75" customHeight="1">
      <x:c r="A184" s="26"/>
      <x:c r="B184" s="26"/>
      <x:c r="C184" s="26"/>
      <x:c r="D184" s="26"/>
      <x:c r="E184" s="26"/>
      <x:c r="F184" s="26"/>
    </x:row>
    <x:row r="185" ht="15.75" customHeight="1">
      <x:c r="A185" s="26"/>
      <x:c r="B185" s="26"/>
      <x:c r="C185" s="26"/>
      <x:c r="D185" s="26"/>
      <x:c r="E185" s="26"/>
      <x:c r="F185" s="26"/>
    </x:row>
    <x:row r="186" ht="15.75" customHeight="1">
      <x:c r="A186" s="26"/>
      <x:c r="B186" s="26"/>
      <x:c r="C186" s="26"/>
      <x:c r="D186" s="26"/>
      <x:c r="E186" s="26"/>
      <x:c r="F186" s="26"/>
    </x:row>
    <x:row r="187" ht="15.75" customHeight="1">
      <x:c r="A187" s="26"/>
      <x:c r="B187" s="26"/>
      <x:c r="C187" s="26"/>
      <x:c r="D187" s="26"/>
      <x:c r="E187" s="26"/>
      <x:c r="F187" s="26"/>
    </x:row>
    <x:row r="188" ht="15.75" customHeight="1">
      <x:c r="A188" s="26"/>
      <x:c r="B188" s="26"/>
      <x:c r="C188" s="26"/>
      <x:c r="D188" s="26"/>
      <x:c r="E188" s="26"/>
      <x:c r="F188" s="26"/>
    </x:row>
    <x:row r="189" ht="15.75" customHeight="1">
      <x:c r="A189" s="26"/>
      <x:c r="B189" s="26"/>
      <x:c r="C189" s="26"/>
      <x:c r="D189" s="26"/>
      <x:c r="E189" s="26"/>
      <x:c r="F189" s="26"/>
    </x:row>
    <x:row r="190" ht="15.75" customHeight="1">
      <x:c r="A190" s="26"/>
      <x:c r="B190" s="26"/>
      <x:c r="C190" s="26"/>
      <x:c r="D190" s="26"/>
      <x:c r="E190" s="26"/>
      <x:c r="F190" s="26"/>
    </x:row>
    <x:row r="191" ht="15.75" customHeight="1">
      <x:c r="A191" s="26"/>
      <x:c r="B191" s="26"/>
      <x:c r="C191" s="26"/>
      <x:c r="D191" s="26"/>
      <x:c r="E191" s="26"/>
      <x:c r="F191" s="26"/>
    </x:row>
    <x:row r="192" ht="15.75" customHeight="1">
      <x:c r="A192" s="26"/>
      <x:c r="B192" s="26"/>
      <x:c r="C192" s="26"/>
      <x:c r="D192" s="26"/>
      <x:c r="E192" s="26"/>
      <x:c r="F192" s="26"/>
    </x:row>
    <x:row r="193" ht="15.75" customHeight="1">
      <x:c r="A193" s="26"/>
      <x:c r="B193" s="26"/>
      <x:c r="C193" s="26"/>
      <x:c r="D193" s="26"/>
      <x:c r="E193" s="26"/>
      <x:c r="F193" s="26"/>
    </x:row>
    <x:row r="194" ht="15.75" customHeight="1">
      <x:c r="A194" s="26"/>
      <x:c r="B194" s="26"/>
      <x:c r="C194" s="26"/>
      <x:c r="D194" s="26"/>
      <x:c r="E194" s="26"/>
      <x:c r="F194" s="26"/>
    </x:row>
    <x:row r="195" ht="15.75" customHeight="1">
      <x:c r="A195" s="26"/>
      <x:c r="B195" s="26"/>
      <x:c r="C195" s="26"/>
      <x:c r="D195" s="26"/>
      <x:c r="E195" s="26"/>
      <x:c r="F195" s="26"/>
    </x:row>
    <x:row r="196" ht="15.75" customHeight="1">
      <x:c r="A196" s="26"/>
      <x:c r="B196" s="26"/>
      <x:c r="C196" s="26"/>
      <x:c r="D196" s="26"/>
      <x:c r="E196" s="26"/>
      <x:c r="F196" s="26"/>
    </x:row>
    <x:row r="197" ht="15.75" customHeight="1">
      <x:c r="A197" s="26"/>
      <x:c r="B197" s="26"/>
      <x:c r="C197" s="26"/>
      <x:c r="D197" s="26"/>
      <x:c r="E197" s="26"/>
      <x:c r="F197" s="26"/>
    </x:row>
    <x:row r="198" ht="15.75" customHeight="1">
      <x:c r="A198" s="26"/>
      <x:c r="B198" s="26"/>
      <x:c r="C198" s="26"/>
      <x:c r="D198" s="26"/>
      <x:c r="E198" s="26"/>
      <x:c r="F198" s="26"/>
    </x:row>
    <x:row r="199" ht="15.75" customHeight="1">
      <x:c r="A199" s="26"/>
      <x:c r="B199" s="26"/>
      <x:c r="C199" s="26"/>
      <x:c r="D199" s="26"/>
      <x:c r="E199" s="26"/>
      <x:c r="F199" s="26"/>
    </x:row>
    <x:row r="200" ht="15.75" customHeight="1">
      <x:c r="A200" s="26"/>
      <x:c r="B200" s="26"/>
      <x:c r="C200" s="26"/>
      <x:c r="D200" s="26"/>
      <x:c r="E200" s="26"/>
      <x:c r="F200" s="26"/>
    </x:row>
    <x:row r="201" ht="15.75" customHeight="1">
      <x:c r="A201" s="26"/>
      <x:c r="B201" s="26"/>
      <x:c r="C201" s="26"/>
      <x:c r="D201" s="26"/>
      <x:c r="E201" s="26"/>
      <x:c r="F201" s="26"/>
    </x:row>
    <x:row r="202" ht="15.75" customHeight="1">
      <x:c r="A202" s="26"/>
      <x:c r="B202" s="26"/>
      <x:c r="C202" s="26"/>
      <x:c r="D202" s="26"/>
      <x:c r="E202" s="26"/>
      <x:c r="F202" s="26"/>
    </x:row>
    <x:row r="203" ht="15.75" customHeight="1">
      <x:c r="A203" s="26"/>
      <x:c r="B203" s="26"/>
      <x:c r="C203" s="26"/>
      <x:c r="D203" s="26"/>
      <x:c r="E203" s="26"/>
      <x:c r="F203" s="26"/>
    </x:row>
    <x:row r="204" ht="15.75" customHeight="1">
      <x:c r="A204" s="26"/>
      <x:c r="B204" s="26"/>
      <x:c r="C204" s="26"/>
      <x:c r="D204" s="26"/>
      <x:c r="E204" s="26"/>
      <x:c r="F204" s="26"/>
    </x:row>
    <x:row r="205" ht="15.75" customHeight="1">
      <x:c r="A205" s="26"/>
      <x:c r="B205" s="26"/>
      <x:c r="C205" s="26"/>
      <x:c r="D205" s="26"/>
      <x:c r="E205" s="26"/>
      <x:c r="F205" s="26"/>
    </x:row>
    <x:row r="206" ht="15.75" customHeight="1">
      <x:c r="A206" s="26"/>
      <x:c r="B206" s="26"/>
      <x:c r="C206" s="26"/>
      <x:c r="D206" s="26"/>
      <x:c r="E206" s="26"/>
      <x:c r="F206" s="26"/>
    </x:row>
    <x:row r="207" ht="15.75" customHeight="1">
      <x:c r="A207" s="26"/>
      <x:c r="B207" s="26"/>
      <x:c r="C207" s="26"/>
      <x:c r="D207" s="26"/>
      <x:c r="E207" s="26"/>
      <x:c r="F207" s="26"/>
    </x:row>
    <x:row r="208" ht="15.75" customHeight="1">
      <x:c r="A208" s="26"/>
      <x:c r="B208" s="26"/>
      <x:c r="C208" s="26"/>
      <x:c r="D208" s="26"/>
      <x:c r="E208" s="26"/>
      <x:c r="F208" s="26"/>
    </x:row>
    <x:row r="209" ht="15.75" customHeight="1">
      <x:c r="A209" s="26"/>
      <x:c r="B209" s="26"/>
      <x:c r="C209" s="26"/>
      <x:c r="D209" s="26"/>
      <x:c r="E209" s="26"/>
      <x:c r="F209" s="26"/>
    </x:row>
    <x:row r="210" ht="15.75" customHeight="1">
      <x:c r="A210" s="26"/>
      <x:c r="B210" s="26"/>
      <x:c r="C210" s="26"/>
      <x:c r="D210" s="26"/>
      <x:c r="E210" s="26"/>
      <x:c r="F210" s="26"/>
    </x:row>
    <x:row r="211" ht="15.75" customHeight="1">
      <x:c r="A211" s="26"/>
      <x:c r="B211" s="26"/>
      <x:c r="C211" s="26"/>
      <x:c r="D211" s="26"/>
      <x:c r="E211" s="26"/>
      <x:c r="F211" s="26"/>
    </x:row>
    <x:row r="212" ht="15.75" customHeight="1">
      <x:c r="A212" s="26"/>
      <x:c r="B212" s="26"/>
      <x:c r="C212" s="26"/>
      <x:c r="D212" s="26"/>
      <x:c r="E212" s="26"/>
      <x:c r="F212" s="26"/>
    </x:row>
    <x:row r="213" ht="15.75" customHeight="1">
      <x:c r="A213" s="26"/>
      <x:c r="B213" s="26"/>
      <x:c r="C213" s="26"/>
      <x:c r="D213" s="26"/>
      <x:c r="E213" s="26"/>
      <x:c r="F213" s="26"/>
    </x:row>
    <x:row r="214" ht="15.75" customHeight="1">
      <x:c r="A214" s="26"/>
      <x:c r="B214" s="26"/>
      <x:c r="C214" s="26"/>
      <x:c r="D214" s="26"/>
      <x:c r="E214" s="26"/>
      <x:c r="F214" s="26"/>
    </x:row>
    <x:row r="215" ht="15.75" customHeight="1">
      <x:c r="A215" s="26"/>
      <x:c r="B215" s="26"/>
      <x:c r="C215" s="26"/>
      <x:c r="D215" s="26"/>
      <x:c r="E215" s="26"/>
      <x:c r="F215" s="26"/>
    </x:row>
    <x:row r="216" ht="15.75" customHeight="1">
      <x:c r="A216" s="26"/>
      <x:c r="B216" s="26"/>
      <x:c r="C216" s="26"/>
      <x:c r="D216" s="26"/>
      <x:c r="E216" s="26"/>
      <x:c r="F216" s="26"/>
    </x:row>
    <x:row r="217" ht="15.75" customHeight="1">
      <x:c r="A217" s="26"/>
      <x:c r="B217" s="26"/>
      <x:c r="C217" s="26"/>
      <x:c r="D217" s="26"/>
      <x:c r="E217" s="26"/>
      <x:c r="F217" s="26"/>
    </x:row>
    <x:row r="218" ht="15.75" customHeight="1">
      <x:c r="A218" s="26"/>
      <x:c r="B218" s="26"/>
      <x:c r="C218" s="26"/>
      <x:c r="D218" s="26"/>
      <x:c r="E218" s="26"/>
      <x:c r="F218" s="26"/>
    </x:row>
    <x:row r="219" ht="15.75" customHeight="1">
      <x:c r="A219" s="26"/>
      <x:c r="B219" s="26"/>
      <x:c r="C219" s="26"/>
      <x:c r="D219" s="26"/>
      <x:c r="E219" s="26"/>
      <x:c r="F219" s="26"/>
    </x:row>
    <x:row r="220" ht="15.75" customHeight="1">
      <x:c r="A220" s="26"/>
      <x:c r="B220" s="26"/>
      <x:c r="C220" s="26"/>
      <x:c r="D220" s="26"/>
      <x:c r="E220" s="26"/>
      <x:c r="F220" s="26"/>
    </x:row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C2:C15">
    <x:cfRule type="cellIs" dxfId="4" priority="1" operator="greaterThan">
      <x:formula>0.1</x:formula>
    </x:cfRule>
  </x:conditionalFormatting>
  <x:conditionalFormatting sqref="C2:C15">
    <x:cfRule type="cellIs" dxfId="6" priority="2" operator="lessThan">
      <x:formula>0.01</x:formula>
    </x:cfRule>
  </x:conditionalFormatting>
  <x:pageMargins left="0.7" right="0.7" top="0.75" bottom="0.75" header="0.3" footer="0.3"/>
  <x:drawing xmlns:r="http://schemas.openxmlformats.org/officeDocument/2006/relationships" r:id="R4459754ce7934a05"/>
  <x:tableParts count="1">
    <x:tablePart xmlns:r="http://schemas.openxmlformats.org/officeDocument/2006/relationships" r:id="R244b82f862b0475e"/>
  </x:tableParts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ColWidth="12.630000114440918" defaultRowHeight="15"/>
  <x:cols>
    <x:col min="1" max="1" width="10.380000114440918" customWidth="1"/>
    <x:col min="2" max="7" width="14.130000114440918" customWidth="1"/>
    <x:col min="8" max="13" width="10.630000114440918" customWidth="1"/>
    <x:col min="14" max="17" width="15.380000114440918" customWidth="1"/>
    <x:col min="18" max="19" width="3.130000114440918" customWidth="1"/>
    <x:col min="20" max="23" width="15.380000114440918" customWidth="1"/>
  </x:cols>
  <x:sheetData>
    <x:row r="1" ht="34.5" customHeight="1">
      <x:c r="A1" s="31" t="s">
        <x:v>4</x:v>
      </x:c>
      <x:c r="B1" s="32"/>
      <x:c r="C1" s="32"/>
      <x:c r="D1" s="32"/>
      <x:c r="E1" s="32"/>
      <x:c r="F1" s="32"/>
      <x:c r="G1" s="32"/>
      <x:c r="H1" s="36"/>
      <x:c r="I1" s="26"/>
      <x:c r="J1" s="26"/>
      <x:c r="K1" s="26"/>
      <x:c r="L1" s="5"/>
      <x:c r="M1" s="5"/>
      <x:c r="N1" s="38"/>
      <x:c r="O1" s="38"/>
      <x:c r="P1" s="38"/>
      <x:c r="Q1" s="38"/>
      <x:c r="R1" s="5"/>
      <x:c r="S1" s="5"/>
      <x:c r="T1" s="39"/>
      <x:c r="U1" s="40"/>
      <x:c r="V1" s="40"/>
      <x:c r="W1" s="40"/>
    </x:row>
    <x:row r="2" ht="34.5" customHeight="1">
      <x:c r="A2" s="25" t="s">
        <x:v>5</x:v>
      </x:c>
      <x:c r="B2" s="25" t="s">
        <x:v>6</x:v>
      </x:c>
      <x:c r="C2" s="25" t="s">
        <x:v>7</x:v>
      </x:c>
      <x:c r="D2" s="25" t="s">
        <x:v>8</x:v>
      </x:c>
      <x:c r="E2" s="25" t="s">
        <x:v>9</x:v>
      </x:c>
      <x:c r="F2" s="25" t="s">
        <x:v>10</x:v>
      </x:c>
      <x:c r="G2" s="25" t="s">
        <x:v>11</x:v>
      </x:c>
      <x:c r="H2" s="36"/>
      <x:c r="I2" s="26"/>
      <x:c r="J2" s="26"/>
      <x:c r="K2" s="26"/>
      <x:c r="L2" s="5"/>
      <x:c r="M2" s="5"/>
      <x:c r="N2" s="25" t="s">
        <x:v>12</x:v>
      </x:c>
      <x:c r="O2" s="25" t="s">
        <x:v>6</x:v>
      </x:c>
      <x:c r="P2" s="25" t="s">
        <x:v>13</x:v>
      </x:c>
      <x:c r="Q2" s="25" t="s">
        <x:v>14</x:v>
      </x:c>
      <x:c r="R2" s="5"/>
      <x:c r="S2" s="5"/>
      <x:c r="T2" s="39" t="s">
        <x:v>5</x:v>
      </x:c>
      <x:c r="U2" s="40" t="s">
        <x:v>6</x:v>
      </x:c>
      <x:c r="V2" s="40" t="s">
        <x:v>15</x:v>
      </x:c>
      <x:c r="W2" s="40" t="s">
        <x:v>16</x:v>
      </x:c>
    </x:row>
    <x:row r="3" ht="19.5" customHeight="1">
      <x:c r="A3" s="43" t="s">
        <x:v>17</x:v>
      </x:c>
      <x:c r="B3" s="44" t="n">
        <x:v>25500</x:v>
      </x:c>
      <x:c r="C3" s="44" t="n">
        <x:f>25000</x:f>
        <x:v>25000</x:v>
      </x:c>
      <x:c r="D3" s="44" t="n">
        <x:v>500</x:v>
      </x:c>
      <x:c r="E3" s="44"/>
      <x:c r="F3" s="46"/>
      <x:c r="G3" s="46"/>
      <x:c r="H3" s="26"/>
      <x:c r="I3" s="26"/>
      <x:c r="J3" s="26"/>
      <x:c r="K3" s="26"/>
      <x:c r="L3" s="5"/>
      <x:c r="M3" s="5"/>
      <x:c r="N3" s="48" t="str">
        <x:f t="shared" ref="N3:N13" si="1">"2025 "&amp;A3</x:f>
        <x:v>2025 Feb</x:v>
      </x:c>
      <x:c r="O3" s="50" t="n">
        <x:f t="shared" ref="O3:O13" si="2">B3</x:f>
        <x:v>25500</x:v>
      </x:c>
      <x:c r="P3" s="50" t="n">
        <x:f>C3+SUM(D3)</x:f>
        <x:v>25500</x:v>
      </x:c>
      <x:c r="Q3" s="50" t="n">
        <x:f t="shared" ref="Q3:Q18" si="3">O3-P3</x:f>
        <x:v>0</x:v>
      </x:c>
      <x:c r="R3" s="5"/>
      <x:c r="S3" s="5"/>
      <x:c r="T3" s="5" t="str">
        <x:f t="shared" ref="T3:T13" si="4">A3</x:f>
        <x:v>Feb</x:v>
      </x:c>
      <x:c r="U3" s="51" t="n">
        <x:f t="shared" ref="U3:U13" si="5">IF(B3="","",B3)</x:f>
        <x:v>25500</x:v>
      </x:c>
      <x:c r="V3" s="51" t="n">
        <x:f t="shared" ref="V3:V13" si="6">IF(B3="","",$C$3+SUM($D$3:D3))</x:f>
        <x:v>25500</x:v>
      </x:c>
      <x:c r="W3" s="51" t="n">
        <x:f t="shared" ref="W3:W13" si="7">IF(U3="","",U3-V3)</x:f>
        <x:v>0</x:v>
      </x:c>
    </x:row>
    <x:row r="4" ht="19.5" customHeight="1">
      <x:c r="A4" s="52" t="s">
        <x:v>18</x:v>
      </x:c>
      <x:c r="B4" s="53" t="n">
        <x:v>25959</x:v>
      </x:c>
      <x:c r="C4" s="53" t="n">
        <x:v>25500</x:v>
      </x:c>
      <x:c r="D4" s="53" t="n">
        <x:v>0</x:v>
      </x:c>
      <x:c r="E4" s="54" t="n">
        <x:f t="shared" ref="E4:E13" si="8">B4-C4-D4</x:f>
        <x:v>459</x:v>
      </x:c>
      <x:c r="F4" s="55" t="n">
        <x:f>TRUNC((B4-(C4+D4))/(C4+D4)*100,3)</x:f>
        <x:v>1.799</x:v>
      </x:c>
      <x:c r="G4" s="55" t="n">
        <x:f>TRUNC((F4/100)*100,3)</x:f>
        <x:v>1.799</x:v>
      </x:c>
      <x:c r="H4" s="26"/>
      <x:c r="I4" s="26"/>
      <x:c r="J4" s="26"/>
      <x:c r="K4" s="26"/>
      <x:c r="L4" s="5"/>
      <x:c r="M4" s="5"/>
      <x:c r="N4" s="56" t="str">
        <x:f t="shared" si="1"/>
        <x:v>2025 Mar</x:v>
      </x:c>
      <x:c r="O4" s="57" t="n">
        <x:f t="shared" si="2"/>
        <x:v>25000</x:v>
      </x:c>
      <x:c r="P4" s="57" t="n">
        <x:f>C3+SUM(D3:D4)</x:f>
        <x:v>25500</x:v>
      </x:c>
      <x:c r="Q4" s="57" t="n">
        <x:f t="shared" si="3"/>
        <x:v>425</x:v>
      </x:c>
      <x:c r="R4" s="5"/>
      <x:c r="S4" s="5"/>
      <x:c r="T4" s="5" t="str">
        <x:f t="shared" si="4"/>
        <x:v>Mar</x:v>
      </x:c>
      <x:c r="U4" s="51" t="n">
        <x:f t="shared" si="5"/>
        <x:v>25270</x:v>
      </x:c>
      <x:c r="V4" s="51" t="n">
        <x:f t="shared" si="6"/>
        <x:v>24860</x:v>
      </x:c>
      <x:c r="W4" s="51" t="n">
        <x:f t="shared" si="7"/>
        <x:v>650</x:v>
      </x:c>
    </x:row>
    <x:row r="5" ht="19.5" customHeight="1">
      <x:c r="A5" s="43" t="s">
        <x:v>19</x:v>
      </x:c>
      <x:c r="B5" s="44" t="n">
        <x:v>26075.19</x:v>
      </x:c>
      <x:c r="C5" s="44" t="n">
        <x:v>25959</x:v>
      </x:c>
      <x:c r="D5" s="44" t="n">
        <x:v>300</x:v>
      </x:c>
      <x:c r="E5" s="59" t="n">
        <x:f t="shared" si="8"/>
        <x:v>-183.81</x:v>
      </x:c>
      <x:c r="F5" s="61" t="n">
        <x:f>TRUNC((B5-(C5+D5)+E5)/(C5+D5)*100,3)</x:f>
        <x:v>-1.399</x:v>
      </x:c>
      <x:c r="G5" s="61" t="n">
        <x:f t="shared" ref="G5:G13" si="9">TRUNC(((1+(G4/100))*(1+(F5/100))-1)*100,3)</x:f>
        <x:v>0.374</x:v>
      </x:c>
      <x:c r="H5" s="26"/>
      <x:c r="I5" s="26"/>
      <x:c r="J5" s="26"/>
      <x:c r="K5" s="26"/>
      <x:c r="L5" s="5"/>
      <x:c r="M5" s="5"/>
      <x:c r="N5" s="48" t="str">
        <x:f t="shared" si="1"/>
        <x:v>2025 Abr</x:v>
      </x:c>
      <x:c r="O5" s="50" t="n">
        <x:f t="shared" si="2"/>
        <x:v>25675</x:v>
      </x:c>
      <x:c r="P5" s="50" t="n">
        <x:f>C3+SUM(D3:D5)</x:f>
        <x:v>25800</x:v>
      </x:c>
      <x:c r="Q5" s="50" t="n">
        <x:f t="shared" si="3"/>
        <x:v>350</x:v>
      </x:c>
      <x:c r="R5" s="5"/>
      <x:c r="S5" s="5"/>
      <x:c r="T5" s="5" t="str">
        <x:f t="shared" si="4"/>
        <x:v>Abr</x:v>
      </x:c>
      <x:c r="U5" s="51" t="n">
        <x:f t="shared" si="5"/>
        <x:v>25945</x:v>
      </x:c>
      <x:c r="V5" s="51" t="n">
        <x:f t="shared" si="6"/>
        <x:v>24500</x:v>
      </x:c>
      <x:c r="W5" s="51" t="n">
        <x:f t="shared" si="7"/>
        <x:v>575</x:v>
      </x:c>
    </x:row>
    <x:row r="6" ht="19.5" customHeight="1">
      <x:c r="A6" s="52" t="s">
        <x:v>20</x:v>
      </x:c>
      <x:c r="B6" s="53" t="n">
        <x:v>26700.99</x:v>
      </x:c>
      <x:c r="C6" s="53" t="n">
        <x:v>26075.19</x:v>
      </x:c>
      <x:c r="D6" s="53" t="n">
        <x:v>0</x:v>
      </x:c>
      <x:c r="E6" s="54" t="n">
        <x:f t="shared" si="8"/>
        <x:v>625.8</x:v>
      </x:c>
      <x:c r="F6" s="55" t="n">
        <x:f t="shared" ref="F6:F13" si="10">TRUNC((B6-(C6+D6))/(C6+D6)*100,3)</x:f>
        <x:v>2.399</x:v>
      </x:c>
      <x:c r="G6" s="55" t="n">
        <x:f t="shared" si="9"/>
        <x:v>3.513</x:v>
      </x:c>
      <x:c r="H6" s="26"/>
      <x:c r="I6" s="26"/>
      <x:c r="J6" s="26"/>
      <x:c r="K6" s="26"/>
      <x:c r="L6" s="5"/>
      <x:c r="M6" s="5"/>
      <x:c r="N6" s="56" t="str">
        <x:f t="shared" si="1"/>
        <x:v>2025 May</x:v>
      </x:c>
      <x:c r="O6" s="57" t="n">
        <x:f t="shared" si="2"/>
        <x:v>25270</x:v>
      </x:c>
      <x:c r="P6" s="57" t="n">
        <x:f>C3+SUM(D3:D6)</x:f>
        <x:v>25800</x:v>
      </x:c>
      <x:c r="Q6" s="57" t="n">
        <x:f t="shared" si="3"/>
        <x:v>725</x:v>
      </x:c>
      <x:c r="R6" s="5"/>
      <x:c r="S6" s="5"/>
      <x:c r="T6" s="5" t="str">
        <x:f t="shared" si="4"/>
        <x:v>May</x:v>
      </x:c>
      <x:c r="U6" s="51" t="n">
        <x:f t="shared" si="5"/>
        <x:v>25540</x:v>
      </x:c>
      <x:c r="V6" s="51" t="n">
        <x:f t="shared" si="6"/>
        <x:v>25100</x:v>
      </x:c>
      <x:c r="W6" s="51" t="n">
        <x:f t="shared" si="7"/>
        <x:v>500</x:v>
      </x:c>
    </x:row>
    <x:row r="7" ht="19.5" customHeight="1">
      <x:c r="A7" s="43" t="s">
        <x:v>21</x:v>
      </x:c>
      <x:c r="B7" s="44" t="n">
        <x:v>26994.7</x:v>
      </x:c>
      <x:c r="C7" s="44" t="n">
        <x:v>26700.99</x:v>
      </x:c>
      <x:c r="D7" s="44" t="n">
        <x:v>0</x:v>
      </x:c>
      <x:c r="E7" s="59" t="n">
        <x:f t="shared" si="8"/>
        <x:v>293.71</x:v>
      </x:c>
      <x:c r="F7" s="61" t="n">
        <x:f t="shared" si="10"/>
        <x:v>1.1</x:v>
      </x:c>
      <x:c r="G7" s="61" t="n">
        <x:f t="shared" si="9"/>
        <x:v>4.652</x:v>
      </x:c>
      <x:c r="H7" s="26"/>
      <x:c r="I7" s="26"/>
      <x:c r="J7" s="26"/>
      <x:c r="K7" s="26"/>
      <x:c r="L7" s="5"/>
      <x:c r="M7" s="5"/>
      <x:c r="N7" s="48" t="str">
        <x:f t="shared" si="1"/>
        <x:v>2025 Jun</x:v>
      </x:c>
      <x:c r="O7" s="50" t="n">
        <x:f t="shared" si="2"/>
        <x:v>25945</x:v>
      </x:c>
      <x:c r="P7" s="50" t="n">
        <x:f>C3+SUM(D3:D7)</x:f>
        <x:v>25800</x:v>
      </x:c>
      <x:c r="Q7" s="50" t="n">
        <x:f t="shared" si="3"/>
        <x:v>650</x:v>
      </x:c>
      <x:c r="R7" s="5"/>
      <x:c r="S7" s="5"/>
      <x:c r="T7" s="5" t="str">
        <x:f t="shared" si="4"/>
        <x:v>Jun</x:v>
      </x:c>
      <x:c r="U7" s="51" t="n">
        <x:f t="shared" si="5"/>
        <x:v>25135</x:v>
      </x:c>
      <x:c r="V7" s="51" t="n">
        <x:f t="shared" si="6"/>
        <x:v>24740</x:v>
      </x:c>
      <x:c r="W7" s="51" t="n">
        <x:f t="shared" si="7"/>
        <x:v>425</x:v>
      </x:c>
    </x:row>
    <x:row r="8" ht="19.5" customHeight="1">
      <x:c r="A8" s="52" t="s">
        <x:v>22</x:v>
      </x:c>
      <x:c r="B8" s="53" t="n">
        <x:v>26890.52</x:v>
      </x:c>
      <x:c r="C8" s="53" t="n">
        <x:v>26994.7</x:v>
      </x:c>
      <x:c r="D8" s="53" t="n">
        <x:v>250</x:v>
      </x:c>
      <x:c r="E8" s="54" t="n">
        <x:f t="shared" si="8"/>
        <x:v>-354.18</x:v>
      </x:c>
      <x:c r="F8" s="55" t="n">
        <x:f t="shared" si="10"/>
        <x:v>-1.3</x:v>
      </x:c>
      <x:c r="G8" s="55" t="n">
        <x:f t="shared" si="9"/>
        <x:v>3.292</x:v>
      </x:c>
      <x:c r="H8" s="26"/>
      <x:c r="I8" s="26"/>
      <x:c r="J8" s="26"/>
      <x:c r="K8" s="26"/>
      <x:c r="L8" s="5"/>
      <x:c r="M8" s="5"/>
      <x:c r="N8" s="56" t="str">
        <x:f t="shared" si="1"/>
        <x:v>2025 Jul</x:v>
      </x:c>
      <x:c r="O8" s="57" t="n">
        <x:f t="shared" si="2"/>
        <x:v>25540</x:v>
      </x:c>
      <x:c r="P8" s="57" t="n">
        <x:f>C3+SUM(D3:D8)</x:f>
        <x:v>26050</x:v>
      </x:c>
      <x:c r="Q8" s="57" t="n">
        <x:f t="shared" si="3"/>
        <x:v>575</x:v>
      </x:c>
      <x:c r="R8" s="5"/>
      <x:c r="S8" s="5"/>
      <x:c r="T8" s="5" t="str">
        <x:f t="shared" si="4"/>
        <x:v>Jul</x:v>
      </x:c>
      <x:c r="U8" s="51" t="n">
        <x:f t="shared" si="5"/>
        <x:v>25810</x:v>
      </x:c>
      <x:c r="V8" s="51" t="n">
        <x:f t="shared" si="6"/>
        <x:v>25340</x:v>
      </x:c>
      <x:c r="W8" s="51" t="n">
        <x:f t="shared" si="7"/>
        <x:v>350</x:v>
      </x:c>
    </x:row>
    <x:row r="9" ht="19.5" customHeight="1">
      <x:c r="A9" s="43" t="s">
        <x:v>23</x:v>
      </x:c>
      <x:c r="B9" s="44" t="n">
        <x:v>27132.53</x:v>
      </x:c>
      <x:c r="C9" s="44" t="n">
        <x:v>26890.52</x:v>
      </x:c>
      <x:c r="D9" s="44" t="n">
        <x:v>0</x:v>
      </x:c>
      <x:c r="E9" s="59" t="n">
        <x:f t="shared" si="8"/>
        <x:v>242.01</x:v>
      </x:c>
      <x:c r="F9" s="61" t="n">
        <x:f t="shared" si="10"/>
        <x:v>0.9</x:v>
      </x:c>
      <x:c r="G9" s="61" t="n">
        <x:f t="shared" si="9"/>
        <x:v>4.222</x:v>
      </x:c>
      <x:c r="H9" s="26"/>
      <x:c r="I9" s="26"/>
      <x:c r="J9" s="26"/>
      <x:c r="K9" s="26"/>
      <x:c r="L9" s="5"/>
      <x:c r="M9" s="5"/>
      <x:c r="N9" s="48" t="str">
        <x:f t="shared" si="1"/>
        <x:v>2025 Ago</x:v>
      </x:c>
      <x:c r="O9" s="50" t="n">
        <x:f t="shared" si="2"/>
        <x:v>25135</x:v>
      </x:c>
      <x:c r="P9" s="50" t="n">
        <x:f>C3+SUM(D3:D9)</x:f>
        <x:v>26050</x:v>
      </x:c>
      <x:c r="Q9" s="50" t="n">
        <x:f t="shared" si="3"/>
        <x:v>500</x:v>
      </x:c>
      <x:c r="R9" s="5"/>
      <x:c r="S9" s="5"/>
      <x:c r="T9" s="5" t="str">
        <x:f t="shared" si="4"/>
        <x:v>Ago</x:v>
      </x:c>
      <x:c r="U9" s="51" t="n">
        <x:f t="shared" si="5"/>
        <x:v>25405</x:v>
      </x:c>
      <x:c r="V9" s="51" t="n">
        <x:f t="shared" si="6"/>
        <x:v>24980</x:v>
      </x:c>
      <x:c r="W9" s="51" t="n">
        <x:f t="shared" si="7"/>
        <x:v>725</x:v>
      </x:c>
    </x:row>
    <x:row r="10" ht="19.5" customHeight="1">
      <x:c r="A10" s="52" t="s">
        <x:v>24</x:v>
      </x:c>
      <x:c r="B10" s="53" t="n">
        <x:v>27566.65</x:v>
      </x:c>
      <x:c r="C10" s="53" t="n">
        <x:v>27132.53</x:v>
      </x:c>
      <x:c r="D10" s="53" t="n">
        <x:v>0</x:v>
      </x:c>
      <x:c r="E10" s="54" t="n">
        <x:f t="shared" si="8"/>
        <x:v>434.12</x:v>
      </x:c>
      <x:c r="F10" s="55" t="n">
        <x:f t="shared" si="10"/>
        <x:v>1.6</x:v>
      </x:c>
      <x:c r="G10" s="55" t="n">
        <x:f t="shared" si="9"/>
        <x:v>5.89</x:v>
      </x:c>
      <x:c r="H10" s="26"/>
      <x:c r="I10" s="26"/>
      <x:c r="J10" s="26"/>
      <x:c r="K10" s="26"/>
      <x:c r="L10" s="5"/>
      <x:c r="M10" s="5"/>
      <x:c r="N10" s="56" t="str">
        <x:f t="shared" si="1"/>
        <x:v>2025 Sep</x:v>
      </x:c>
      <x:c r="O10" s="57" t="n">
        <x:f t="shared" si="2"/>
        <x:v>25810</x:v>
      </x:c>
      <x:c r="P10" s="57" t="n">
        <x:f>C3+SUM(D3:D10)</x:f>
        <x:v>26050</x:v>
      </x:c>
      <x:c r="Q10" s="57" t="n">
        <x:f t="shared" si="3"/>
        <x:v>425</x:v>
      </x:c>
      <x:c r="R10" s="5"/>
      <x:c r="S10" s="5"/>
      <x:c r="T10" s="5" t="str">
        <x:f t="shared" si="4"/>
        <x:v>Sep</x:v>
      </x:c>
      <x:c r="U10" s="51" t="n">
        <x:f t="shared" si="5"/>
        <x:v>25000</x:v>
      </x:c>
      <x:c r="V10" s="51" t="n">
        <x:f t="shared" si="6"/>
        <x:v>24620</x:v>
      </x:c>
      <x:c r="W10" s="51" t="n">
        <x:f t="shared" si="7"/>
        <x:v>650</x:v>
      </x:c>
    </x:row>
    <x:row r="11" ht="19.5" customHeight="1">
      <x:c r="A11" s="43" t="s">
        <x:v>25</x:v>
      </x:c>
      <x:c r="B11" s="44" t="n">
        <x:v>27854.78</x:v>
      </x:c>
      <x:c r="C11" s="44" t="n">
        <x:v>27566.65</x:v>
      </x:c>
      <x:c r="D11" s="44" t="n">
        <x:v>400</x:v>
      </x:c>
      <x:c r="E11" s="59" t="n">
        <x:f t="shared" si="8"/>
        <x:v>-111.87</x:v>
      </x:c>
      <x:c r="F11" s="61" t="n">
        <x:f t="shared" si="10"/>
        <x:v>-0.4</x:v>
      </x:c>
      <x:c r="G11" s="61" t="n">
        <x:f t="shared" si="9"/>
        <x:v>5.466</x:v>
      </x:c>
      <x:c r="H11" s="26"/>
      <x:c r="I11" s="26"/>
      <x:c r="J11" s="26"/>
      <x:c r="K11" s="26"/>
      <x:c r="L11" s="5"/>
      <x:c r="M11" s="5"/>
      <x:c r="N11" s="48" t="str">
        <x:f t="shared" si="1"/>
        <x:v>2025 Oct</x:v>
      </x:c>
      <x:c r="O11" s="50" t="n">
        <x:f t="shared" si="2"/>
        <x:v>25405</x:v>
      </x:c>
      <x:c r="P11" s="50" t="n">
        <x:f>C3+SUM(D3:D11)</x:f>
        <x:v>26450</x:v>
      </x:c>
      <x:c r="Q11" s="50" t="n">
        <x:f t="shared" si="3"/>
        <x:v>350</x:v>
      </x:c>
      <x:c r="R11" s="5"/>
      <x:c r="S11" s="5"/>
      <x:c r="T11" s="5" t="str">
        <x:f t="shared" si="4"/>
        <x:v>Oct</x:v>
      </x:c>
      <x:c r="U11" s="51" t="n">
        <x:f t="shared" si="5"/>
        <x:v>25675</x:v>
      </x:c>
      <x:c r="V11" s="51" t="n">
        <x:f t="shared" si="6"/>
        <x:v>25220</x:v>
      </x:c>
      <x:c r="W11" s="51" t="n">
        <x:f t="shared" si="7"/>
        <x:v>575</x:v>
      </x:c>
    </x:row>
    <x:row r="12" ht="19.5" customHeight="1">
      <x:c r="A12" s="52" t="s">
        <x:v>26</x:v>
      </x:c>
      <x:c r="B12" s="53" t="n">
        <x:v>28439.73</x:v>
      </x:c>
      <x:c r="C12" s="53" t="n">
        <x:v>27854.78</x:v>
      </x:c>
      <x:c r="D12" s="53" t="n">
        <x:v>0</x:v>
      </x:c>
      <x:c r="E12" s="54" t="n">
        <x:f t="shared" si="8"/>
        <x:v>584.95</x:v>
      </x:c>
      <x:c r="F12" s="55" t="n">
        <x:f t="shared" si="10"/>
        <x:v>2.1</x:v>
      </x:c>
      <x:c r="G12" s="55" t="n">
        <x:f t="shared" si="9"/>
        <x:v>7.681</x:v>
      </x:c>
      <x:c r="H12" s="26"/>
      <x:c r="I12" s="26"/>
      <x:c r="J12" s="26"/>
      <x:c r="K12" s="26"/>
      <x:c r="L12" s="5"/>
      <x:c r="M12" s="5"/>
      <x:c r="N12" s="56" t="str">
        <x:f t="shared" si="1"/>
        <x:v>2025 Nov</x:v>
      </x:c>
      <x:c r="O12" s="57" t="n">
        <x:f t="shared" si="2"/>
        <x:v>25000</x:v>
      </x:c>
      <x:c r="P12" s="57" t="n">
        <x:f>C3+SUM(D3:D12)</x:f>
        <x:v>26450</x:v>
      </x:c>
      <x:c r="Q12" s="57" t="n">
        <x:f t="shared" si="3"/>
        <x:v>725</x:v>
      </x:c>
      <x:c r="R12" s="5"/>
      <x:c r="S12" s="5"/>
      <x:c r="T12" s="5" t="str">
        <x:f t="shared" si="4"/>
        <x:v>Nov</x:v>
      </x:c>
      <x:c r="U12" s="51" t="n">
        <x:f t="shared" si="5"/>
        <x:v>25270</x:v>
      </x:c>
      <x:c r="V12" s="51" t="n">
        <x:f t="shared" si="6"/>
        <x:v>24860</x:v>
      </x:c>
      <x:c r="W12" s="51" t="n">
        <x:f t="shared" si="7"/>
        <x:v>500</x:v>
      </x:c>
    </x:row>
    <x:row r="13" ht="19.5" customHeight="1">
      <x:c r="A13" s="43" t="s">
        <x:v>27</x:v>
      </x:c>
      <x:c r="B13" s="44" t="n">
        <x:v>28667.25</x:v>
      </x:c>
      <x:c r="C13" s="44" t="n">
        <x:v>28439.73</x:v>
      </x:c>
      <x:c r="D13" s="44" t="n">
        <x:v>0</x:v>
      </x:c>
      <x:c r="E13" s="59" t="n">
        <x:f t="shared" si="8"/>
        <x:v>227.52</x:v>
      </x:c>
      <x:c r="F13" s="61" t="n">
        <x:f t="shared" si="10"/>
        <x:v>0.8</x:v>
      </x:c>
      <x:c r="G13" s="61" t="n">
        <x:f t="shared" si="9"/>
        <x:v>8.542</x:v>
      </x:c>
      <x:c r="H13" s="26"/>
      <x:c r="I13" s="26"/>
      <x:c r="J13" s="26"/>
      <x:c r="K13" s="26"/>
      <x:c r="L13" s="5"/>
      <x:c r="M13" s="5"/>
      <x:c r="N13" s="48" t="str">
        <x:f t="shared" si="1"/>
        <x:v>2025 Dic</x:v>
      </x:c>
      <x:c r="O13" s="50" t="n">
        <x:f t="shared" si="2"/>
        <x:v>25675</x:v>
      </x:c>
      <x:c r="P13" s="50" t="n">
        <x:f>C3+SUM(D3:D13)</x:f>
        <x:v>26450</x:v>
      </x:c>
      <x:c r="Q13" s="50" t="n">
        <x:f t="shared" si="3"/>
        <x:v>650</x:v>
      </x:c>
      <x:c r="R13" s="5"/>
      <x:c r="S13" s="5"/>
      <x:c r="T13" s="5" t="str">
        <x:f t="shared" si="4"/>
        <x:v>Dic</x:v>
      </x:c>
      <x:c r="U13" s="51" t="n">
        <x:f t="shared" si="5"/>
        <x:v>25945</x:v>
      </x:c>
      <x:c r="V13" s="51" t="n">
        <x:f t="shared" si="6"/>
        <x:v>24500</x:v>
      </x:c>
      <x:c r="W13" s="51" t="n">
        <x:f t="shared" si="7"/>
        <x:v>425</x:v>
      </x:c>
    </x:row>
    <x:row r="14" ht="19.5" customHeight="1">
      <x:c r="A14" s="70" t="s">
        <x:v>28</x:v>
      </x:c>
      <x:c r="B14" s="71" t="n">
        <x:f>B13</x:f>
        <x:v>28667.25</x:v>
      </x:c>
      <x:c r="C14" s="71" t="n">
        <x:f>C3</x:f>
        <x:v>25000</x:v>
      </x:c>
      <x:c r="D14" s="71" t="n">
        <x:f>SUM(D3:D13)</x:f>
        <x:v>1450</x:v>
      </x:c>
      <x:c r="E14" s="71" t="n">
        <x:f>SUM(E4:E13)</x:f>
        <x:v>2217.2500000000005</x:v>
      </x:c>
      <x:c r="F14" s="72" t="n">
        <x:f>(B14-C14-D14)/(B14+D14)</x:f>
        <x:v>0.07362059949032532</x:v>
      </x:c>
      <x:c r="G14" s="73" t="n">
        <x:f>MAX(G4, G4:G13)</x:f>
        <x:v>8.542</x:v>
      </x:c>
      <x:c r="H14" s="26"/>
      <x:c r="I14" s="26"/>
      <x:c r="J14" s="26"/>
      <x:c r="K14" s="26"/>
      <x:c r="L14" s="5"/>
      <x:c r="M14" s="5"/>
      <x:c r="N14" s="56" t="str">
        <x:f t="shared" ref="N14:N25" si="11">"2026 "&amp;A19</x:f>
        <x:v>2026 Ene</x:v>
      </x:c>
      <x:c r="O14" s="57" t="n">
        <x:f t="shared" ref="O14:O25" si="12">B19</x:f>
        <x:v>29604.76</x:v>
      </x:c>
      <x:c r="P14" s="57" t="n">
        <x:f>C3+SUM(D3:D13)+SUM(D19)</x:f>
        <x:v>26950</x:v>
      </x:c>
      <x:c r="Q14" s="57" t="n">
        <x:f t="shared" si="3"/>
        <x:v>500</x:v>
      </x:c>
      <x:c r="R14" s="5"/>
      <x:c r="S14" s="5"/>
      <x:c r="T14" s="5"/>
      <x:c r="U14" s="51"/>
      <x:c r="V14" s="51"/>
      <x:c r="W14" s="51"/>
    </x:row>
    <x:row r="15" ht="19.5" customHeight="1">
      <x:c r="A15" s="74" t="s">
        <x:v>29</x:v>
      </x:c>
      <x:c r="B15" s="76" t="e">
        <x:f>IFERROR(__xludf.DUMMYFUNCTION("IF(IFERROR(COUNT(FILTER(Calendario!$D$3:$D$1000,Calendario!$A$3:$A$1000&lt;&gt;"""",YEAR(Calendario!$A$3:$A$1000)=2025,ISNUMBER(Calendario!$D$3:$D$1000))),0)&gt;=2,TRUNC(STDEV(FILTER(Calendario!$D$3:$D$1000,Calendario!$A$3:$A$1000&lt;&gt;"""",YEAR(Calendario!$A$3:$A$100"&amp;"0)=2025,ISNUMBER(Calendario!$D$3:$D$1000)))*SQRT(252),2),TRUNC(STDEV(F4:F13)*SQRT(12),2))"),6.02)</x:f>
        <x:v>#NAME?</x:v>
      </x:c>
      <x:c r="C15" s="78"/>
      <x:c r="D15" s="78"/>
      <x:c r="E15" s="78"/>
      <x:c r="F15" s="81"/>
      <x:c r="G15" s="81"/>
      <x:c r="H15" s="26"/>
      <x:c r="I15" s="26"/>
      <x:c r="J15" s="26"/>
      <x:c r="K15" s="26"/>
      <x:c r="L15" s="5"/>
      <x:c r="M15" s="5"/>
      <x:c r="N15" s="48" t="str">
        <x:f t="shared" si="11"/>
        <x:v>2026 Feb</x:v>
      </x:c>
      <x:c r="O15" s="50" t="n">
        <x:f t="shared" si="12"/>
        <x:v>25405</x:v>
      </x:c>
      <x:c r="P15" s="50" t="n">
        <x:f>C3+SUM(D3:D13)+SUM(D19:D20)</x:f>
        <x:v>26950</x:v>
      </x:c>
      <x:c r="Q15" s="50" t="n">
        <x:f t="shared" si="3"/>
        <x:v>650</x:v>
      </x:c>
      <x:c r="R15" s="5"/>
      <x:c r="S15" s="5"/>
      <x:c r="T15" s="5"/>
      <x:c r="U15" s="51"/>
      <x:c r="V15" s="51"/>
      <x:c r="W15" s="51"/>
    </x:row>
    <x:row r="16" ht="19.5" customHeight="1">
      <x:c r="A16" s="26"/>
      <x:c r="B16" s="26"/>
      <x:c r="C16" s="26"/>
      <x:c r="D16" s="26"/>
      <x:c r="E16" s="26"/>
      <x:c r="F16" s="26"/>
      <x:c r="G16" s="26"/>
      <x:c r="H16" s="26"/>
      <x:c r="I16" s="26"/>
      <x:c r="J16" s="26"/>
      <x:c r="K16" s="26"/>
      <x:c r="L16" s="5"/>
      <x:c r="M16" s="5"/>
      <x:c r="N16" s="56" t="str">
        <x:f t="shared" si="11"/>
        <x:v>2026 Mar</x:v>
      </x:c>
      <x:c r="O16" s="57" t="n">
        <x:f t="shared" si="12"/>
        <x:v>25675</x:v>
      </x:c>
      <x:c r="P16" s="57" t="n">
        <x:f>C3+SUM(D3:D13)+SUM(D19:D21)</x:f>
        <x:v>26950</x:v>
      </x:c>
      <x:c r="Q16" s="57" t="n">
        <x:f t="shared" si="3"/>
        <x:v>350</x:v>
      </x:c>
      <x:c r="R16" s="5"/>
      <x:c r="S16" s="5"/>
      <x:c r="T16" s="5"/>
      <x:c r="U16" s="51"/>
      <x:c r="V16" s="51"/>
      <x:c r="W16" s="51"/>
    </x:row>
    <x:row r="17" ht="22.5" customHeight="1">
      <x:c r="A17" s="87" t="s">
        <x:v>30</x:v>
      </x:c>
      <x:c r="B17" s="32"/>
      <x:c r="C17" s="32"/>
      <x:c r="D17" s="32"/>
      <x:c r="E17" s="32"/>
      <x:c r="F17" s="32"/>
      <x:c r="G17" s="32"/>
      <x:c r="H17" s="26"/>
      <x:c r="I17" s="26"/>
      <x:c r="J17" s="26"/>
      <x:c r="K17" s="26"/>
      <x:c r="L17" s="5"/>
      <x:c r="M17" s="5"/>
      <x:c r="N17" s="48" t="str">
        <x:f t="shared" si="11"/>
        <x:v>2026 Abr</x:v>
      </x:c>
      <x:c r="O17" s="50" t="n">
        <x:f t="shared" si="12"/>
        <x:v>25945</x:v>
      </x:c>
      <x:c r="P17" s="50" t="n">
        <x:f>C3+SUM(D3:D13)+SUM(D19:D22)</x:f>
        <x:v>27700</x:v>
      </x:c>
      <x:c r="Q17" s="50" t="n">
        <x:f t="shared" si="3"/>
        <x:v>500</x:v>
      </x:c>
      <x:c r="R17" s="5"/>
      <x:c r="S17" s="5"/>
      <x:c r="T17" s="39" t="s">
        <x:v>5</x:v>
      </x:c>
      <x:c r="U17" s="40" t="s">
        <x:v>6</x:v>
      </x:c>
      <x:c r="V17" s="40" t="s">
        <x:v>15</x:v>
      </x:c>
      <x:c r="W17" s="40" t="s">
        <x:v>16</x:v>
      </x:c>
    </x:row>
    <x:row r="18" ht="29.25" customHeight="1">
      <x:c r="A18" s="25" t="s">
        <x:v>5</x:v>
      </x:c>
      <x:c r="B18" s="25" t="s">
        <x:v>6</x:v>
      </x:c>
      <x:c r="C18" s="25" t="s">
        <x:v>7</x:v>
      </x:c>
      <x:c r="D18" s="90" t="s">
        <x:v>8</x:v>
      </x:c>
      <x:c r="E18" s="25" t="s">
        <x:v>9</x:v>
      </x:c>
      <x:c r="F18" s="25" t="s">
        <x:v>31</x:v>
      </x:c>
      <x:c r="G18" s="25" t="s">
        <x:v>11</x:v>
      </x:c>
      <x:c r="H18" s="36"/>
      <x:c r="I18" s="26"/>
      <x:c r="J18" s="26"/>
      <x:c r="K18" s="26"/>
      <x:c r="L18" s="5"/>
      <x:c r="M18" s="5"/>
      <x:c r="N18" s="56" t="str">
        <x:f t="shared" si="11"/>
        <x:v>2026 May</x:v>
      </x:c>
      <x:c r="O18" s="57" t="n">
        <x:f t="shared" si="12"/>
        <x:v>25135</x:v>
      </x:c>
      <x:c r="P18" s="57" t="n">
        <x:f>C3+SUM(D3:D13)+SUM(D19:D23)</x:f>
        <x:v>27700</x:v>
      </x:c>
      <x:c r="Q18" s="57" t="n">
        <x:f t="shared" si="3"/>
        <x:v>650</x:v>
      </x:c>
      <x:c r="R18" s="5"/>
      <x:c r="S18" s="5"/>
      <x:c r="T18" s="5" t="str">
        <x:f t="shared" ref="T18:T29" si="13">A19</x:f>
        <x:v>Ene</x:v>
      </x:c>
      <x:c r="U18" s="51" t="n">
        <x:f t="shared" ref="U18:U29" si="14">IF(B19="","",B19)</x:f>
        <x:v>29604.76</x:v>
      </x:c>
      <x:c r="V18" s="51" t="n">
        <x:f t="shared" ref="V18:V29" si="15">IF(U18="","",$C$19+SUM($D$19:D19))</x:f>
        <x:v>29167.25</x:v>
      </x:c>
      <x:c r="W18" s="51" t="n">
        <x:f t="shared" ref="W18:W29" si="16">IF(U18="","",U18-V18)</x:f>
        <x:v>437.5099999999984</x:v>
      </x:c>
    </x:row>
    <x:row r="19" ht="19.5" customHeight="1">
      <x:c r="A19" s="43" t="s">
        <x:v>32</x:v>
      </x:c>
      <x:c r="B19" s="44" t="n">
        <x:v>29604.76</x:v>
      </x:c>
      <x:c r="C19" s="59" t="n">
        <x:f>28667.25</x:f>
        <x:v>28667.25</x:v>
      </x:c>
      <x:c r="D19" s="93" t="n">
        <x:v>500</x:v>
      </x:c>
      <x:c r="E19" s="59" t="n">
        <x:f t="shared" ref="E19:E25" si="17">B19-C19-D19</x:f>
        <x:v>437.5099999999984</x:v>
      </x:c>
      <x:c r="F19" s="61" t="n">
        <x:f t="shared" ref="F19:F25" si="18">TRUNC((B19-(C19+D19))/(C19+D19)*100,3)</x:f>
        <x:v>1.5</x:v>
      </x:c>
      <x:c r="G19" s="61" t="n">
        <x:f>TRUNC((F19/100)*100,3)</x:f>
        <x:v>1.5</x:v>
      </x:c>
      <x:c r="H19" s="26"/>
      <x:c r="I19" s="26"/>
      <x:c r="J19" s="26"/>
      <x:c r="K19" s="26"/>
      <x:c r="L19" s="5"/>
      <x:c r="M19" s="5"/>
      <x:c r="N19" s="56" t="str">
        <x:f t="shared" si="11"/>
        <x:v>2026 Jun</x:v>
      </x:c>
      <x:c r="O19" s="57" t="n">
        <x:f t="shared" si="12"/>
        <x:v>25405</x:v>
      </x:c>
      <x:c r="P19" s="57" t="n">
        <x:f>IF(O19="","",C3+SUM(D3:D13)+SUM(D19:D24))</x:f>
        <x:v>27700</x:v>
      </x:c>
      <x:c r="Q19" s="57" t="n">
        <x:f t="shared" ref="Q19:Q25" si="19">IF(O19="","",O19-P19)</x:f>
        <x:v>-2295</x:v>
      </x:c>
      <x:c r="R19" s="5"/>
      <x:c r="S19" s="5"/>
      <x:c r="T19" s="5" t="str">
        <x:f t="shared" si="13"/>
        <x:v>Feb</x:v>
      </x:c>
      <x:c r="U19" s="51" t="n">
        <x:f t="shared" si="14"/>
        <x:v>25540</x:v>
      </x:c>
      <x:c r="V19" s="51" t="n">
        <x:f t="shared" si="15"/>
        <x:v>25100</x:v>
      </x:c>
      <x:c r="W19" s="51" t="n">
        <x:f t="shared" si="16"/>
        <x:v>500</x:v>
      </x:c>
    </x:row>
    <x:row r="20" ht="19.5" customHeight="1">
      <x:c r="A20" s="52" t="s">
        <x:v>17</x:v>
      </x:c>
      <x:c r="B20" s="53" t="n">
        <x:v>30196.86</x:v>
      </x:c>
      <x:c r="C20" s="54" t="n">
        <x:f t="shared" ref="C20:C30" si="20">B19</x:f>
        <x:v>29604.76</x:v>
      </x:c>
      <x:c r="D20" s="93" t="n">
        <x:v>0</x:v>
      </x:c>
      <x:c r="E20" s="54" t="n">
        <x:f t="shared" si="17"/>
        <x:v>592.1</x:v>
      </x:c>
      <x:c r="F20" s="55" t="n">
        <x:f t="shared" si="18"/>
        <x:v>2</x:v>
      </x:c>
      <x:c r="G20" s="55" t="n">
        <x:f t="shared" ref="G20:G25" si="21">TRUNC(((1+(G19/100))*(1+(F20/100))-1)*100,3)</x:f>
        <x:v>3.529</x:v>
      </x:c>
      <x:c r="H20" s="26"/>
      <x:c r="I20" s="26"/>
      <x:c r="J20" s="26"/>
      <x:c r="K20" s="26"/>
      <x:c r="L20" s="5"/>
      <x:c r="M20" s="5"/>
      <x:c r="N20" s="48" t="str">
        <x:f t="shared" si="11"/>
        <x:v>2026 Jul</x:v>
      </x:c>
      <x:c r="O20" s="50" t="n">
        <x:f t="shared" si="12"/>
        <x:v>25945</x:v>
      </x:c>
      <x:c r="P20" s="50" t="n">
        <x:f>IF(O20="","",C3+SUM(D3:D13)+SUM(D19:D25))</x:f>
        <x:v>27950</x:v>
      </x:c>
      <x:c r="Q20" s="50" t="n">
        <x:f t="shared" si="19"/>
        <x:v>650</x:v>
      </x:c>
      <x:c r="R20" s="5"/>
      <x:c r="S20" s="5"/>
      <x:c r="T20" s="5" t="str">
        <x:f t="shared" si="13"/>
        <x:v>Mar</x:v>
      </x:c>
      <x:c r="U20" s="51" t="n">
        <x:f t="shared" si="14"/>
        <x:v>25135</x:v>
      </x:c>
      <x:c r="V20" s="51" t="n">
        <x:f t="shared" si="15"/>
        <x:v>24740</x:v>
      </x:c>
      <x:c r="W20" s="51" t="n">
        <x:f t="shared" si="16"/>
        <x:v>425</x:v>
      </x:c>
    </x:row>
    <x:row r="21" ht="19.5" customHeight="1">
      <x:c r="A21" s="43" t="s">
        <x:v>18</x:v>
      </x:c>
      <x:c r="B21" s="44" t="n">
        <x:v>30015.68</x:v>
      </x:c>
      <x:c r="C21" s="59" t="n">
        <x:f t="shared" si="20"/>
        <x:v>30196.86</x:v>
      </x:c>
      <x:c r="D21" s="93" t="n">
        <x:v>0</x:v>
      </x:c>
      <x:c r="E21" s="59" t="n">
        <x:f t="shared" si="17"/>
        <x:v>-181.18</x:v>
      </x:c>
      <x:c r="F21" s="61" t="n">
        <x:f t="shared" si="18"/>
        <x:v>-0.6</x:v>
      </x:c>
      <x:c r="G21" s="61" t="n">
        <x:f t="shared" si="21"/>
        <x:v>11.699</x:v>
      </x:c>
      <x:c r="H21" s="26"/>
      <x:c r="I21" s="26"/>
      <x:c r="J21" s="26"/>
      <x:c r="K21" s="26"/>
      <x:c r="L21" s="5"/>
      <x:c r="M21" s="5"/>
      <x:c r="N21" s="56" t="str">
        <x:f t="shared" si="11"/>
        <x:v>2026 Ago</x:v>
      </x:c>
      <x:c r="O21" s="57" t="n">
        <x:f t="shared" si="12"/>
        <x:v>25540</x:v>
      </x:c>
      <x:c r="P21" s="57" t="n">
        <x:f>IF(O21="","",C3+SUM(D3:D13)+SUM(D19:D26))</x:f>
        <x:v>27950</x:v>
      </x:c>
      <x:c r="Q21" s="57" t="n">
        <x:f t="shared" si="19"/>
        <x:v>575</x:v>
      </x:c>
      <x:c r="R21" s="5"/>
      <x:c r="S21" s="5"/>
      <x:c r="T21" s="5" t="str">
        <x:f t="shared" si="13"/>
        <x:v>Abr</x:v>
      </x:c>
      <x:c r="U21" s="51" t="n">
        <x:f t="shared" si="14"/>
        <x:v>25810</x:v>
      </x:c>
      <x:c r="V21" s="51" t="n">
        <x:f t="shared" si="15"/>
        <x:v>25340</x:v>
      </x:c>
      <x:c r="W21" s="51" t="n">
        <x:f t="shared" si="16"/>
        <x:v>350</x:v>
      </x:c>
    </x:row>
    <x:row r="22" ht="19.5" customHeight="1">
      <x:c r="A22" s="52" t="s">
        <x:v>19</x:v>
      </x:c>
      <x:c r="B22" s="53" t="n">
        <x:v>30027.3</x:v>
      </x:c>
      <x:c r="C22" s="54" t="n">
        <x:f t="shared" si="20"/>
        <x:v>30015.68</x:v>
      </x:c>
      <x:c r="D22" s="93" t="n">
        <x:v>750</x:v>
      </x:c>
      <x:c r="E22" s="54" t="n">
        <x:f t="shared" si="17"/>
        <x:v>-738.38</x:v>
      </x:c>
      <x:c r="F22" s="55" t="n">
        <x:f t="shared" si="18"/>
        <x:v>-2.4</x:v>
      </x:c>
      <x:c r="G22" s="55" t="n">
        <x:f t="shared" si="21"/>
        <x:v>9.018</x:v>
      </x:c>
      <x:c r="H22" s="26"/>
      <x:c r="I22" s="26"/>
      <x:c r="J22" s="26"/>
      <x:c r="K22" s="26"/>
      <x:c r="L22" s="5"/>
      <x:c r="M22" s="5"/>
      <x:c r="N22" s="48" t="str">
        <x:f t="shared" si="11"/>
        <x:v>2026 Sep</x:v>
      </x:c>
      <x:c r="O22" s="50" t="str">
        <x:f t="shared" si="12"/>
      </x:c>
      <x:c r="P22" s="50" t="str">
        <x:f>IF(O22="","",C3+SUM(D3:D13)+SUM(D19:D27))</x:f>
      </x:c>
      <x:c r="Q22" s="50" t="str">
        <x:f t="shared" si="19"/>
      </x:c>
      <x:c r="R22" s="5"/>
      <x:c r="S22" s="5"/>
      <x:c r="T22" s="5" t="str">
        <x:f t="shared" si="13"/>
        <x:v>May</x:v>
      </x:c>
      <x:c r="U22" s="51" t="n">
        <x:f t="shared" si="14"/>
        <x:v>25135</x:v>
      </x:c>
      <x:c r="V22" s="51" t="n">
        <x:f t="shared" si="15"/>
        <x:v>24740</x:v>
      </x:c>
      <x:c r="W22" s="51" t="n">
        <x:f t="shared" si="16"/>
        <x:v>575</x:v>
      </x:c>
    </x:row>
    <x:row r="23" ht="19.5" customHeight="1">
      <x:c r="A23" s="43" t="s">
        <x:v>20</x:v>
      </x:c>
      <x:c r="B23" s="100" t="n">
        <x:v>30958.15</x:v>
      </x:c>
      <x:c r="C23" s="59" t="n">
        <x:f t="shared" si="20"/>
        <x:v>30027.3</x:v>
      </x:c>
      <x:c r="D23" s="83" t="n">
        <x:v>0</x:v>
      </x:c>
      <x:c r="E23" s="59" t="n">
        <x:f t="shared" si="17"/>
        <x:v>930.85</x:v>
      </x:c>
      <x:c r="F23" s="61" t="n">
        <x:f t="shared" si="18"/>
        <x:v>3.1</x:v>
      </x:c>
      <x:c r="G23" s="61" t="n">
        <x:f t="shared" si="21"/>
        <x:v>12.398</x:v>
      </x:c>
      <x:c r="H23" s="26"/>
      <x:c r="I23" s="26"/>
      <x:c r="J23" s="26"/>
      <x:c r="K23" s="26"/>
      <x:c r="L23" s="5"/>
      <x:c r="M23" s="5"/>
      <x:c r="N23" s="56" t="str">
        <x:f t="shared" si="11"/>
        <x:v>2026 Oct</x:v>
      </x:c>
      <x:c r="O23" s="57" t="str">
        <x:f t="shared" si="12"/>
      </x:c>
      <x:c r="P23" s="57" t="str">
        <x:f>IF(O23="","",C3+SUM(D3:D13)+SUM(D19:D28))</x:f>
      </x:c>
      <x:c r="Q23" s="57" t="str">
        <x:f t="shared" si="19"/>
      </x:c>
      <x:c r="R23" s="5"/>
      <x:c r="S23" s="5"/>
      <x:c r="T23" s="5" t="str">
        <x:f t="shared" si="13"/>
        <x:v>Jun</x:v>
      </x:c>
      <x:c r="U23" s="51" t="n">
        <x:f t="shared" si="14"/>
        <x:v>25540</x:v>
      </x:c>
      <x:c r="V23" s="51" t="n">
        <x:f t="shared" si="15"/>
        <x:v>25100</x:v>
      </x:c>
      <x:c r="W23" s="51" t="n">
        <x:f t="shared" si="16"/>
        <x:v>350</x:v>
      </x:c>
    </x:row>
    <x:row r="24" ht="19.5" customHeight="1">
      <x:c r="A24" s="52" t="s">
        <x:v>21</x:v>
      </x:c>
      <x:c r="B24" s="101" t="n">
        <x:v>31329.65</x:v>
      </x:c>
      <x:c r="C24" s="54" t="n">
        <x:f t="shared" si="20"/>
        <x:v>30958.15</x:v>
      </x:c>
      <x:c r="D24" s="83" t="n">
        <x:v>0</x:v>
      </x:c>
      <x:c r="E24" s="53" t="n">
        <x:f t="shared" si="17"/>
        <x:v>371.5</x:v>
      </x:c>
      <x:c r="F24" s="55" t="n">
        <x:f t="shared" si="18"/>
        <x:v>1.2</x:v>
      </x:c>
      <x:c r="G24" s="55" t="n">
        <x:f t="shared" si="21"/>
        <x:v>13.747</x:v>
      </x:c>
      <x:c r="H24" s="26"/>
      <x:c r="I24" s="26"/>
      <x:c r="J24" s="26"/>
      <x:c r="K24" s="26"/>
      <x:c r="L24" s="5"/>
      <x:c r="M24" s="5"/>
      <x:c r="N24" s="56" t="str">
        <x:f t="shared" si="11"/>
        <x:v>2026 Nov</x:v>
      </x:c>
      <x:c r="O24" s="57" t="str">
        <x:f t="shared" si="12"/>
      </x:c>
      <x:c r="P24" s="57" t="str">
        <x:f>IF(O24="","",C3+SUM(D3:D13)+SUM(D19:D29))</x:f>
      </x:c>
      <x:c r="Q24" s="57" t="str">
        <x:f t="shared" si="19"/>
      </x:c>
      <x:c r="R24" s="5"/>
      <x:c r="S24" s="5"/>
      <x:c r="T24" s="5" t="str">
        <x:f t="shared" si="13"/>
        <x:v>Jul</x:v>
      </x:c>
      <x:c r="U24" s="51" t="n">
        <x:f t="shared" si="14"/>
        <x:v>25945</x:v>
      </x:c>
      <x:c r="V24" s="51" t="n">
        <x:f t="shared" si="15"/>
        <x:v>24500</x:v>
      </x:c>
      <x:c r="W24" s="51" t="n">
        <x:f t="shared" si="16"/>
        <x:v>575</x:v>
      </x:c>
    </x:row>
    <x:row r="25" ht="19.5" customHeight="1">
      <x:c r="A25" s="43" t="s">
        <x:v>22</x:v>
      </x:c>
      <x:c r="B25" s="102" t="e">
        <x:f>IFERROR(__xludf.DUMMYFUNCTION("IFERROR(XLOOKUP(MAX(FILTER('Datos diarios'!$A$2:$A$366,'Datos diarios'!$A$2:$A$366&gt;=DATE(2026,7,1),'Datos diarios'!$A$2:$A$366&lt;DATE(2026,8,1),'Datos diarios'!$B$2:$B$366&lt;&gt;"""")),'Datos diarios'!$A$2:$A$366,'Datos diarios'!$B$2:$B$366,""""),"""")"),25000.0)</x:f>
        <x:v>#NAME?</x:v>
      </x:c>
      <x:c r="C25" s="59" t="n">
        <x:f t="shared" si="20"/>
        <x:v>31329.65</x:v>
      </x:c>
      <x:c r="D25" s="83" t="n">
        <x:v>250</x:v>
      </x:c>
      <x:c r="E25" s="59" t="n">
        <x:f t="shared" si="17"/>
        <x:v>157.9</x:v>
      </x:c>
      <x:c r="F25" s="61" t="n">
        <x:f t="shared" si="18"/>
        <x:v>0.5</x:v>
      </x:c>
      <x:c r="G25" s="61" t="n">
        <x:f t="shared" si="21"/>
        <x:v>14.316</x:v>
      </x:c>
      <x:c r="H25" s="26"/>
      <x:c r="I25" s="26"/>
      <x:c r="J25" s="26"/>
      <x:c r="K25" s="26"/>
      <x:c r="L25" s="5"/>
      <x:c r="M25" s="5"/>
      <x:c r="N25" s="56" t="str">
        <x:f t="shared" si="11"/>
        <x:v>2026 Dic</x:v>
      </x:c>
      <x:c r="O25" s="57" t="str">
        <x:f t="shared" si="12"/>
      </x:c>
      <x:c r="P25" s="57" t="str">
        <x:f>IF(O25="","",C3+SUM(D3:D13)+SUM(D19:D30))</x:f>
      </x:c>
      <x:c r="Q25" s="57" t="str">
        <x:f t="shared" si="19"/>
      </x:c>
      <x:c r="R25" s="5"/>
      <x:c r="S25" s="5"/>
      <x:c r="T25" s="5" t="str">
        <x:f t="shared" si="13"/>
        <x:v>Ago</x:v>
      </x:c>
      <x:c r="U25" s="51" t="n">
        <x:f t="shared" si="14"/>
        <x:v>25270</x:v>
      </x:c>
      <x:c r="V25" s="51" t="n">
        <x:f t="shared" si="15"/>
        <x:v>24860</x:v>
      </x:c>
      <x:c r="W25" s="51" t="n">
        <x:f t="shared" si="16"/>
        <x:v>350</x:v>
      </x:c>
    </x:row>
    <x:row r="26" ht="19.5" customHeight="1">
      <x:c r="A26" s="52" t="s">
        <x:v>23</x:v>
      </x:c>
      <x:c r="B26" s="103" t="e">
        <x:f>IFERROR(__xludf.DUMMYFUNCTION("IFERROR(XLOOKUP(MAX(FILTER('Datos diarios'!$A$2:$A$366,'Datos diarios'!$A$2:$A$366&gt;=DATE(2026,8,1),'Datos diarios'!$A$2:$A$366&lt;DATE(2026,9,1),'Datos diarios'!$B$2:$B$366&lt;&gt;"""")),'Datos diarios'!$A$2:$A$366,'Datos diarios'!$B$2:$B$366,""""),"""")"),25000.0)</x:f>
        <x:v>#NAME?</x:v>
      </x:c>
      <x:c r="C26" s="54" t="n">
        <x:f t="shared" si="20"/>
        <x:v>31737.55</x:v>
      </x:c>
      <x:c r="D26" s="93" t="n">
        <x:v>0</x:v>
      </x:c>
      <x:c r="E26" s="54" t="e">
        <x:f t="shared" ref="E26:E30" si="22">IF(B26="","",B26-C26-IF(D26="",0,D26))</x:f>
        <x:v>#NAME?</x:v>
      </x:c>
      <x:c r="F26" s="55" t="e">
        <x:f t="shared" ref="F26:F30" si="23">IF(OR(B26="",(C26+IF(D26="",0,D26))=0),"",TRUNC((B26-(C26+IF(D26="",0,D26)))/(C26+IF(D26="",0,D26))*100,3))</x:f>
        <x:v>#NAME?</x:v>
      </x:c>
      <x:c r="G26" s="55" t="e">
        <x:f t="shared" ref="G26:G30" si="24">IF(F26="","",TRUNC(((1+(G25/100))*(1+(F26/100))-1)*100,3))</x:f>
        <x:v>#NAME?</x:v>
      </x:c>
      <x:c r="H26" s="26"/>
      <x:c r="I26" s="26"/>
      <x:c r="J26" s="26"/>
      <x:c r="K26" s="26"/>
      <x:c r="L26" s="5"/>
      <x:c r="M26" s="5"/>
      <x:c r="N26" s="104"/>
      <x:c r="O26" s="104"/>
      <x:c r="P26" s="104"/>
      <x:c r="Q26" s="104"/>
      <x:c r="R26" s="5"/>
      <x:c r="S26" s="5"/>
      <x:c r="T26" s="5" t="str">
        <x:f t="shared" si="13"/>
        <x:v>Sep</x:v>
      </x:c>
      <x:c r="U26" s="51" t="str">
        <x:f t="shared" si="14"/>
      </x:c>
      <x:c r="V26" s="51" t="str">
        <x:f t="shared" si="15"/>
      </x:c>
      <x:c r="W26" s="51" t="str">
        <x:f t="shared" si="16"/>
      </x:c>
    </x:row>
    <x:row r="27" ht="19.5" customHeight="1">
      <x:c r="A27" s="43" t="s">
        <x:v>24</x:v>
      </x:c>
      <x:c r="B27" s="105" t="e">
        <x:f>IFERROR(__xludf.DUMMYFUNCTION("IFERROR(XLOOKUP(MAX(FILTER('Datos diarios'!$A$2:$A$366,'Datos diarios'!$A$2:$A$366&gt;=DATE(2026,9,1),'Datos diarios'!$A$2:$A$366&lt;DATE(2026,10,1),'Datos diarios'!$B$2:$B$366&lt;&gt;"""")),'Datos diarios'!$A$2:$A$366,'Datos diarios'!$B$2:$B$366,""""),"""")"),"")</x:f>
        <x:v>#NAME?</x:v>
      </x:c>
      <x:c r="C27" s="59">
        <x:f t="shared" si="20"/>
      </x:c>
      <x:c r="D27" s="93"/>
      <x:c r="E27" s="59">
        <x:f t="shared" si="22"/>
      </x:c>
      <x:c r="F27" s="61">
        <x:f t="shared" si="23"/>
      </x:c>
      <x:c r="G27" s="61">
        <x:f t="shared" si="24"/>
      </x:c>
      <x:c r="H27" s="26"/>
      <x:c r="I27" s="26"/>
      <x:c r="J27" s="26"/>
      <x:c r="K27" s="26"/>
      <x:c r="L27" s="5"/>
      <x:c r="M27" s="5"/>
      <x:c r="N27" s="104"/>
      <x:c r="O27" s="104"/>
      <x:c r="P27" s="104"/>
      <x:c r="Q27" s="104"/>
      <x:c r="R27" s="5"/>
      <x:c r="S27" s="5"/>
      <x:c r="T27" s="5" t="str">
        <x:f t="shared" si="13"/>
        <x:v>Oct</x:v>
      </x:c>
      <x:c r="U27" s="51" t="str">
        <x:f t="shared" si="14"/>
      </x:c>
      <x:c r="V27" s="51" t="str">
        <x:f t="shared" si="15"/>
      </x:c>
      <x:c r="W27" s="51" t="str">
        <x:f t="shared" si="16"/>
      </x:c>
    </x:row>
    <x:row r="28" ht="19.5" customHeight="1">
      <x:c r="A28" s="52" t="s">
        <x:v>25</x:v>
      </x:c>
      <x:c r="B28" s="103" t="e">
        <x:f>IFERROR(__xludf.DUMMYFUNCTION("IFERROR(XLOOKUP(MAX(FILTER('Datos diarios'!$A$2:$A$366,'Datos diarios'!$A$2:$A$366&gt;=DATE(2026,10,1),'Datos diarios'!$A$2:$A$366&lt;DATE(2026,11,1),'Datos diarios'!$B$2:$B$366&lt;&gt;"""")),'Datos diarios'!$A$2:$A$366,'Datos diarios'!$B$2:$B$366,""""),"""")"),"")</x:f>
        <x:v>#NAME?</x:v>
      </x:c>
      <x:c r="C28" s="54">
        <x:f t="shared" si="20"/>
      </x:c>
      <x:c r="D28" s="93"/>
      <x:c r="E28" s="54">
        <x:f t="shared" si="22"/>
      </x:c>
      <x:c r="F28" s="55">
        <x:f t="shared" si="23"/>
      </x:c>
      <x:c r="G28" s="55">
        <x:f t="shared" si="24"/>
      </x:c>
      <x:c r="H28" s="26"/>
      <x:c r="I28" s="26"/>
      <x:c r="J28" s="26"/>
      <x:c r="K28" s="26"/>
      <x:c r="L28" s="5"/>
      <x:c r="M28" s="5"/>
      <x:c r="N28" s="104"/>
      <x:c r="O28" s="104"/>
      <x:c r="P28" s="104"/>
      <x:c r="Q28" s="104"/>
      <x:c r="R28" s="5"/>
      <x:c r="S28" s="5"/>
      <x:c r="T28" s="5" t="str">
        <x:f t="shared" si="13"/>
        <x:v>Nov</x:v>
      </x:c>
      <x:c r="U28" s="51" t="str">
        <x:f t="shared" si="14"/>
      </x:c>
      <x:c r="V28" s="51" t="str">
        <x:f t="shared" si="15"/>
      </x:c>
      <x:c r="W28" s="51" t="str">
        <x:f t="shared" si="16"/>
      </x:c>
    </x:row>
    <x:row r="29" ht="19.5" customHeight="1">
      <x:c r="A29" s="43" t="s">
        <x:v>26</x:v>
      </x:c>
      <x:c r="B29" s="105" t="e">
        <x:f>IFERROR(__xludf.DUMMYFUNCTION("IFERROR(XLOOKUP(MAX(FILTER('Datos diarios'!$A$2:$A$366,'Datos diarios'!$A$2:$A$366&gt;=DATE(2026,11,1),'Datos diarios'!$A$2:$A$366&lt;DATE(2026,12,1),'Datos diarios'!$B$2:$B$366&lt;&gt;"""")),'Datos diarios'!$A$2:$A$366,'Datos diarios'!$B$2:$B$366,""""),"""")"),"")</x:f>
        <x:v>#NAME?</x:v>
      </x:c>
      <x:c r="C29" s="59">
        <x:f t="shared" si="20"/>
      </x:c>
      <x:c r="D29" s="93"/>
      <x:c r="E29" s="59">
        <x:f t="shared" si="22"/>
      </x:c>
      <x:c r="F29" s="61">
        <x:f t="shared" si="23"/>
      </x:c>
      <x:c r="G29" s="61">
        <x:f t="shared" si="24"/>
      </x:c>
      <x:c r="H29" s="26"/>
      <x:c r="I29" s="26"/>
      <x:c r="J29" s="26"/>
      <x:c r="K29" s="26"/>
      <x:c r="L29" s="5"/>
      <x:c r="M29" s="5"/>
      <x:c r="N29" s="104"/>
      <x:c r="O29" s="104"/>
      <x:c r="P29" s="104"/>
      <x:c r="Q29" s="104"/>
      <x:c r="R29" s="5"/>
      <x:c r="S29" s="5"/>
      <x:c r="T29" s="5" t="str">
        <x:f t="shared" si="13"/>
        <x:v>Dic</x:v>
      </x:c>
      <x:c r="U29" s="51" t="str">
        <x:f t="shared" si="14"/>
      </x:c>
      <x:c r="V29" s="51" t="str">
        <x:f t="shared" si="15"/>
      </x:c>
      <x:c r="W29" s="51" t="str">
        <x:f t="shared" si="16"/>
      </x:c>
    </x:row>
    <x:row r="30" ht="19.5" customHeight="1">
      <x:c r="A30" s="52" t="s">
        <x:v>27</x:v>
      </x:c>
      <x:c r="B30" s="103" t="e">
        <x:f>IFERROR(__xludf.DUMMYFUNCTION("IFERROR(XLOOKUP(MAX(FILTER('Datos diarios'!$A$2:$A$366,'Datos diarios'!$A$2:$A$366&gt;=DATE(2026,12,1),'Datos diarios'!$A$2:$A$366&lt;DATE(2027,1,1),'Datos diarios'!$B$2:$B$366&lt;&gt;"""")),'Datos diarios'!$A$2:$A$366,'Datos diarios'!$B$2:$B$366,""""),"""")"),"")</x:f>
        <x:v>#NAME?</x:v>
      </x:c>
      <x:c r="C30" s="54">
        <x:f t="shared" si="20"/>
      </x:c>
      <x:c r="D30" s="93"/>
      <x:c r="E30" s="54">
        <x:f t="shared" si="22"/>
      </x:c>
      <x:c r="F30" s="55">
        <x:f t="shared" si="23"/>
      </x:c>
      <x:c r="G30" s="55">
        <x:f t="shared" si="24"/>
      </x:c>
      <x:c r="H30" s="26"/>
      <x:c r="I30" s="26"/>
      <x:c r="J30" s="26"/>
      <x:c r="K30" s="26"/>
      <x:c r="L30" s="5"/>
      <x:c r="M30" s="5"/>
      <x:c r="N30" s="104"/>
      <x:c r="O30" s="104"/>
      <x:c r="P30" s="104"/>
      <x:c r="Q30" s="104"/>
      <x:c r="R30" s="5"/>
      <x:c r="S30" s="5"/>
      <x:c r="T30" s="5"/>
      <x:c r="U30" s="5"/>
      <x:c r="V30" s="5"/>
      <x:c r="W30" s="5"/>
    </x:row>
    <x:row r="31" ht="21" customHeight="1">
      <x:c r="A31" s="70" t="s">
        <x:v>33</x:v>
      </x:c>
      <x:c r="B31" s="71" t="n">
        <x:f>IFERROR(LOOKUP(2,1/(B19:B30&lt;&gt;""),B19:B30),"")</x:f>
        <x:v>31329.65</x:v>
      </x:c>
      <x:c r="C31" s="71" t="n">
        <x:f>C19</x:f>
        <x:v>28667.25</x:v>
      </x:c>
      <x:c r="D31" s="71" t="n">
        <x:f t="shared" ref="D31:E31" si="25">SUM(D19:D30)</x:f>
        <x:v>1500</x:v>
      </x:c>
      <x:c r="E31" s="71">
        <x:f t="shared" si="25"/>
        <x:v>9413</x:v>
      </x:c>
      <x:c r="F31" s="73" t="n">
        <x:f>IF(OR(B31="",(C31+D31)=0),"",(B31-C31-D31)/(C31+D31)*100)</x:f>
        <x:v>3.853185159403</x:v>
      </x:c>
      <x:c r="G31" s="73" t="n">
        <x:f>IFERROR(LOOKUP(2,1/(G19:G30&lt;&gt;""),G19:G30),"")</x:f>
        <x:v>14.316</x:v>
      </x:c>
      <x:c r="H31" s="26"/>
      <x:c r="I31" s="26"/>
      <x:c r="J31" s="26"/>
      <x:c r="K31" s="26"/>
      <x:c r="L31" s="5"/>
      <x:c r="M31" s="5"/>
      <x:c r="N31" s="104"/>
      <x:c r="O31" s="104"/>
      <x:c r="P31" s="104"/>
      <x:c r="Q31" s="104"/>
      <x:c r="R31" s="5"/>
      <x:c r="S31" s="5"/>
      <x:c r="T31" s="5"/>
      <x:c r="U31" s="5"/>
      <x:c r="V31" s="5"/>
      <x:c r="W31" s="5"/>
    </x:row>
    <x:row r="32" ht="21" customHeight="1">
      <x:c r="A32" s="74" t="s">
        <x:v>34</x:v>
      </x:c>
      <x:c r="B32" s="76" t="n">
        <x:f>IF(COUNT('Datos diarios'!$D$2:$D$366)&gt;=2,TRUNC(STDEV('Datos diarios'!$D$2:$D$366)*SQRT(252),2),TRUNC(STDEV(F19:F30)*SQRT(12),2))</x:f>
        <x:v>6.27</x:v>
      </x:c>
      <x:c r="C32" s="78"/>
      <x:c r="D32" s="78"/>
      <x:c r="E32" s="78"/>
      <x:c r="F32" s="81"/>
      <x:c r="G32" s="81"/>
      <x:c r="H32" s="26"/>
      <x:c r="I32" s="26"/>
      <x:c r="J32" s="26"/>
      <x:c r="K32" s="26"/>
      <x:c r="L32" s="5"/>
      <x:c r="M32" s="5"/>
      <x:c r="N32" s="104"/>
      <x:c r="O32" s="104"/>
      <x:c r="P32" s="104"/>
      <x:c r="Q32" s="104"/>
      <x:c r="R32" s="5"/>
      <x:c r="S32" s="5"/>
      <x:c r="T32" s="5"/>
      <x:c r="U32" s="5"/>
      <x:c r="V32" s="5"/>
      <x:c r="W32" s="5"/>
    </x:row>
    <x:row r="33" ht="15.75" customHeight="1">
      <x:c r="A33" s="26"/>
      <x:c r="B33" s="26"/>
      <x:c r="C33" s="26"/>
      <x:c r="D33" s="26"/>
      <x:c r="E33" s="26"/>
      <x:c r="F33" s="26"/>
      <x:c r="G33" s="26"/>
      <x:c r="H33" s="26"/>
      <x:c r="I33" s="26"/>
      <x:c r="J33" s="26"/>
      <x:c r="K33" s="26"/>
      <x:c r="L33" s="5"/>
      <x:c r="M33" s="5"/>
      <x:c r="N33" s="104"/>
      <x:c r="O33" s="104"/>
      <x:c r="P33" s="104"/>
      <x:c r="Q33" s="104"/>
      <x:c r="R33" s="5"/>
      <x:c r="S33" s="5"/>
      <x:c r="T33" s="5"/>
      <x:c r="U33" s="5"/>
      <x:c r="V33" s="5"/>
      <x:c r="W33" s="5"/>
    </x:row>
    <x:row r="34" ht="22.5" customHeight="1">
      <x:c r="A34" s="106" t="s">
        <x:v>35</x:v>
      </x:c>
      <x:c r="B34" s="32"/>
      <x:c r="C34" s="32"/>
      <x:c r="D34" s="32"/>
      <x:c r="E34" s="32"/>
      <x:c r="F34" s="32"/>
      <x:c r="G34" s="32"/>
      <x:c r="H34" s="26"/>
      <x:c r="I34" s="26"/>
      <x:c r="J34" s="26"/>
      <x:c r="K34" s="26"/>
      <x:c r="L34" s="5"/>
      <x:c r="M34" s="5"/>
      <x:c r="N34" s="104"/>
      <x:c r="O34" s="104"/>
      <x:c r="P34" s="104"/>
      <x:c r="Q34" s="104"/>
      <x:c r="R34" s="5"/>
      <x:c r="S34" s="5"/>
      <x:c r="T34" s="5"/>
      <x:c r="U34" s="5"/>
      <x:c r="V34" s="5"/>
      <x:c r="W34" s="5"/>
    </x:row>
    <x:row r="35" ht="30" customHeight="1">
      <x:c r="A35" s="107" t="s">
        <x:v>5</x:v>
      </x:c>
      <x:c r="B35" s="107" t="s">
        <x:v>6</x:v>
      </x:c>
      <x:c r="C35" s="107" t="s">
        <x:v>7</x:v>
      </x:c>
      <x:c r="D35" s="107" t="s">
        <x:v>8</x:v>
      </x:c>
      <x:c r="E35" s="107" t="s">
        <x:v>9</x:v>
      </x:c>
      <x:c r="F35" s="107" t="s">
        <x:v>31</x:v>
      </x:c>
      <x:c r="G35" s="107" t="s">
        <x:v>11</x:v>
      </x:c>
      <x:c r="H35" s="26"/>
      <x:c r="I35" s="26"/>
      <x:c r="J35" s="26"/>
      <x:c r="K35" s="26"/>
      <x:c r="L35" s="5"/>
      <x:c r="M35" s="5"/>
      <x:c r="N35" s="104"/>
      <x:c r="O35" s="104"/>
      <x:c r="P35" s="104"/>
      <x:c r="Q35" s="104"/>
      <x:c r="R35" s="5"/>
      <x:c r="S35" s="5"/>
      <x:c r="T35" s="5"/>
      <x:c r="U35" s="5"/>
      <x:c r="V35" s="5"/>
      <x:c r="W35" s="5"/>
    </x:row>
    <x:row r="36" ht="36" customHeight="1">
      <x:c r="A36" s="108" t="s">
        <x:v>32</x:v>
      </x:c>
      <x:c r="B36" s="93"/>
      <x:c r="C36" s="59" t="e">
        <x:f>B30</x:f>
        <x:v>#NAME?</x:v>
      </x:c>
      <x:c r="D36" s="93"/>
      <x:c r="E36" s="59" t="str">
        <x:f t="shared" ref="E36:E47" si="26">IF(B36="","",B36-C36-IF(D36="",0,D36))</x:f>
      </x:c>
      <x:c r="F36" s="61" t="e">
        <x:f t="shared" ref="F36:F47" si="27">IF(OR(B36="",(C36+IF(D36="",0,D36))=0),"",TRUNC((B36-(C36+IF(D36="",0,D36)))/(C36+IF(D36="",0,D36))*100,3))</x:f>
        <x:v>#NAME?</x:v>
      </x:c>
      <x:c r="G36" s="61" t="e">
        <x:f>IF(F36="","",TRUNC(F36,3))</x:f>
        <x:v>#NAME?</x:v>
      </x:c>
      <x:c r="H36" s="26"/>
      <x:c r="I36" s="109"/>
      <x:c r="J36" s="110"/>
      <x:c r="N36" s="104"/>
      <x:c r="O36" s="104"/>
      <x:c r="P36" s="104"/>
      <x:c r="Q36" s="104"/>
      <x:c r="R36" s="5"/>
      <x:c r="S36" s="5"/>
      <x:c r="T36" s="5"/>
      <x:c r="U36" s="5"/>
      <x:c r="V36" s="5"/>
      <x:c r="W36" s="5"/>
    </x:row>
    <x:row r="37" ht="15.75" customHeight="1">
      <x:c r="A37" s="111" t="s">
        <x:v>17</x:v>
      </x:c>
      <x:c r="B37" s="93"/>
      <x:c r="C37" s="54" t="n">
        <x:f t="shared" ref="C37:C47" si="28">B36</x:f>
        <x:v>0</x:v>
      </x:c>
      <x:c r="D37" s="93"/>
      <x:c r="E37" s="54" t="str">
        <x:f t="shared" si="26"/>
      </x:c>
      <x:c r="F37" s="55" t="str">
        <x:f t="shared" si="27"/>
      </x:c>
      <x:c r="G37" s="55" t="e">
        <x:f t="shared" ref="G37:G47" si="29">IF(F37="",G36,TRUNC(((1+(G36/100))*(1+(F37/100))-1)*100,3))</x:f>
        <x:v>#NAME?</x:v>
      </x:c>
      <x:c r="H37" s="26"/>
      <x:c r="I37" s="26"/>
      <x:c r="J37" s="26"/>
      <x:c r="K37" s="26"/>
      <x:c r="L37" s="5"/>
      <x:c r="M37" s="5"/>
      <x:c r="N37" s="104"/>
      <x:c r="O37" s="104"/>
      <x:c r="P37" s="104"/>
      <x:c r="Q37" s="104"/>
      <x:c r="R37" s="5"/>
      <x:c r="S37" s="5"/>
      <x:c r="T37" s="5"/>
      <x:c r="U37" s="5"/>
      <x:c r="V37" s="5"/>
      <x:c r="W37" s="5"/>
    </x:row>
    <x:row r="38" ht="15.75" customHeight="1">
      <x:c r="A38" s="108" t="s">
        <x:v>18</x:v>
      </x:c>
      <x:c r="B38" s="93"/>
      <x:c r="C38" s="59" t="str">
        <x:f t="shared" si="28"/>
      </x:c>
      <x:c r="D38" s="93"/>
      <x:c r="E38" s="59" t="str">
        <x:f t="shared" si="26"/>
      </x:c>
      <x:c r="F38" s="61" t="str">
        <x:f t="shared" si="27"/>
      </x:c>
      <x:c r="G38" s="61" t="str">
        <x:f t="shared" si="29"/>
      </x:c>
      <x:c r="H38" s="26"/>
      <x:c r="I38" s="26"/>
      <x:c r="J38" s="26"/>
      <x:c r="K38" s="26"/>
      <x:c r="L38" s="5"/>
      <x:c r="M38" s="5"/>
      <x:c r="N38" s="104"/>
      <x:c r="O38" s="104"/>
      <x:c r="P38" s="104"/>
      <x:c r="Q38" s="104"/>
      <x:c r="R38" s="5"/>
      <x:c r="S38" s="5"/>
      <x:c r="T38" s="5"/>
      <x:c r="U38" s="5"/>
      <x:c r="V38" s="5"/>
      <x:c r="W38" s="5"/>
    </x:row>
    <x:row r="39" ht="15.75" customHeight="1">
      <x:c r="A39" s="111" t="s">
        <x:v>19</x:v>
      </x:c>
      <x:c r="B39" s="93"/>
      <x:c r="C39" s="54" t="str">
        <x:f t="shared" si="28"/>
      </x:c>
      <x:c r="D39" s="93"/>
      <x:c r="E39" s="54" t="str">
        <x:f t="shared" si="26"/>
      </x:c>
      <x:c r="F39" s="55" t="str">
        <x:f t="shared" si="27"/>
      </x:c>
      <x:c r="G39" s="55" t="str">
        <x:f t="shared" si="29"/>
      </x:c>
      <x:c r="H39" s="26"/>
      <x:c r="I39" s="26"/>
      <x:c r="J39" s="26"/>
      <x:c r="K39" s="26"/>
      <x:c r="L39" s="5"/>
      <x:c r="M39" s="5"/>
      <x:c r="N39" s="104"/>
      <x:c r="O39" s="104"/>
      <x:c r="P39" s="104"/>
      <x:c r="Q39" s="104"/>
      <x:c r="R39" s="5"/>
      <x:c r="S39" s="5"/>
      <x:c r="T39" s="5"/>
      <x:c r="U39" s="5"/>
      <x:c r="V39" s="5"/>
      <x:c r="W39" s="5"/>
    </x:row>
    <x:row r="40" ht="15.75" customHeight="1">
      <x:c r="A40" s="108" t="s">
        <x:v>20</x:v>
      </x:c>
      <x:c r="B40" s="83"/>
      <x:c r="C40" s="59" t="str">
        <x:f t="shared" si="28"/>
      </x:c>
      <x:c r="D40" s="83"/>
      <x:c r="E40" s="59" t="str">
        <x:f t="shared" si="26"/>
      </x:c>
      <x:c r="F40" s="61" t="str">
        <x:f t="shared" si="27"/>
      </x:c>
      <x:c r="G40" s="61" t="str">
        <x:f t="shared" si="29"/>
      </x:c>
      <x:c r="H40" s="26"/>
      <x:c r="I40" s="26"/>
      <x:c r="J40" s="26"/>
      <x:c r="K40" s="26"/>
      <x:c r="L40" s="5"/>
      <x:c r="M40" s="5"/>
      <x:c r="N40" s="104"/>
      <x:c r="O40" s="104"/>
      <x:c r="P40" s="104"/>
      <x:c r="Q40" s="104"/>
      <x:c r="R40" s="5"/>
      <x:c r="S40" s="5"/>
      <x:c r="T40" s="5"/>
      <x:c r="U40" s="5"/>
      <x:c r="V40" s="5"/>
      <x:c r="W40" s="5"/>
    </x:row>
    <x:row r="41" ht="15.75" customHeight="1">
      <x:c r="A41" s="111" t="s">
        <x:v>21</x:v>
      </x:c>
      <x:c r="B41" s="83"/>
      <x:c r="C41" s="54" t="str">
        <x:f t="shared" si="28"/>
      </x:c>
      <x:c r="D41" s="83"/>
      <x:c r="E41" s="53" t="str">
        <x:f t="shared" si="26"/>
      </x:c>
      <x:c r="F41" s="55" t="str">
        <x:f t="shared" si="27"/>
      </x:c>
      <x:c r="G41" s="55" t="str">
        <x:f t="shared" si="29"/>
      </x:c>
      <x:c r="H41" s="26"/>
      <x:c r="I41" s="26"/>
      <x:c r="J41" s="26"/>
      <x:c r="K41" s="26"/>
      <x:c r="L41" s="5"/>
      <x:c r="M41" s="5"/>
      <x:c r="N41" s="26"/>
      <x:c r="O41" s="26"/>
      <x:c r="P41" s="26"/>
      <x:c r="Q41" s="26"/>
      <x:c r="R41" s="5"/>
      <x:c r="S41" s="5"/>
      <x:c r="T41" s="5"/>
      <x:c r="U41" s="5"/>
      <x:c r="V41" s="5"/>
      <x:c r="W41" s="5"/>
    </x:row>
    <x:row r="42" ht="15.75" customHeight="1">
      <x:c r="A42" s="108" t="s">
        <x:v>22</x:v>
      </x:c>
      <x:c r="B42" s="83"/>
      <x:c r="C42" s="59" t="str">
        <x:f t="shared" si="28"/>
      </x:c>
      <x:c r="D42" s="83"/>
      <x:c r="E42" s="59" t="str">
        <x:f t="shared" si="26"/>
      </x:c>
      <x:c r="F42" s="61" t="str">
        <x:f t="shared" si="27"/>
      </x:c>
      <x:c r="G42" s="61" t="str">
        <x:f t="shared" si="29"/>
      </x:c>
      <x:c r="H42" s="26"/>
      <x:c r="I42" s="26"/>
      <x:c r="J42" s="26"/>
      <x:c r="K42" s="26"/>
      <x:c r="L42" s="5"/>
      <x:c r="M42" s="5"/>
      <x:c r="N42" s="26"/>
      <x:c r="O42" s="26"/>
      <x:c r="P42" s="26"/>
      <x:c r="Q42" s="26"/>
      <x:c r="R42" s="5"/>
      <x:c r="S42" s="5"/>
      <x:c r="T42" s="5"/>
      <x:c r="U42" s="5"/>
      <x:c r="V42" s="5"/>
      <x:c r="W42" s="5"/>
    </x:row>
    <x:row r="43" ht="15.75" customHeight="1">
      <x:c r="A43" s="111" t="s">
        <x:v>23</x:v>
      </x:c>
      <x:c r="B43" s="93"/>
      <x:c r="C43" s="54" t="str">
        <x:f t="shared" si="28"/>
      </x:c>
      <x:c r="D43" s="93"/>
      <x:c r="E43" s="54" t="str">
        <x:f t="shared" si="26"/>
      </x:c>
      <x:c r="F43" s="55" t="str">
        <x:f t="shared" si="27"/>
      </x:c>
      <x:c r="G43" s="55" t="str">
        <x:f t="shared" si="29"/>
      </x:c>
      <x:c r="H43" s="26"/>
      <x:c r="I43" s="26"/>
      <x:c r="J43" s="26"/>
      <x:c r="K43" s="26"/>
      <x:c r="L43" s="5"/>
      <x:c r="M43" s="5"/>
      <x:c r="N43" s="26"/>
      <x:c r="O43" s="26"/>
      <x:c r="P43" s="26"/>
      <x:c r="Q43" s="26"/>
      <x:c r="R43" s="5"/>
      <x:c r="S43" s="5"/>
      <x:c r="T43" s="5"/>
      <x:c r="U43" s="5"/>
      <x:c r="V43" s="5"/>
      <x:c r="W43" s="5"/>
    </x:row>
    <x:row r="44" ht="15.75" customHeight="1">
      <x:c r="A44" s="108" t="s">
        <x:v>24</x:v>
      </x:c>
      <x:c r="B44" s="93"/>
      <x:c r="C44" s="59" t="str">
        <x:f t="shared" si="28"/>
      </x:c>
      <x:c r="D44" s="93"/>
      <x:c r="E44" s="59" t="str">
        <x:f t="shared" si="26"/>
      </x:c>
      <x:c r="F44" s="61" t="str">
        <x:f t="shared" si="27"/>
      </x:c>
      <x:c r="G44" s="61" t="str">
        <x:f t="shared" si="29"/>
      </x:c>
      <x:c r="H44" s="26"/>
      <x:c r="I44" s="26"/>
      <x:c r="J44" s="26"/>
      <x:c r="K44" s="26"/>
      <x:c r="L44" s="5"/>
      <x:c r="M44" s="5"/>
      <x:c r="N44" s="26"/>
      <x:c r="O44" s="26"/>
      <x:c r="P44" s="26"/>
      <x:c r="Q44" s="26"/>
      <x:c r="R44" s="5"/>
      <x:c r="S44" s="5"/>
      <x:c r="T44" s="5"/>
      <x:c r="U44" s="5"/>
      <x:c r="V44" s="5"/>
      <x:c r="W44" s="5"/>
    </x:row>
    <x:row r="45" ht="15.75" customHeight="1">
      <x:c r="A45" s="111" t="s">
        <x:v>25</x:v>
      </x:c>
      <x:c r="B45" s="93"/>
      <x:c r="C45" s="54" t="str">
        <x:f t="shared" si="28"/>
      </x:c>
      <x:c r="D45" s="93"/>
      <x:c r="E45" s="54" t="str">
        <x:f t="shared" si="26"/>
      </x:c>
      <x:c r="F45" s="55" t="str">
        <x:f t="shared" si="27"/>
      </x:c>
      <x:c r="G45" s="55" t="str">
        <x:f t="shared" si="29"/>
      </x:c>
      <x:c r="H45" s="26"/>
      <x:c r="I45" s="26"/>
      <x:c r="J45" s="26"/>
      <x:c r="K45" s="26"/>
      <x:c r="L45" s="5"/>
      <x:c r="M45" s="5"/>
      <x:c r="N45" s="26"/>
      <x:c r="O45" s="26"/>
      <x:c r="P45" s="26"/>
      <x:c r="Q45" s="26"/>
      <x:c r="R45" s="5"/>
      <x:c r="S45" s="5"/>
      <x:c r="T45" s="5"/>
      <x:c r="U45" s="5"/>
      <x:c r="V45" s="5"/>
      <x:c r="W45" s="5"/>
    </x:row>
    <x:row r="46" ht="15.75" customHeight="1">
      <x:c r="A46" s="108" t="s">
        <x:v>26</x:v>
      </x:c>
      <x:c r="B46" s="93"/>
      <x:c r="C46" s="59" t="str">
        <x:f t="shared" si="28"/>
      </x:c>
      <x:c r="D46" s="93"/>
      <x:c r="E46" s="59" t="str">
        <x:f t="shared" si="26"/>
      </x:c>
      <x:c r="F46" s="61" t="str">
        <x:f t="shared" si="27"/>
      </x:c>
      <x:c r="G46" s="61" t="str">
        <x:f t="shared" si="29"/>
      </x:c>
      <x:c r="H46" s="26"/>
      <x:c r="I46" s="26"/>
      <x:c r="J46" s="26"/>
      <x:c r="K46" s="26"/>
      <x:c r="L46" s="5"/>
      <x:c r="M46" s="5"/>
      <x:c r="N46" s="26"/>
      <x:c r="O46" s="26"/>
      <x:c r="P46" s="26"/>
      <x:c r="Q46" s="26"/>
      <x:c r="R46" s="5"/>
      <x:c r="S46" s="5"/>
      <x:c r="T46" s="5"/>
      <x:c r="U46" s="5"/>
      <x:c r="V46" s="5"/>
      <x:c r="W46" s="5"/>
    </x:row>
    <x:row r="47" ht="15.75" customHeight="1">
      <x:c r="A47" s="111" t="s">
        <x:v>27</x:v>
      </x:c>
      <x:c r="B47" s="93"/>
      <x:c r="C47" s="54" t="str">
        <x:f t="shared" si="28"/>
      </x:c>
      <x:c r="D47" s="93"/>
      <x:c r="E47" s="54" t="str">
        <x:f t="shared" si="26"/>
      </x:c>
      <x:c r="F47" s="55" t="str">
        <x:f t="shared" si="27"/>
      </x:c>
      <x:c r="G47" s="55" t="str">
        <x:f t="shared" si="29"/>
      </x:c>
      <x:c r="H47" s="26"/>
      <x:c r="I47" s="26"/>
      <x:c r="J47" s="26"/>
      <x:c r="K47" s="26"/>
      <x:c r="L47" s="5"/>
      <x:c r="M47" s="5"/>
      <x:c r="N47" s="26"/>
      <x:c r="O47" s="26"/>
      <x:c r="P47" s="26"/>
      <x:c r="Q47" s="26"/>
      <x:c r="R47" s="5"/>
      <x:c r="S47" s="5"/>
      <x:c r="T47" s="5"/>
      <x:c r="U47" s="5"/>
      <x:c r="V47" s="5"/>
      <x:c r="W47" s="5"/>
    </x:row>
    <x:row r="48" ht="15.75" customHeight="1">
      <x:c r="A48" s="112" t="s">
        <x:v>36</x:v>
      </x:c>
      <x:c r="B48" s="71" t="str">
        <x:f>IFERROR(LOOKUP(2,1/(B36:B47&lt;&gt;""),B36:B47),"")</x:f>
      </x:c>
      <x:c r="C48" s="71" t="e">
        <x:f>C36</x:f>
        <x:v>#NAME?</x:v>
      </x:c>
      <x:c r="D48" s="71" t="n">
        <x:f t="shared" ref="D48:E48" si="30">SUM(D36:D47)</x:f>
        <x:v>0</x:v>
      </x:c>
      <x:c r="E48" s="71">
        <x:f t="shared" si="30"/>
        <x:v>0</x:v>
      </x:c>
      <x:c r="F48" s="73" t="e">
        <x:f>IF(OR(B48="",(C48+D48)=0),"",(B48-C48-D48)/(C48+D48)*100)</x:f>
        <x:v>#NAME?</x:v>
      </x:c>
      <x:c r="G48" s="73" t="str">
        <x:f>IFERROR(LOOKUP(2,1/(G36:G47&lt;&gt;""),G36:G47),"")</x:f>
      </x:c>
      <x:c r="H48" s="26"/>
      <x:c r="I48" s="26"/>
      <x:c r="J48" s="26"/>
      <x:c r="K48" s="26"/>
      <x:c r="L48" s="5"/>
      <x:c r="M48" s="5"/>
      <x:c r="N48" s="26"/>
      <x:c r="O48" s="26"/>
      <x:c r="P48" s="26"/>
      <x:c r="Q48" s="26"/>
      <x:c r="R48" s="5"/>
      <x:c r="S48" s="5"/>
      <x:c r="T48" s="5"/>
      <x:c r="U48" s="5"/>
      <x:c r="V48" s="5"/>
      <x:c r="W48" s="5"/>
    </x:row>
    <x:row r="49" ht="15.75" customHeight="1">
      <x:c r="A49" s="113" t="s">
        <x:v>29</x:v>
      </x:c>
      <x:c r="B49" s="76" t="e">
        <x:f>IFERROR(__xludf.DUMMYFUNCTION("IFERROR(TRUNC(STDEV(FILTER(F36:F47,F36:F47&lt;&gt;""""))*SQRT(12),2),"""")"),"")</x:f>
        <x:v>#NAME?</x:v>
      </x:c>
      <x:c r="C49" s="78"/>
      <x:c r="D49" s="78"/>
      <x:c r="E49" s="78"/>
      <x:c r="F49" s="81"/>
      <x:c r="G49" s="81"/>
      <x:c r="H49" s="26"/>
      <x:c r="I49" s="26"/>
      <x:c r="J49" s="26"/>
      <x:c r="K49" s="26"/>
      <x:c r="L49" s="5"/>
      <x:c r="M49" s="5"/>
      <x:c r="N49" s="26"/>
      <x:c r="O49" s="26"/>
      <x:c r="P49" s="26"/>
      <x:c r="Q49" s="26"/>
      <x:c r="R49" s="5"/>
      <x:c r="S49" s="5"/>
      <x:c r="T49" s="5"/>
      <x:c r="U49" s="5"/>
      <x:c r="V49" s="5"/>
      <x:c r="W49" s="5"/>
    </x:row>
    <x:row r="50" ht="15.75" customHeight="1">
      <x:c r="A50" s="26"/>
      <x:c r="B50" s="26"/>
      <x:c r="C50" s="26"/>
      <x:c r="D50" s="26"/>
      <x:c r="E50" s="26"/>
      <x:c r="F50" s="26"/>
      <x:c r="G50" s="26"/>
      <x:c r="H50" s="26"/>
      <x:c r="I50" s="26"/>
      <x:c r="J50" s="26"/>
      <x:c r="K50" s="26"/>
      <x:c r="N50" s="26"/>
      <x:c r="O50" s="26"/>
      <x:c r="P50" s="26"/>
      <x:c r="Q50" s="26"/>
    </x:row>
    <x:row r="51" ht="15.75" customHeight="1">
      <x:c r="A51" s="26"/>
      <x:c r="B51" s="26"/>
      <x:c r="C51" s="26"/>
      <x:c r="D51" s="26"/>
      <x:c r="E51" s="26"/>
      <x:c r="F51" s="26"/>
      <x:c r="G51" s="26"/>
      <x:c r="H51" s="26"/>
      <x:c r="I51" s="26"/>
      <x:c r="J51" s="26"/>
      <x:c r="K51" s="26"/>
      <x:c r="N51" s="26"/>
      <x:c r="O51" s="26"/>
      <x:c r="P51" s="26"/>
      <x:c r="Q51" s="26"/>
    </x:row>
    <x:row r="52" ht="15.75" customHeight="1">
      <x:c r="A52" s="26"/>
      <x:c r="B52" s="26"/>
      <x:c r="C52" s="26"/>
      <x:c r="D52" s="26"/>
      <x:c r="E52" s="26"/>
      <x:c r="F52" s="26"/>
      <x:c r="G52" s="26"/>
      <x:c r="H52" s="26"/>
      <x:c r="I52" s="26"/>
      <x:c r="J52" s="26"/>
      <x:c r="K52" s="26"/>
      <x:c r="N52" s="26"/>
      <x:c r="O52" s="26"/>
      <x:c r="P52" s="26"/>
      <x:c r="Q52" s="26"/>
    </x:row>
    <x:row r="53" ht="15.75" customHeight="1">
      <x:c r="A53" s="26"/>
      <x:c r="B53" s="26"/>
      <x:c r="C53" s="26"/>
      <x:c r="D53" s="26"/>
      <x:c r="E53" s="26"/>
      <x:c r="F53" s="26"/>
      <x:c r="G53" s="26"/>
      <x:c r="H53" s="26"/>
      <x:c r="I53" s="26"/>
      <x:c r="J53" s="26"/>
      <x:c r="K53" s="26"/>
      <x:c r="N53" s="26"/>
      <x:c r="O53" s="26"/>
      <x:c r="P53" s="26"/>
      <x:c r="Q53" s="26"/>
    </x:row>
    <x:row r="54" ht="15.75" customHeight="1">
      <x:c r="A54" s="26"/>
      <x:c r="B54" s="26"/>
      <x:c r="C54" s="26"/>
      <x:c r="D54" s="26"/>
      <x:c r="E54" s="26"/>
      <x:c r="F54" s="26"/>
      <x:c r="G54" s="26"/>
      <x:c r="H54" s="26"/>
      <x:c r="I54" s="26"/>
      <x:c r="J54" s="26"/>
      <x:c r="K54" s="26"/>
      <x:c r="N54" s="26"/>
      <x:c r="O54" s="26"/>
      <x:c r="P54" s="26"/>
      <x:c r="Q54" s="26"/>
    </x:row>
    <x:row r="55" ht="15.75" customHeight="1">
      <x:c r="A55" s="26"/>
      <x:c r="B55" s="26"/>
      <x:c r="C55" s="26"/>
      <x:c r="D55" s="26"/>
      <x:c r="E55" s="26"/>
      <x:c r="F55" s="26"/>
      <x:c r="G55" s="26"/>
      <x:c r="H55" s="26"/>
      <x:c r="I55" s="26"/>
      <x:c r="J55" s="26"/>
      <x:c r="K55" s="26"/>
      <x:c r="N55" s="26"/>
      <x:c r="O55" s="26"/>
      <x:c r="P55" s="26"/>
      <x:c r="Q55" s="26"/>
    </x:row>
    <x:row r="56" ht="15.75" customHeight="1">
      <x:c r="A56" s="26"/>
      <x:c r="B56" s="26"/>
      <x:c r="C56" s="26"/>
      <x:c r="D56" s="26"/>
      <x:c r="E56" s="26"/>
      <x:c r="F56" s="26"/>
      <x:c r="G56" s="26"/>
      <x:c r="H56" s="26"/>
      <x:c r="I56" s="26"/>
      <x:c r="J56" s="26"/>
      <x:c r="K56" s="26"/>
      <x:c r="N56" s="26"/>
      <x:c r="O56" s="26"/>
      <x:c r="P56" s="26"/>
      <x:c r="Q56" s="26"/>
    </x:row>
    <x:row r="57" ht="15.75" customHeight="1">
      <x:c r="A57" s="26"/>
      <x:c r="B57" s="26"/>
      <x:c r="C57" s="26"/>
      <x:c r="D57" s="26"/>
      <x:c r="E57" s="26"/>
      <x:c r="F57" s="26"/>
      <x:c r="G57" s="26"/>
      <x:c r="H57" s="26"/>
      <x:c r="I57" s="26"/>
      <x:c r="J57" s="26"/>
      <x:c r="K57" s="26"/>
      <x:c r="N57" s="26"/>
      <x:c r="O57" s="26"/>
      <x:c r="P57" s="26"/>
      <x:c r="Q57" s="26"/>
    </x:row>
    <x:row r="58" ht="15.75" customHeight="1">
      <x:c r="A58" s="26"/>
      <x:c r="B58" s="26"/>
      <x:c r="C58" s="26"/>
      <x:c r="D58" s="26"/>
      <x:c r="E58" s="26"/>
      <x:c r="F58" s="26"/>
      <x:c r="G58" s="26"/>
      <x:c r="H58" s="26"/>
      <x:c r="I58" s="26"/>
      <x:c r="J58" s="26"/>
      <x:c r="K58" s="26"/>
      <x:c r="N58" s="26"/>
      <x:c r="O58" s="26"/>
      <x:c r="P58" s="26"/>
      <x:c r="Q58" s="26"/>
    </x:row>
    <x:row r="59" ht="15.75" customHeight="1">
      <x:c r="A59" s="26"/>
      <x:c r="B59" s="26"/>
      <x:c r="C59" s="26"/>
      <x:c r="D59" s="26"/>
      <x:c r="E59" s="26"/>
      <x:c r="F59" s="26"/>
      <x:c r="G59" s="26"/>
      <x:c r="H59" s="26"/>
      <x:c r="I59" s="26"/>
      <x:c r="J59" s="26"/>
      <x:c r="K59" s="26"/>
      <x:c r="N59" s="26"/>
      <x:c r="O59" s="26"/>
      <x:c r="P59" s="26"/>
      <x:c r="Q59" s="26"/>
    </x:row>
    <x:row r="60" ht="15.75" customHeight="1">
      <x:c r="A60" s="26"/>
      <x:c r="B60" s="26"/>
      <x:c r="C60" s="26"/>
      <x:c r="D60" s="26"/>
      <x:c r="E60" s="26"/>
      <x:c r="F60" s="26"/>
      <x:c r="G60" s="26"/>
      <x:c r="H60" s="26"/>
      <x:c r="I60" s="26"/>
      <x:c r="J60" s="26"/>
      <x:c r="K60" s="26"/>
      <x:c r="N60" s="26"/>
      <x:c r="O60" s="26"/>
      <x:c r="P60" s="26"/>
      <x:c r="Q60" s="26"/>
    </x:row>
    <x:row r="61" ht="15.75" customHeight="1">
      <x:c r="A61" s="26"/>
      <x:c r="B61" s="26"/>
      <x:c r="C61" s="26"/>
      <x:c r="D61" s="26"/>
      <x:c r="E61" s="26"/>
      <x:c r="F61" s="26"/>
      <x:c r="G61" s="26"/>
      <x:c r="H61" s="26"/>
      <x:c r="I61" s="26"/>
      <x:c r="J61" s="26"/>
      <x:c r="K61" s="26"/>
      <x:c r="N61" s="26"/>
      <x:c r="O61" s="26"/>
      <x:c r="P61" s="26"/>
      <x:c r="Q61" s="26"/>
    </x:row>
    <x:row r="62" ht="15.75" customHeight="1">
      <x:c r="A62" s="26"/>
      <x:c r="B62" s="26"/>
      <x:c r="C62" s="26"/>
      <x:c r="D62" s="26"/>
      <x:c r="E62" s="26"/>
      <x:c r="F62" s="26"/>
      <x:c r="G62" s="26"/>
      <x:c r="H62" s="26"/>
      <x:c r="I62" s="26"/>
      <x:c r="J62" s="26"/>
      <x:c r="K62" s="26"/>
      <x:c r="N62" s="26"/>
      <x:c r="O62" s="26"/>
      <x:c r="P62" s="26"/>
      <x:c r="Q62" s="26"/>
    </x:row>
    <x:row r="63" ht="15.75" customHeight="1">
      <x:c r="A63" s="26"/>
      <x:c r="B63" s="26"/>
      <x:c r="C63" s="26"/>
      <x:c r="D63" s="26"/>
      <x:c r="E63" s="26"/>
      <x:c r="F63" s="26"/>
      <x:c r="G63" s="26"/>
      <x:c r="H63" s="26"/>
      <x:c r="I63" s="26"/>
      <x:c r="J63" s="26"/>
      <x:c r="K63" s="26"/>
      <x:c r="N63" s="26"/>
      <x:c r="O63" s="26"/>
      <x:c r="P63" s="26"/>
      <x:c r="Q63" s="26"/>
    </x:row>
    <x:row r="64" ht="15.75" customHeight="1">
      <x:c r="A64" s="26"/>
      <x:c r="B64" s="26"/>
      <x:c r="C64" s="26"/>
      <x:c r="D64" s="26"/>
      <x:c r="E64" s="26"/>
      <x:c r="F64" s="26"/>
      <x:c r="G64" s="26"/>
      <x:c r="H64" s="26"/>
      <x:c r="I64" s="26"/>
      <x:c r="J64" s="26"/>
      <x:c r="K64" s="26"/>
      <x:c r="N64" s="26"/>
      <x:c r="O64" s="26"/>
      <x:c r="P64" s="26"/>
      <x:c r="Q64" s="26"/>
    </x:row>
    <x:row r="65" ht="15.75" customHeight="1">
      <x:c r="A65" s="26"/>
      <x:c r="B65" s="26"/>
      <x:c r="C65" s="26"/>
      <x:c r="D65" s="26"/>
      <x:c r="E65" s="26"/>
      <x:c r="F65" s="26"/>
      <x:c r="G65" s="26"/>
      <x:c r="H65" s="26"/>
      <x:c r="I65" s="26"/>
      <x:c r="J65" s="26"/>
      <x:c r="K65" s="26"/>
      <x:c r="N65" s="26"/>
      <x:c r="O65" s="26"/>
      <x:c r="P65" s="26"/>
      <x:c r="Q65" s="26"/>
    </x:row>
    <x:row r="66" ht="15.75" customHeight="1">
      <x:c r="A66" s="26"/>
      <x:c r="B66" s="26"/>
      <x:c r="C66" s="26"/>
      <x:c r="D66" s="26"/>
      <x:c r="E66" s="26"/>
      <x:c r="F66" s="26"/>
      <x:c r="G66" s="26"/>
      <x:c r="H66" s="26"/>
      <x:c r="I66" s="26"/>
      <x:c r="J66" s="26"/>
      <x:c r="K66" s="26"/>
      <x:c r="N66" s="26"/>
      <x:c r="O66" s="26"/>
      <x:c r="P66" s="26"/>
      <x:c r="Q66" s="26"/>
    </x:row>
    <x:row r="67" ht="15.75" customHeight="1">
      <x:c r="A67" s="26"/>
      <x:c r="B67" s="26"/>
      <x:c r="C67" s="26"/>
      <x:c r="D67" s="26"/>
      <x:c r="E67" s="26"/>
      <x:c r="F67" s="26"/>
      <x:c r="G67" s="26"/>
      <x:c r="H67" s="26"/>
      <x:c r="I67" s="26"/>
      <x:c r="J67" s="26"/>
      <x:c r="K67" s="26"/>
      <x:c r="N67" s="26"/>
      <x:c r="O67" s="26"/>
      <x:c r="P67" s="26"/>
      <x:c r="Q67" s="26"/>
    </x:row>
    <x:row r="68" ht="15.75" customHeight="1">
      <x:c r="A68" s="26"/>
      <x:c r="B68" s="26"/>
      <x:c r="C68" s="26"/>
      <x:c r="D68" s="26"/>
      <x:c r="E68" s="26"/>
      <x:c r="F68" s="26"/>
      <x:c r="G68" s="26"/>
      <x:c r="H68" s="26"/>
      <x:c r="I68" s="26"/>
      <x:c r="J68" s="26"/>
      <x:c r="K68" s="26"/>
      <x:c r="N68" s="26"/>
      <x:c r="O68" s="26"/>
      <x:c r="P68" s="26"/>
      <x:c r="Q68" s="26"/>
    </x:row>
    <x:row r="69" ht="15.75" customHeight="1">
      <x:c r="A69" s="26"/>
      <x:c r="B69" s="26"/>
      <x:c r="C69" s="26"/>
      <x:c r="D69" s="26"/>
      <x:c r="E69" s="26"/>
      <x:c r="F69" s="26"/>
      <x:c r="G69" s="26"/>
      <x:c r="H69" s="26"/>
      <x:c r="I69" s="26"/>
      <x:c r="J69" s="26"/>
      <x:c r="K69" s="26"/>
      <x:c r="N69" s="26"/>
      <x:c r="O69" s="26"/>
      <x:c r="P69" s="26"/>
      <x:c r="Q69" s="26"/>
    </x:row>
    <x:row r="70" ht="15.75" customHeight="1">
      <x:c r="A70" s="26"/>
      <x:c r="B70" s="26"/>
      <x:c r="C70" s="26"/>
      <x:c r="D70" s="26"/>
      <x:c r="E70" s="26"/>
      <x:c r="F70" s="26"/>
      <x:c r="G70" s="26"/>
      <x:c r="H70" s="26"/>
      <x:c r="I70" s="26"/>
      <x:c r="J70" s="26"/>
      <x:c r="K70" s="26"/>
      <x:c r="N70" s="26"/>
      <x:c r="O70" s="26"/>
      <x:c r="P70" s="26"/>
      <x:c r="Q70" s="26"/>
    </x:row>
    <x:row r="71" ht="15.75" customHeight="1">
      <x:c r="A71" s="26"/>
      <x:c r="B71" s="26"/>
      <x:c r="C71" s="26"/>
      <x:c r="D71" s="26"/>
      <x:c r="E71" s="26"/>
      <x:c r="F71" s="26"/>
      <x:c r="G71" s="26"/>
      <x:c r="H71" s="26"/>
      <x:c r="I71" s="26"/>
      <x:c r="J71" s="26"/>
      <x:c r="K71" s="26"/>
      <x:c r="N71" s="26"/>
      <x:c r="O71" s="26"/>
      <x:c r="P71" s="26"/>
      <x:c r="Q71" s="26"/>
    </x:row>
    <x:row r="72" ht="15.75" customHeight="1">
      <x:c r="A72" s="26"/>
      <x:c r="B72" s="26"/>
      <x:c r="C72" s="26"/>
      <x:c r="D72" s="26"/>
      <x:c r="E72" s="26"/>
      <x:c r="F72" s="26"/>
      <x:c r="G72" s="26"/>
      <x:c r="H72" s="26"/>
      <x:c r="I72" s="26"/>
      <x:c r="J72" s="26"/>
      <x:c r="K72" s="26"/>
      <x:c r="N72" s="26"/>
      <x:c r="O72" s="26"/>
      <x:c r="P72" s="26"/>
      <x:c r="Q72" s="26"/>
    </x:row>
    <x:row r="73" ht="15.75" customHeight="1">
      <x:c r="A73" s="26"/>
      <x:c r="B73" s="26"/>
      <x:c r="C73" s="26"/>
      <x:c r="D73" s="26"/>
      <x:c r="E73" s="26"/>
      <x:c r="F73" s="26"/>
      <x:c r="G73" s="26"/>
      <x:c r="H73" s="26"/>
      <x:c r="I73" s="26"/>
      <x:c r="J73" s="26"/>
      <x:c r="K73" s="26"/>
      <x:c r="N73" s="26"/>
      <x:c r="O73" s="26"/>
      <x:c r="P73" s="26"/>
      <x:c r="Q73" s="26"/>
    </x:row>
    <x:row r="74" ht="15.75" customHeight="1">
      <x:c r="A74" s="26"/>
      <x:c r="B74" s="26"/>
      <x:c r="C74" s="26"/>
      <x:c r="D74" s="26"/>
      <x:c r="E74" s="26"/>
      <x:c r="F74" s="26"/>
      <x:c r="G74" s="26"/>
      <x:c r="H74" s="26"/>
      <x:c r="I74" s="26"/>
      <x:c r="J74" s="26"/>
      <x:c r="K74" s="26"/>
      <x:c r="N74" s="26"/>
      <x:c r="O74" s="26"/>
      <x:c r="P74" s="26"/>
      <x:c r="Q74" s="26"/>
    </x:row>
    <x:row r="75" ht="15.75" customHeight="1">
      <x:c r="A75" s="26"/>
      <x:c r="B75" s="26"/>
      <x:c r="C75" s="26"/>
      <x:c r="D75" s="26"/>
      <x:c r="E75" s="26"/>
      <x:c r="F75" s="26"/>
      <x:c r="G75" s="26"/>
      <x:c r="H75" s="26"/>
      <x:c r="I75" s="26"/>
      <x:c r="J75" s="26"/>
      <x:c r="K75" s="26"/>
      <x:c r="N75" s="26"/>
      <x:c r="O75" s="26"/>
      <x:c r="P75" s="26"/>
      <x:c r="Q75" s="26"/>
    </x:row>
    <x:row r="76" ht="15.75" customHeight="1">
      <x:c r="A76" s="26"/>
      <x:c r="B76" s="26"/>
      <x:c r="C76" s="26"/>
      <x:c r="D76" s="26"/>
      <x:c r="E76" s="26"/>
      <x:c r="F76" s="26"/>
      <x:c r="G76" s="26"/>
      <x:c r="H76" s="26"/>
      <x:c r="I76" s="26"/>
      <x:c r="J76" s="26"/>
      <x:c r="K76" s="26"/>
      <x:c r="N76" s="26"/>
      <x:c r="O76" s="26"/>
      <x:c r="P76" s="26"/>
      <x:c r="Q76" s="26"/>
    </x:row>
    <x:row r="77" ht="15.75" customHeight="1">
      <x:c r="A77" s="26"/>
      <x:c r="B77" s="26"/>
      <x:c r="C77" s="26"/>
      <x:c r="D77" s="26"/>
      <x:c r="E77" s="26"/>
      <x:c r="F77" s="26"/>
      <x:c r="G77" s="26"/>
      <x:c r="H77" s="26"/>
      <x:c r="I77" s="26"/>
      <x:c r="J77" s="26"/>
      <x:c r="K77" s="26"/>
      <x:c r="N77" s="26"/>
      <x:c r="O77" s="26"/>
      <x:c r="P77" s="26"/>
      <x:c r="Q77" s="26"/>
    </x:row>
    <x:row r="78" ht="15.75" customHeight="1">
      <x:c r="A78" s="26"/>
      <x:c r="B78" s="26"/>
      <x:c r="C78" s="26"/>
      <x:c r="D78" s="26"/>
      <x:c r="E78" s="26"/>
      <x:c r="F78" s="26"/>
      <x:c r="G78" s="26"/>
      <x:c r="H78" s="26"/>
      <x:c r="I78" s="26"/>
      <x:c r="J78" s="26"/>
      <x:c r="K78" s="26"/>
      <x:c r="N78" s="26"/>
      <x:c r="O78" s="26"/>
      <x:c r="P78" s="26"/>
      <x:c r="Q78" s="26"/>
    </x:row>
    <x:row r="79" ht="15.75" customHeight="1">
      <x:c r="A79" s="26"/>
      <x:c r="B79" s="26"/>
      <x:c r="C79" s="26"/>
      <x:c r="D79" s="26"/>
      <x:c r="E79" s="26"/>
      <x:c r="F79" s="26"/>
      <x:c r="G79" s="26"/>
      <x:c r="H79" s="26"/>
      <x:c r="I79" s="26"/>
      <x:c r="J79" s="26"/>
      <x:c r="K79" s="26"/>
      <x:c r="N79" s="26"/>
      <x:c r="O79" s="26"/>
      <x:c r="P79" s="26"/>
      <x:c r="Q79" s="26"/>
    </x:row>
    <x:row r="80" ht="15.75" customHeight="1">
      <x:c r="A80" s="26"/>
      <x:c r="B80" s="26"/>
      <x:c r="C80" s="26"/>
      <x:c r="D80" s="26"/>
      <x:c r="E80" s="26"/>
      <x:c r="F80" s="26"/>
      <x:c r="G80" s="26"/>
      <x:c r="H80" s="26"/>
      <x:c r="I80" s="26"/>
      <x:c r="J80" s="26"/>
      <x:c r="K80" s="26"/>
      <x:c r="N80" s="26"/>
      <x:c r="O80" s="26"/>
      <x:c r="P80" s="26"/>
      <x:c r="Q80" s="26"/>
    </x:row>
    <x:row r="81" ht="15.75" customHeight="1">
      <x:c r="A81" s="26"/>
      <x:c r="B81" s="26"/>
      <x:c r="C81" s="26"/>
      <x:c r="D81" s="26"/>
      <x:c r="E81" s="26"/>
      <x:c r="F81" s="26"/>
      <x:c r="G81" s="26"/>
      <x:c r="H81" s="26"/>
      <x:c r="I81" s="26"/>
      <x:c r="J81" s="26"/>
      <x:c r="K81" s="26"/>
      <x:c r="N81" s="26"/>
      <x:c r="O81" s="26"/>
      <x:c r="P81" s="26"/>
      <x:c r="Q81" s="26"/>
    </x:row>
    <x:row r="82" ht="15.75" customHeight="1">
      <x:c r="A82" s="26"/>
      <x:c r="B82" s="26"/>
      <x:c r="C82" s="26"/>
      <x:c r="D82" s="26"/>
      <x:c r="E82" s="26"/>
      <x:c r="F82" s="26"/>
      <x:c r="G82" s="26"/>
      <x:c r="H82" s="26"/>
      <x:c r="I82" s="26"/>
      <x:c r="J82" s="26"/>
      <x:c r="K82" s="26"/>
      <x:c r="N82" s="26"/>
      <x:c r="O82" s="26"/>
      <x:c r="P82" s="26"/>
      <x:c r="Q82" s="26"/>
    </x:row>
    <x:row r="83" ht="15.75" customHeight="1">
      <x:c r="A83" s="26"/>
      <x:c r="B83" s="26"/>
      <x:c r="C83" s="26"/>
      <x:c r="D83" s="26"/>
      <x:c r="E83" s="26"/>
      <x:c r="F83" s="26"/>
      <x:c r="G83" s="26"/>
      <x:c r="H83" s="26"/>
      <x:c r="I83" s="26"/>
      <x:c r="J83" s="26"/>
      <x:c r="K83" s="26"/>
      <x:c r="N83" s="26"/>
      <x:c r="O83" s="26"/>
      <x:c r="P83" s="26"/>
      <x:c r="Q83" s="26"/>
    </x:row>
    <x:row r="84" ht="15.75" customHeight="1">
      <x:c r="A84" s="26"/>
      <x:c r="B84" s="26"/>
      <x:c r="C84" s="26"/>
      <x:c r="D84" s="26"/>
      <x:c r="E84" s="26"/>
      <x:c r="F84" s="26"/>
      <x:c r="G84" s="26"/>
      <x:c r="H84" s="26"/>
      <x:c r="I84" s="26"/>
      <x:c r="J84" s="26"/>
      <x:c r="K84" s="26"/>
      <x:c r="N84" s="26"/>
      <x:c r="O84" s="26"/>
      <x:c r="P84" s="26"/>
      <x:c r="Q84" s="26"/>
    </x:row>
    <x:row r="85" ht="15.75" customHeight="1">
      <x:c r="A85" s="26"/>
      <x:c r="B85" s="26"/>
      <x:c r="C85" s="26"/>
      <x:c r="D85" s="26"/>
      <x:c r="E85" s="26"/>
      <x:c r="F85" s="26"/>
      <x:c r="G85" s="26"/>
      <x:c r="H85" s="26"/>
      <x:c r="I85" s="26"/>
      <x:c r="J85" s="26"/>
      <x:c r="K85" s="26"/>
      <x:c r="N85" s="26"/>
      <x:c r="O85" s="26"/>
      <x:c r="P85" s="26"/>
      <x:c r="Q85" s="26"/>
    </x:row>
    <x:row r="86" ht="15.75" customHeight="1">
      <x:c r="A86" s="26"/>
      <x:c r="B86" s="26"/>
      <x:c r="C86" s="26"/>
      <x:c r="D86" s="26"/>
      <x:c r="E86" s="26"/>
      <x:c r="F86" s="26"/>
      <x:c r="G86" s="26"/>
      <x:c r="H86" s="26"/>
      <x:c r="I86" s="26"/>
      <x:c r="J86" s="26"/>
      <x:c r="K86" s="26"/>
      <x:c r="N86" s="26"/>
      <x:c r="O86" s="26"/>
      <x:c r="P86" s="26"/>
      <x:c r="Q86" s="26"/>
    </x:row>
    <x:row r="87" ht="15.75" customHeight="1">
      <x:c r="A87" s="26"/>
      <x:c r="B87" s="26"/>
      <x:c r="C87" s="26"/>
      <x:c r="D87" s="26"/>
      <x:c r="E87" s="26"/>
      <x:c r="F87" s="26"/>
      <x:c r="G87" s="26"/>
      <x:c r="H87" s="26"/>
      <x:c r="I87" s="26"/>
      <x:c r="J87" s="26"/>
      <x:c r="K87" s="26"/>
      <x:c r="N87" s="26"/>
      <x:c r="O87" s="26"/>
      <x:c r="P87" s="26"/>
      <x:c r="Q87" s="26"/>
    </x:row>
    <x:row r="88" ht="15.75" customHeight="1">
      <x:c r="A88" s="26"/>
      <x:c r="B88" s="26"/>
      <x:c r="C88" s="26"/>
      <x:c r="D88" s="26"/>
      <x:c r="E88" s="26"/>
      <x:c r="F88" s="26"/>
      <x:c r="G88" s="26"/>
      <x:c r="H88" s="26"/>
      <x:c r="I88" s="26"/>
      <x:c r="J88" s="26"/>
      <x:c r="K88" s="26"/>
      <x:c r="N88" s="26"/>
      <x:c r="O88" s="26"/>
      <x:c r="P88" s="26"/>
      <x:c r="Q88" s="26"/>
    </x:row>
    <x:row r="89" ht="15.75" customHeight="1">
      <x:c r="A89" s="26"/>
      <x:c r="B89" s="26"/>
      <x:c r="C89" s="26"/>
      <x:c r="D89" s="26"/>
      <x:c r="E89" s="26"/>
      <x:c r="F89" s="26"/>
      <x:c r="G89" s="26"/>
      <x:c r="H89" s="26"/>
      <x:c r="I89" s="26"/>
      <x:c r="J89" s="26"/>
      <x:c r="K89" s="26"/>
      <x:c r="N89" s="26"/>
      <x:c r="O89" s="26"/>
      <x:c r="P89" s="26"/>
      <x:c r="Q89" s="26"/>
    </x:row>
    <x:row r="90" ht="15.75" customHeight="1">
      <x:c r="A90" s="26"/>
      <x:c r="B90" s="26"/>
      <x:c r="C90" s="26"/>
      <x:c r="D90" s="26"/>
      <x:c r="E90" s="26"/>
      <x:c r="F90" s="26"/>
      <x:c r="G90" s="26"/>
      <x:c r="H90" s="26"/>
      <x:c r="I90" s="26"/>
      <x:c r="J90" s="26"/>
      <x:c r="K90" s="26"/>
      <x:c r="N90" s="26"/>
      <x:c r="O90" s="26"/>
      <x:c r="P90" s="26"/>
      <x:c r="Q90" s="26"/>
    </x:row>
    <x:row r="91" ht="15.75" customHeight="1">
      <x:c r="A91" s="26"/>
      <x:c r="B91" s="26"/>
      <x:c r="C91" s="26"/>
      <x:c r="D91" s="26"/>
      <x:c r="E91" s="26"/>
      <x:c r="F91" s="26"/>
      <x:c r="G91" s="26"/>
      <x:c r="H91" s="26"/>
      <x:c r="I91" s="26"/>
      <x:c r="J91" s="26"/>
      <x:c r="K91" s="26"/>
      <x:c r="N91" s="26"/>
      <x:c r="O91" s="26"/>
      <x:c r="P91" s="26"/>
      <x:c r="Q91" s="26"/>
    </x:row>
    <x:row r="92" ht="15.75" customHeight="1">
      <x:c r="A92" s="26"/>
      <x:c r="B92" s="26"/>
      <x:c r="C92" s="26"/>
      <x:c r="D92" s="26"/>
      <x:c r="E92" s="26"/>
      <x:c r="F92" s="26"/>
      <x:c r="G92" s="26"/>
      <x:c r="H92" s="26"/>
      <x:c r="I92" s="26"/>
      <x:c r="J92" s="26"/>
      <x:c r="K92" s="26"/>
      <x:c r="N92" s="26"/>
      <x:c r="O92" s="26"/>
      <x:c r="P92" s="26"/>
      <x:c r="Q92" s="26"/>
    </x:row>
    <x:row r="93" ht="15.75" customHeight="1">
      <x:c r="A93" s="26"/>
      <x:c r="B93" s="26"/>
      <x:c r="C93" s="26"/>
      <x:c r="D93" s="26"/>
      <x:c r="E93" s="26"/>
      <x:c r="F93" s="26"/>
      <x:c r="G93" s="26"/>
      <x:c r="H93" s="26"/>
      <x:c r="I93" s="26"/>
      <x:c r="J93" s="26"/>
      <x:c r="K93" s="26"/>
      <x:c r="N93" s="26"/>
      <x:c r="O93" s="26"/>
      <x:c r="P93" s="26"/>
      <x:c r="Q93" s="26"/>
    </x:row>
    <x:row r="94" ht="15.75" customHeight="1">
      <x:c r="A94" s="26"/>
      <x:c r="B94" s="26"/>
      <x:c r="C94" s="26"/>
      <x:c r="D94" s="26"/>
      <x:c r="E94" s="26"/>
      <x:c r="F94" s="26"/>
      <x:c r="G94" s="26"/>
      <x:c r="H94" s="26"/>
      <x:c r="I94" s="26"/>
      <x:c r="J94" s="26"/>
      <x:c r="K94" s="26"/>
      <x:c r="N94" s="26"/>
      <x:c r="O94" s="26"/>
      <x:c r="P94" s="26"/>
      <x:c r="Q94" s="26"/>
    </x:row>
    <x:row r="95" ht="15.75" customHeight="1">
      <x:c r="A95" s="26"/>
      <x:c r="B95" s="26"/>
      <x:c r="C95" s="26"/>
      <x:c r="D95" s="26"/>
      <x:c r="E95" s="26"/>
      <x:c r="F95" s="26"/>
      <x:c r="G95" s="26"/>
      <x:c r="H95" s="26"/>
      <x:c r="I95" s="26"/>
      <x:c r="J95" s="26"/>
      <x:c r="K95" s="26"/>
      <x:c r="N95" s="26"/>
      <x:c r="O95" s="26"/>
      <x:c r="P95" s="26"/>
      <x:c r="Q95" s="26"/>
    </x:row>
    <x:row r="96" ht="15.75" customHeight="1">
      <x:c r="A96" s="26"/>
      <x:c r="B96" s="26"/>
      <x:c r="C96" s="26"/>
      <x:c r="D96" s="26"/>
      <x:c r="E96" s="26"/>
      <x:c r="F96" s="26"/>
      <x:c r="G96" s="26"/>
      <x:c r="H96" s="26"/>
      <x:c r="I96" s="26"/>
      <x:c r="J96" s="26"/>
      <x:c r="K96" s="26"/>
      <x:c r="N96" s="26"/>
      <x:c r="O96" s="26"/>
      <x:c r="P96" s="26"/>
      <x:c r="Q96" s="26"/>
    </x:row>
    <x:row r="97" ht="15.75" customHeight="1">
      <x:c r="A97" s="26"/>
      <x:c r="B97" s="26"/>
      <x:c r="C97" s="26"/>
      <x:c r="D97" s="26"/>
      <x:c r="E97" s="26"/>
      <x:c r="F97" s="26"/>
      <x:c r="G97" s="26"/>
      <x:c r="H97" s="26"/>
      <x:c r="I97" s="26"/>
      <x:c r="J97" s="26"/>
      <x:c r="K97" s="26"/>
      <x:c r="N97" s="26"/>
      <x:c r="O97" s="26"/>
      <x:c r="P97" s="26"/>
      <x:c r="Q97" s="26"/>
    </x:row>
    <x:row r="98" ht="15.75" customHeight="1">
      <x:c r="A98" s="26"/>
      <x:c r="B98" s="26"/>
      <x:c r="C98" s="26"/>
      <x:c r="D98" s="26"/>
      <x:c r="E98" s="26"/>
      <x:c r="F98" s="26"/>
      <x:c r="G98" s="26"/>
      <x:c r="H98" s="26"/>
      <x:c r="I98" s="26"/>
      <x:c r="J98" s="26"/>
      <x:c r="K98" s="26"/>
      <x:c r="N98" s="26"/>
      <x:c r="O98" s="26"/>
      <x:c r="P98" s="26"/>
      <x:c r="Q98" s="26"/>
    </x:row>
    <x:row r="99" ht="15.75" customHeight="1">
      <x:c r="A99" s="26"/>
      <x:c r="B99" s="26"/>
      <x:c r="C99" s="26"/>
      <x:c r="D99" s="26"/>
      <x:c r="E99" s="26"/>
      <x:c r="F99" s="26"/>
      <x:c r="G99" s="26"/>
      <x:c r="H99" s="26"/>
      <x:c r="I99" s="26"/>
      <x:c r="J99" s="26"/>
      <x:c r="K99" s="26"/>
      <x:c r="N99" s="26"/>
      <x:c r="O99" s="26"/>
      <x:c r="P99" s="26"/>
      <x:c r="Q99" s="26"/>
    </x:row>
    <x:row r="100" ht="15.75" customHeight="1">
      <x:c r="A100" s="26"/>
      <x:c r="B100" s="26"/>
      <x:c r="C100" s="26"/>
      <x:c r="D100" s="26"/>
      <x:c r="E100" s="26"/>
      <x:c r="F100" s="26"/>
      <x:c r="G100" s="26"/>
      <x:c r="H100" s="26"/>
      <x:c r="I100" s="26"/>
      <x:c r="J100" s="26"/>
      <x:c r="K100" s="26"/>
      <x:c r="N100" s="26"/>
      <x:c r="O100" s="26"/>
      <x:c r="P100" s="26"/>
      <x:c r="Q100" s="26"/>
    </x:row>
    <x:row r="101" ht="15.75" customHeight="1">
      <x:c r="A101" s="26"/>
      <x:c r="B101" s="26"/>
      <x:c r="C101" s="26"/>
      <x:c r="D101" s="26"/>
      <x:c r="E101" s="26"/>
      <x:c r="F101" s="26"/>
      <x:c r="G101" s="26"/>
      <x:c r="H101" s="26"/>
      <x:c r="I101" s="26"/>
      <x:c r="J101" s="26"/>
      <x:c r="K101" s="26"/>
      <x:c r="N101" s="26"/>
      <x:c r="O101" s="26"/>
      <x:c r="P101" s="26"/>
      <x:c r="Q101" s="26"/>
    </x:row>
    <x:row r="102" ht="15.75" customHeight="1">
      <x:c r="A102" s="26"/>
      <x:c r="B102" s="26"/>
      <x:c r="C102" s="26"/>
      <x:c r="D102" s="26"/>
      <x:c r="E102" s="26"/>
      <x:c r="F102" s="26"/>
      <x:c r="G102" s="26"/>
      <x:c r="H102" s="26"/>
      <x:c r="I102" s="26"/>
      <x:c r="J102" s="26"/>
      <x:c r="K102" s="26"/>
      <x:c r="N102" s="26"/>
      <x:c r="O102" s="26"/>
      <x:c r="P102" s="26"/>
      <x:c r="Q102" s="26"/>
    </x:row>
    <x:row r="103" ht="15.75" customHeight="1">
      <x:c r="A103" s="26"/>
      <x:c r="B103" s="26"/>
      <x:c r="C103" s="26"/>
      <x:c r="D103" s="26"/>
      <x:c r="E103" s="26"/>
      <x:c r="F103" s="26"/>
      <x:c r="G103" s="26"/>
      <x:c r="H103" s="26"/>
      <x:c r="I103" s="26"/>
      <x:c r="J103" s="26"/>
      <x:c r="K103" s="26"/>
      <x:c r="N103" s="26"/>
      <x:c r="O103" s="26"/>
      <x:c r="P103" s="26"/>
      <x:c r="Q103" s="26"/>
    </x:row>
    <x:row r="104" ht="15.75" customHeight="1">
      <x:c r="A104" s="26"/>
      <x:c r="B104" s="26"/>
      <x:c r="C104" s="26"/>
      <x:c r="D104" s="26"/>
      <x:c r="E104" s="26"/>
      <x:c r="F104" s="26"/>
      <x:c r="G104" s="26"/>
      <x:c r="H104" s="26"/>
      <x:c r="I104" s="26"/>
      <x:c r="J104" s="26"/>
      <x:c r="K104" s="26"/>
      <x:c r="N104" s="26"/>
      <x:c r="O104" s="26"/>
      <x:c r="P104" s="26"/>
      <x:c r="Q104" s="26"/>
    </x:row>
    <x:row r="105" ht="15.75" customHeight="1">
      <x:c r="A105" s="26"/>
      <x:c r="B105" s="26"/>
      <x:c r="C105" s="26"/>
      <x:c r="D105" s="26"/>
      <x:c r="E105" s="26"/>
      <x:c r="F105" s="26"/>
      <x:c r="G105" s="26"/>
      <x:c r="H105" s="26"/>
      <x:c r="I105" s="26"/>
      <x:c r="J105" s="26"/>
      <x:c r="K105" s="26"/>
      <x:c r="N105" s="26"/>
      <x:c r="O105" s="26"/>
      <x:c r="P105" s="26"/>
      <x:c r="Q105" s="26"/>
    </x:row>
    <x:row r="106" ht="15.75" customHeight="1">
      <x:c r="A106" s="26"/>
      <x:c r="B106" s="26"/>
      <x:c r="C106" s="26"/>
      <x:c r="D106" s="26"/>
      <x:c r="E106" s="26"/>
      <x:c r="F106" s="26"/>
      <x:c r="G106" s="26"/>
      <x:c r="H106" s="26"/>
      <x:c r="I106" s="26"/>
      <x:c r="J106" s="26"/>
      <x:c r="K106" s="26"/>
      <x:c r="N106" s="26"/>
      <x:c r="O106" s="26"/>
      <x:c r="P106" s="26"/>
      <x:c r="Q106" s="26"/>
    </x:row>
    <x:row r="107" ht="15.75" customHeight="1">
      <x:c r="A107" s="26"/>
      <x:c r="B107" s="26"/>
      <x:c r="C107" s="26"/>
      <x:c r="D107" s="26"/>
      <x:c r="E107" s="26"/>
      <x:c r="F107" s="26"/>
      <x:c r="G107" s="26"/>
      <x:c r="H107" s="26"/>
      <x:c r="I107" s="26"/>
      <x:c r="J107" s="26"/>
      <x:c r="K107" s="26"/>
      <x:c r="N107" s="26"/>
      <x:c r="O107" s="26"/>
      <x:c r="P107" s="26"/>
      <x:c r="Q107" s="26"/>
    </x:row>
    <x:row r="108" ht="15.75" customHeight="1">
      <x:c r="A108" s="26"/>
      <x:c r="B108" s="26"/>
      <x:c r="C108" s="26"/>
      <x:c r="D108" s="26"/>
      <x:c r="E108" s="26"/>
      <x:c r="F108" s="26"/>
      <x:c r="G108" s="26"/>
      <x:c r="H108" s="26"/>
      <x:c r="I108" s="26"/>
      <x:c r="J108" s="26"/>
      <x:c r="K108" s="26"/>
      <x:c r="N108" s="26"/>
      <x:c r="O108" s="26"/>
      <x:c r="P108" s="26"/>
      <x:c r="Q108" s="26"/>
    </x:row>
    <x:row r="109" ht="15.75" customHeight="1">
      <x:c r="A109" s="26"/>
      <x:c r="B109" s="26"/>
      <x:c r="C109" s="26"/>
      <x:c r="D109" s="26"/>
      <x:c r="E109" s="26"/>
      <x:c r="F109" s="26"/>
      <x:c r="G109" s="26"/>
      <x:c r="H109" s="26"/>
      <x:c r="I109" s="26"/>
      <x:c r="J109" s="26"/>
      <x:c r="K109" s="26"/>
      <x:c r="N109" s="26"/>
      <x:c r="O109" s="26"/>
      <x:c r="P109" s="26"/>
      <x:c r="Q109" s="26"/>
    </x:row>
    <x:row r="110" ht="15.75" customHeight="1">
      <x:c r="A110" s="26"/>
      <x:c r="B110" s="26"/>
      <x:c r="C110" s="26"/>
      <x:c r="D110" s="26"/>
      <x:c r="E110" s="26"/>
      <x:c r="F110" s="26"/>
      <x:c r="G110" s="26"/>
      <x:c r="H110" s="26"/>
      <x:c r="I110" s="26"/>
      <x:c r="J110" s="26"/>
      <x:c r="K110" s="26"/>
      <x:c r="N110" s="26"/>
      <x:c r="O110" s="26"/>
      <x:c r="P110" s="26"/>
      <x:c r="Q110" s="26"/>
    </x:row>
    <x:row r="111" ht="15.75" customHeight="1">
      <x:c r="A111" s="26"/>
      <x:c r="B111" s="26"/>
      <x:c r="C111" s="26"/>
      <x:c r="D111" s="26"/>
      <x:c r="E111" s="26"/>
      <x:c r="F111" s="26"/>
      <x:c r="G111" s="26"/>
      <x:c r="H111" s="26"/>
      <x:c r="I111" s="26"/>
      <x:c r="J111" s="26"/>
      <x:c r="K111" s="26"/>
      <x:c r="N111" s="26"/>
      <x:c r="O111" s="26"/>
      <x:c r="P111" s="26"/>
      <x:c r="Q111" s="26"/>
    </x:row>
    <x:row r="112" ht="15.75" customHeight="1">
      <x:c r="A112" s="26"/>
      <x:c r="B112" s="26"/>
      <x:c r="C112" s="26"/>
      <x:c r="D112" s="26"/>
      <x:c r="E112" s="26"/>
      <x:c r="F112" s="26"/>
      <x:c r="G112" s="26"/>
      <x:c r="H112" s="26"/>
      <x:c r="I112" s="26"/>
      <x:c r="J112" s="26"/>
      <x:c r="K112" s="26"/>
      <x:c r="N112" s="26"/>
      <x:c r="O112" s="26"/>
      <x:c r="P112" s="26"/>
      <x:c r="Q112" s="26"/>
    </x:row>
    <x:row r="113" ht="15.75" customHeight="1">
      <x:c r="A113" s="26"/>
      <x:c r="B113" s="26"/>
      <x:c r="C113" s="26"/>
      <x:c r="D113" s="26"/>
      <x:c r="E113" s="26"/>
      <x:c r="F113" s="26"/>
      <x:c r="G113" s="26"/>
      <x:c r="H113" s="26"/>
      <x:c r="I113" s="26"/>
      <x:c r="J113" s="26"/>
      <x:c r="K113" s="26"/>
      <x:c r="N113" s="26"/>
      <x:c r="O113" s="26"/>
      <x:c r="P113" s="26"/>
      <x:c r="Q113" s="26"/>
    </x:row>
    <x:row r="114" ht="15.75" customHeight="1">
      <x:c r="A114" s="26"/>
      <x:c r="B114" s="26"/>
      <x:c r="C114" s="26"/>
      <x:c r="D114" s="26"/>
      <x:c r="E114" s="26"/>
      <x:c r="F114" s="26"/>
      <x:c r="G114" s="26"/>
      <x:c r="H114" s="26"/>
      <x:c r="I114" s="26"/>
      <x:c r="J114" s="26"/>
      <x:c r="K114" s="26"/>
      <x:c r="N114" s="26"/>
      <x:c r="O114" s="26"/>
      <x:c r="P114" s="26"/>
      <x:c r="Q114" s="26"/>
    </x:row>
    <x:row r="115" ht="15.75" customHeight="1">
      <x:c r="A115" s="26"/>
      <x:c r="B115" s="26"/>
      <x:c r="C115" s="26"/>
      <x:c r="D115" s="26"/>
      <x:c r="E115" s="26"/>
      <x:c r="F115" s="26"/>
      <x:c r="G115" s="26"/>
      <x:c r="H115" s="26"/>
      <x:c r="I115" s="26"/>
      <x:c r="J115" s="26"/>
      <x:c r="K115" s="26"/>
      <x:c r="N115" s="26"/>
      <x:c r="O115" s="26"/>
      <x:c r="P115" s="26"/>
      <x:c r="Q115" s="26"/>
    </x:row>
    <x:row r="116" ht="15.75" customHeight="1">
      <x:c r="A116" s="26"/>
      <x:c r="B116" s="26"/>
      <x:c r="C116" s="26"/>
      <x:c r="D116" s="26"/>
      <x:c r="E116" s="26"/>
      <x:c r="F116" s="26"/>
      <x:c r="G116" s="26"/>
      <x:c r="H116" s="26"/>
      <x:c r="I116" s="26"/>
      <x:c r="J116" s="26"/>
      <x:c r="K116" s="26"/>
      <x:c r="N116" s="26"/>
      <x:c r="O116" s="26"/>
      <x:c r="P116" s="26"/>
      <x:c r="Q116" s="26"/>
    </x:row>
    <x:row r="117" ht="15.75" customHeight="1">
      <x:c r="A117" s="26"/>
      <x:c r="B117" s="26"/>
      <x:c r="C117" s="26"/>
      <x:c r="D117" s="26"/>
      <x:c r="E117" s="26"/>
      <x:c r="F117" s="26"/>
      <x:c r="G117" s="26"/>
      <x:c r="H117" s="26"/>
      <x:c r="I117" s="26"/>
      <x:c r="J117" s="26"/>
      <x:c r="K117" s="26"/>
      <x:c r="N117" s="26"/>
      <x:c r="O117" s="26"/>
      <x:c r="P117" s="26"/>
      <x:c r="Q117" s="26"/>
    </x:row>
    <x:row r="118" ht="15.75" customHeight="1">
      <x:c r="A118" s="26"/>
      <x:c r="B118" s="26"/>
      <x:c r="C118" s="26"/>
      <x:c r="D118" s="26"/>
      <x:c r="E118" s="26"/>
      <x:c r="F118" s="26"/>
      <x:c r="G118" s="26"/>
      <x:c r="H118" s="26"/>
      <x:c r="I118" s="26"/>
      <x:c r="J118" s="26"/>
      <x:c r="K118" s="26"/>
      <x:c r="N118" s="26"/>
      <x:c r="O118" s="26"/>
      <x:c r="P118" s="26"/>
      <x:c r="Q118" s="26"/>
    </x:row>
    <x:row r="119" ht="15.75" customHeight="1">
      <x:c r="A119" s="26"/>
      <x:c r="B119" s="26"/>
      <x:c r="C119" s="26"/>
      <x:c r="D119" s="26"/>
      <x:c r="E119" s="26"/>
      <x:c r="F119" s="26"/>
      <x:c r="G119" s="26"/>
      <x:c r="H119" s="26"/>
      <x:c r="I119" s="26"/>
      <x:c r="J119" s="26"/>
      <x:c r="K119" s="26"/>
      <x:c r="N119" s="26"/>
      <x:c r="O119" s="26"/>
      <x:c r="P119" s="26"/>
      <x:c r="Q119" s="26"/>
    </x:row>
    <x:row r="120" ht="15.75" customHeight="1">
      <x:c r="A120" s="26"/>
      <x:c r="B120" s="26"/>
      <x:c r="C120" s="26"/>
      <x:c r="D120" s="26"/>
      <x:c r="E120" s="26"/>
      <x:c r="F120" s="26"/>
      <x:c r="G120" s="26"/>
      <x:c r="H120" s="26"/>
      <x:c r="I120" s="26"/>
      <x:c r="J120" s="26"/>
      <x:c r="K120" s="26"/>
      <x:c r="N120" s="26"/>
      <x:c r="O120" s="26"/>
      <x:c r="P120" s="26"/>
      <x:c r="Q120" s="26"/>
    </x:row>
    <x:row r="121" ht="15.75" customHeight="1">
      <x:c r="A121" s="26"/>
      <x:c r="B121" s="26"/>
      <x:c r="C121" s="26"/>
      <x:c r="D121" s="26"/>
      <x:c r="E121" s="26"/>
      <x:c r="F121" s="26"/>
      <x:c r="G121" s="26"/>
      <x:c r="H121" s="26"/>
      <x:c r="I121" s="26"/>
      <x:c r="J121" s="26"/>
      <x:c r="K121" s="26"/>
      <x:c r="N121" s="26"/>
      <x:c r="O121" s="26"/>
      <x:c r="P121" s="26"/>
      <x:c r="Q121" s="26"/>
    </x:row>
    <x:row r="122" ht="15.75" customHeight="1">
      <x:c r="A122" s="26"/>
      <x:c r="B122" s="26"/>
      <x:c r="C122" s="26"/>
      <x:c r="D122" s="26"/>
      <x:c r="E122" s="26"/>
      <x:c r="F122" s="26"/>
      <x:c r="G122" s="26"/>
      <x:c r="H122" s="26"/>
      <x:c r="I122" s="26"/>
      <x:c r="J122" s="26"/>
      <x:c r="K122" s="26"/>
      <x:c r="N122" s="26"/>
      <x:c r="O122" s="26"/>
      <x:c r="P122" s="26"/>
      <x:c r="Q122" s="26"/>
    </x:row>
    <x:row r="123" ht="15.75" customHeight="1">
      <x:c r="A123" s="26"/>
      <x:c r="B123" s="26"/>
      <x:c r="C123" s="26"/>
      <x:c r="D123" s="26"/>
      <x:c r="E123" s="26"/>
      <x:c r="F123" s="26"/>
      <x:c r="G123" s="26"/>
      <x:c r="H123" s="26"/>
      <x:c r="I123" s="26"/>
      <x:c r="J123" s="26"/>
      <x:c r="K123" s="26"/>
      <x:c r="N123" s="26"/>
      <x:c r="O123" s="26"/>
      <x:c r="P123" s="26"/>
      <x:c r="Q123" s="26"/>
    </x:row>
    <x:row r="124" ht="15.75" customHeight="1">
      <x:c r="A124" s="26"/>
      <x:c r="B124" s="26"/>
      <x:c r="C124" s="26"/>
      <x:c r="D124" s="26"/>
      <x:c r="E124" s="26"/>
      <x:c r="F124" s="26"/>
      <x:c r="G124" s="26"/>
      <x:c r="H124" s="26"/>
      <x:c r="I124" s="26"/>
      <x:c r="J124" s="26"/>
      <x:c r="K124" s="26"/>
      <x:c r="N124" s="26"/>
      <x:c r="O124" s="26"/>
      <x:c r="P124" s="26"/>
      <x:c r="Q124" s="26"/>
    </x:row>
    <x:row r="125" ht="15.75" customHeight="1">
      <x:c r="A125" s="26"/>
      <x:c r="B125" s="26"/>
      <x:c r="C125" s="26"/>
      <x:c r="D125" s="26"/>
      <x:c r="E125" s="26"/>
      <x:c r="F125" s="26"/>
      <x:c r="G125" s="26"/>
      <x:c r="H125" s="26"/>
      <x:c r="I125" s="26"/>
      <x:c r="J125" s="26"/>
      <x:c r="K125" s="26"/>
      <x:c r="N125" s="26"/>
      <x:c r="O125" s="26"/>
      <x:c r="P125" s="26"/>
      <x:c r="Q125" s="26"/>
    </x:row>
    <x:row r="126" ht="15.75" customHeight="1">
      <x:c r="A126" s="26"/>
      <x:c r="B126" s="26"/>
      <x:c r="C126" s="26"/>
      <x:c r="D126" s="26"/>
      <x:c r="E126" s="26"/>
      <x:c r="F126" s="26"/>
      <x:c r="G126" s="26"/>
      <x:c r="H126" s="26"/>
      <x:c r="I126" s="26"/>
      <x:c r="J126" s="26"/>
      <x:c r="K126" s="26"/>
      <x:c r="N126" s="26"/>
      <x:c r="O126" s="26"/>
      <x:c r="P126" s="26"/>
      <x:c r="Q126" s="26"/>
    </x:row>
    <x:row r="127" ht="15.75" customHeight="1">
      <x:c r="A127" s="26"/>
      <x:c r="B127" s="26"/>
      <x:c r="C127" s="26"/>
      <x:c r="D127" s="26"/>
      <x:c r="E127" s="26"/>
      <x:c r="F127" s="26"/>
      <x:c r="G127" s="26"/>
      <x:c r="H127" s="26"/>
      <x:c r="I127" s="26"/>
      <x:c r="J127" s="26"/>
      <x:c r="K127" s="26"/>
      <x:c r="N127" s="26"/>
      <x:c r="O127" s="26"/>
      <x:c r="P127" s="26"/>
      <x:c r="Q127" s="26"/>
    </x:row>
    <x:row r="128" ht="15.75" customHeight="1">
      <x:c r="A128" s="26"/>
      <x:c r="B128" s="26"/>
      <x:c r="C128" s="26"/>
      <x:c r="D128" s="26"/>
      <x:c r="E128" s="26"/>
      <x:c r="F128" s="26"/>
      <x:c r="G128" s="26"/>
      <x:c r="H128" s="26"/>
      <x:c r="I128" s="26"/>
      <x:c r="J128" s="26"/>
      <x:c r="K128" s="26"/>
      <x:c r="N128" s="26"/>
      <x:c r="O128" s="26"/>
      <x:c r="P128" s="26"/>
      <x:c r="Q128" s="26"/>
    </x:row>
    <x:row r="129" ht="15.75" customHeight="1">
      <x:c r="A129" s="26"/>
      <x:c r="B129" s="26"/>
      <x:c r="C129" s="26"/>
      <x:c r="D129" s="26"/>
      <x:c r="E129" s="26"/>
      <x:c r="F129" s="26"/>
      <x:c r="G129" s="26"/>
      <x:c r="H129" s="26"/>
      <x:c r="I129" s="26"/>
      <x:c r="J129" s="26"/>
      <x:c r="K129" s="26"/>
      <x:c r="N129" s="26"/>
      <x:c r="O129" s="26"/>
      <x:c r="P129" s="26"/>
      <x:c r="Q129" s="26"/>
    </x:row>
    <x:row r="130" ht="15.75" customHeight="1">
      <x:c r="A130" s="26"/>
      <x:c r="B130" s="26"/>
      <x:c r="C130" s="26"/>
      <x:c r="D130" s="26"/>
      <x:c r="E130" s="26"/>
      <x:c r="F130" s="26"/>
      <x:c r="G130" s="26"/>
      <x:c r="H130" s="26"/>
      <x:c r="I130" s="26"/>
      <x:c r="J130" s="26"/>
      <x:c r="K130" s="26"/>
      <x:c r="N130" s="26"/>
      <x:c r="O130" s="26"/>
      <x:c r="P130" s="26"/>
      <x:c r="Q130" s="26"/>
    </x:row>
    <x:row r="131" ht="15.75" customHeight="1">
      <x:c r="A131" s="26"/>
      <x:c r="B131" s="26"/>
      <x:c r="C131" s="26"/>
      <x:c r="D131" s="26"/>
      <x:c r="E131" s="26"/>
      <x:c r="F131" s="26"/>
      <x:c r="G131" s="26"/>
      <x:c r="H131" s="26"/>
      <x:c r="I131" s="26"/>
      <x:c r="J131" s="26"/>
      <x:c r="K131" s="26"/>
      <x:c r="N131" s="26"/>
      <x:c r="O131" s="26"/>
      <x:c r="P131" s="26"/>
      <x:c r="Q131" s="26"/>
    </x:row>
    <x:row r="132" ht="15.75" customHeight="1">
      <x:c r="A132" s="26"/>
      <x:c r="B132" s="26"/>
      <x:c r="C132" s="26"/>
      <x:c r="D132" s="26"/>
      <x:c r="E132" s="26"/>
      <x:c r="F132" s="26"/>
      <x:c r="G132" s="26"/>
      <x:c r="H132" s="26"/>
      <x:c r="I132" s="26"/>
      <x:c r="J132" s="26"/>
      <x:c r="K132" s="26"/>
      <x:c r="N132" s="26"/>
      <x:c r="O132" s="26"/>
      <x:c r="P132" s="26"/>
      <x:c r="Q132" s="26"/>
    </x:row>
    <x:row r="133" ht="15.75" customHeight="1">
      <x:c r="A133" s="26"/>
      <x:c r="B133" s="26"/>
      <x:c r="C133" s="26"/>
      <x:c r="D133" s="26"/>
      <x:c r="E133" s="26"/>
      <x:c r="F133" s="26"/>
      <x:c r="G133" s="26"/>
      <x:c r="H133" s="26"/>
      <x:c r="I133" s="26"/>
      <x:c r="J133" s="26"/>
      <x:c r="K133" s="26"/>
      <x:c r="N133" s="26"/>
      <x:c r="O133" s="26"/>
      <x:c r="P133" s="26"/>
      <x:c r="Q133" s="26"/>
    </x:row>
    <x:row r="134" ht="15.75" customHeight="1">
      <x:c r="A134" s="26"/>
      <x:c r="B134" s="26"/>
      <x:c r="C134" s="26"/>
      <x:c r="D134" s="26"/>
      <x:c r="E134" s="26"/>
      <x:c r="F134" s="26"/>
      <x:c r="G134" s="26"/>
      <x:c r="H134" s="26"/>
      <x:c r="I134" s="26"/>
      <x:c r="J134" s="26"/>
      <x:c r="K134" s="26"/>
      <x:c r="N134" s="26"/>
      <x:c r="O134" s="26"/>
      <x:c r="P134" s="26"/>
      <x:c r="Q134" s="26"/>
    </x:row>
    <x:row r="135" ht="15.75" customHeight="1">
      <x:c r="A135" s="26"/>
      <x:c r="B135" s="26"/>
      <x:c r="C135" s="26"/>
      <x:c r="D135" s="26"/>
      <x:c r="E135" s="26"/>
      <x:c r="F135" s="26"/>
      <x:c r="G135" s="26"/>
      <x:c r="H135" s="26"/>
      <x:c r="I135" s="26"/>
      <x:c r="J135" s="26"/>
      <x:c r="K135" s="26"/>
      <x:c r="N135" s="26"/>
      <x:c r="O135" s="26"/>
      <x:c r="P135" s="26"/>
      <x:c r="Q135" s="26"/>
    </x:row>
    <x:row r="136" ht="15.75" customHeight="1">
      <x:c r="A136" s="26"/>
      <x:c r="B136" s="26"/>
      <x:c r="C136" s="26"/>
      <x:c r="D136" s="26"/>
      <x:c r="E136" s="26"/>
      <x:c r="F136" s="26"/>
      <x:c r="G136" s="26"/>
      <x:c r="H136" s="26"/>
      <x:c r="I136" s="26"/>
      <x:c r="J136" s="26"/>
      <x:c r="K136" s="26"/>
      <x:c r="N136" s="26"/>
      <x:c r="O136" s="26"/>
      <x:c r="P136" s="26"/>
      <x:c r="Q136" s="26"/>
    </x:row>
    <x:row r="137" ht="15.75" customHeight="1">
      <x:c r="A137" s="26"/>
      <x:c r="B137" s="26"/>
      <x:c r="C137" s="26"/>
      <x:c r="D137" s="26"/>
      <x:c r="E137" s="26"/>
      <x:c r="F137" s="26"/>
      <x:c r="G137" s="26"/>
      <x:c r="H137" s="26"/>
      <x:c r="I137" s="26"/>
      <x:c r="J137" s="26"/>
      <x:c r="K137" s="26"/>
      <x:c r="N137" s="26"/>
      <x:c r="O137" s="26"/>
      <x:c r="P137" s="26"/>
      <x:c r="Q137" s="26"/>
    </x:row>
    <x:row r="138" ht="15.75" customHeight="1">
      <x:c r="A138" s="26"/>
      <x:c r="B138" s="26"/>
      <x:c r="C138" s="26"/>
      <x:c r="D138" s="26"/>
      <x:c r="E138" s="26"/>
      <x:c r="F138" s="26"/>
      <x:c r="G138" s="26"/>
      <x:c r="H138" s="26"/>
      <x:c r="I138" s="26"/>
      <x:c r="J138" s="26"/>
      <x:c r="K138" s="26"/>
      <x:c r="N138" s="26"/>
      <x:c r="O138" s="26"/>
      <x:c r="P138" s="26"/>
      <x:c r="Q138" s="26"/>
    </x:row>
    <x:row r="139" ht="15.75" customHeight="1">
      <x:c r="A139" s="26"/>
      <x:c r="B139" s="26"/>
      <x:c r="C139" s="26"/>
      <x:c r="D139" s="26"/>
      <x:c r="E139" s="26"/>
      <x:c r="F139" s="26"/>
      <x:c r="G139" s="26"/>
      <x:c r="H139" s="26"/>
      <x:c r="I139" s="26"/>
      <x:c r="J139" s="26"/>
      <x:c r="K139" s="26"/>
      <x:c r="N139" s="26"/>
      <x:c r="O139" s="26"/>
      <x:c r="P139" s="26"/>
      <x:c r="Q139" s="26"/>
    </x:row>
    <x:row r="140" ht="15.75" customHeight="1">
      <x:c r="A140" s="26"/>
      <x:c r="B140" s="26"/>
      <x:c r="C140" s="26"/>
      <x:c r="D140" s="26"/>
      <x:c r="E140" s="26"/>
      <x:c r="F140" s="26"/>
      <x:c r="G140" s="26"/>
      <x:c r="H140" s="26"/>
      <x:c r="I140" s="26"/>
      <x:c r="J140" s="26"/>
      <x:c r="K140" s="26"/>
      <x:c r="N140" s="26"/>
      <x:c r="O140" s="26"/>
      <x:c r="P140" s="26"/>
      <x:c r="Q140" s="26"/>
    </x:row>
    <x:row r="141" ht="15.75" customHeight="1">
      <x:c r="A141" s="26"/>
      <x:c r="B141" s="26"/>
      <x:c r="C141" s="26"/>
      <x:c r="D141" s="26"/>
      <x:c r="E141" s="26"/>
      <x:c r="F141" s="26"/>
      <x:c r="G141" s="26"/>
      <x:c r="H141" s="26"/>
      <x:c r="I141" s="26"/>
      <x:c r="J141" s="26"/>
      <x:c r="K141" s="26"/>
      <x:c r="N141" s="26"/>
      <x:c r="O141" s="26"/>
      <x:c r="P141" s="26"/>
      <x:c r="Q141" s="26"/>
    </x:row>
    <x:row r="142" ht="15.75" customHeight="1">
      <x:c r="A142" s="26"/>
      <x:c r="B142" s="26"/>
      <x:c r="C142" s="26"/>
      <x:c r="D142" s="26"/>
      <x:c r="E142" s="26"/>
      <x:c r="F142" s="26"/>
      <x:c r="G142" s="26"/>
      <x:c r="H142" s="26"/>
      <x:c r="I142" s="26"/>
      <x:c r="J142" s="26"/>
      <x:c r="K142" s="26"/>
      <x:c r="N142" s="26"/>
      <x:c r="O142" s="26"/>
      <x:c r="P142" s="26"/>
      <x:c r="Q142" s="26"/>
    </x:row>
    <x:row r="143" ht="15.75" customHeight="1">
      <x:c r="A143" s="26"/>
      <x:c r="B143" s="26"/>
      <x:c r="C143" s="26"/>
      <x:c r="D143" s="26"/>
      <x:c r="E143" s="26"/>
      <x:c r="F143" s="26"/>
      <x:c r="G143" s="26"/>
      <x:c r="H143" s="26"/>
      <x:c r="I143" s="26"/>
      <x:c r="J143" s="26"/>
      <x:c r="K143" s="26"/>
      <x:c r="N143" s="26"/>
      <x:c r="O143" s="26"/>
      <x:c r="P143" s="26"/>
      <x:c r="Q143" s="26"/>
    </x:row>
    <x:row r="144" ht="15.75" customHeight="1">
      <x:c r="A144" s="26"/>
      <x:c r="B144" s="26"/>
      <x:c r="C144" s="26"/>
      <x:c r="D144" s="26"/>
      <x:c r="E144" s="26"/>
      <x:c r="F144" s="26"/>
      <x:c r="G144" s="26"/>
      <x:c r="H144" s="26"/>
      <x:c r="I144" s="26"/>
      <x:c r="J144" s="26"/>
      <x:c r="K144" s="26"/>
      <x:c r="N144" s="26"/>
      <x:c r="O144" s="26"/>
      <x:c r="P144" s="26"/>
      <x:c r="Q144" s="26"/>
    </x:row>
    <x:row r="145" ht="15.75" customHeight="1">
      <x:c r="A145" s="26"/>
      <x:c r="B145" s="26"/>
      <x:c r="C145" s="26"/>
      <x:c r="D145" s="26"/>
      <x:c r="E145" s="26"/>
      <x:c r="F145" s="26"/>
      <x:c r="G145" s="26"/>
      <x:c r="H145" s="26"/>
      <x:c r="I145" s="26"/>
      <x:c r="J145" s="26"/>
      <x:c r="K145" s="26"/>
      <x:c r="N145" s="26"/>
      <x:c r="O145" s="26"/>
      <x:c r="P145" s="26"/>
      <x:c r="Q145" s="26"/>
    </x:row>
    <x:row r="146" ht="15.75" customHeight="1">
      <x:c r="A146" s="26"/>
      <x:c r="B146" s="26"/>
      <x:c r="C146" s="26"/>
      <x:c r="D146" s="26"/>
      <x:c r="E146" s="26"/>
      <x:c r="F146" s="26"/>
      <x:c r="G146" s="26"/>
      <x:c r="H146" s="26"/>
      <x:c r="I146" s="26"/>
      <x:c r="J146" s="26"/>
      <x:c r="K146" s="26"/>
      <x:c r="N146" s="26"/>
      <x:c r="O146" s="26"/>
      <x:c r="P146" s="26"/>
      <x:c r="Q146" s="26"/>
    </x:row>
    <x:row r="147" ht="15.75" customHeight="1">
      <x:c r="A147" s="26"/>
      <x:c r="B147" s="26"/>
      <x:c r="C147" s="26"/>
      <x:c r="D147" s="26"/>
      <x:c r="E147" s="26"/>
      <x:c r="F147" s="26"/>
      <x:c r="G147" s="26"/>
      <x:c r="H147" s="26"/>
      <x:c r="I147" s="26"/>
      <x:c r="J147" s="26"/>
      <x:c r="K147" s="26"/>
      <x:c r="N147" s="26"/>
      <x:c r="O147" s="26"/>
      <x:c r="P147" s="26"/>
      <x:c r="Q147" s="26"/>
    </x:row>
    <x:row r="148" ht="15.75" customHeight="1">
      <x:c r="A148" s="26"/>
      <x:c r="B148" s="26"/>
      <x:c r="C148" s="26"/>
      <x:c r="D148" s="26"/>
      <x:c r="E148" s="26"/>
      <x:c r="F148" s="26"/>
      <x:c r="G148" s="26"/>
      <x:c r="H148" s="26"/>
      <x:c r="I148" s="26"/>
      <x:c r="J148" s="26"/>
      <x:c r="K148" s="26"/>
      <x:c r="N148" s="26"/>
      <x:c r="O148" s="26"/>
      <x:c r="P148" s="26"/>
      <x:c r="Q148" s="26"/>
    </x:row>
    <x:row r="149" ht="15.75" customHeight="1">
      <x:c r="A149" s="26"/>
      <x:c r="B149" s="26"/>
      <x:c r="C149" s="26"/>
      <x:c r="D149" s="26"/>
      <x:c r="E149" s="26"/>
      <x:c r="F149" s="26"/>
      <x:c r="G149" s="26"/>
      <x:c r="H149" s="26"/>
      <x:c r="I149" s="26"/>
      <x:c r="J149" s="26"/>
      <x:c r="K149" s="26"/>
      <x:c r="N149" s="26"/>
      <x:c r="O149" s="26"/>
      <x:c r="P149" s="26"/>
      <x:c r="Q149" s="26"/>
    </x:row>
    <x:row r="150" ht="15.75" customHeight="1">
      <x:c r="A150" s="26"/>
      <x:c r="B150" s="26"/>
      <x:c r="C150" s="26"/>
      <x:c r="D150" s="26"/>
      <x:c r="E150" s="26"/>
      <x:c r="F150" s="26"/>
      <x:c r="G150" s="26"/>
      <x:c r="H150" s="26"/>
      <x:c r="I150" s="26"/>
      <x:c r="J150" s="26"/>
      <x:c r="K150" s="26"/>
      <x:c r="N150" s="26"/>
      <x:c r="O150" s="26"/>
      <x:c r="P150" s="26"/>
      <x:c r="Q150" s="26"/>
    </x:row>
    <x:row r="151" ht="15.75" customHeight="1">
      <x:c r="A151" s="26"/>
      <x:c r="B151" s="26"/>
      <x:c r="C151" s="26"/>
      <x:c r="D151" s="26"/>
      <x:c r="E151" s="26"/>
      <x:c r="F151" s="26"/>
      <x:c r="G151" s="26"/>
      <x:c r="H151" s="26"/>
      <x:c r="I151" s="26"/>
      <x:c r="J151" s="26"/>
      <x:c r="K151" s="26"/>
      <x:c r="N151" s="26"/>
      <x:c r="O151" s="26"/>
      <x:c r="P151" s="26"/>
      <x:c r="Q151" s="26"/>
    </x:row>
    <x:row r="152" ht="15.75" customHeight="1">
      <x:c r="A152" s="26"/>
      <x:c r="B152" s="26"/>
      <x:c r="C152" s="26"/>
      <x:c r="D152" s="26"/>
      <x:c r="E152" s="26"/>
      <x:c r="F152" s="26"/>
      <x:c r="G152" s="26"/>
      <x:c r="H152" s="26"/>
      <x:c r="I152" s="26"/>
      <x:c r="J152" s="26"/>
      <x:c r="K152" s="26"/>
      <x:c r="N152" s="26"/>
      <x:c r="O152" s="26"/>
      <x:c r="P152" s="26"/>
      <x:c r="Q152" s="26"/>
    </x:row>
    <x:row r="153" ht="15.75" customHeight="1">
      <x:c r="A153" s="26"/>
      <x:c r="B153" s="26"/>
      <x:c r="C153" s="26"/>
      <x:c r="D153" s="26"/>
      <x:c r="E153" s="26"/>
      <x:c r="F153" s="26"/>
      <x:c r="G153" s="26"/>
      <x:c r="H153" s="26"/>
      <x:c r="I153" s="26"/>
      <x:c r="J153" s="26"/>
      <x:c r="K153" s="26"/>
      <x:c r="N153" s="26"/>
      <x:c r="O153" s="26"/>
      <x:c r="P153" s="26"/>
      <x:c r="Q153" s="26"/>
    </x:row>
    <x:row r="154" ht="15.75" customHeight="1">
      <x:c r="A154" s="26"/>
      <x:c r="B154" s="26"/>
      <x:c r="C154" s="26"/>
      <x:c r="D154" s="26"/>
      <x:c r="E154" s="26"/>
      <x:c r="F154" s="26"/>
      <x:c r="G154" s="26"/>
      <x:c r="H154" s="26"/>
      <x:c r="I154" s="26"/>
      <x:c r="J154" s="26"/>
      <x:c r="K154" s="26"/>
      <x:c r="N154" s="26"/>
      <x:c r="O154" s="26"/>
      <x:c r="P154" s="26"/>
      <x:c r="Q154" s="26"/>
    </x:row>
    <x:row r="155" ht="15.75" customHeight="1">
      <x:c r="A155" s="26"/>
      <x:c r="B155" s="26"/>
      <x:c r="C155" s="26"/>
      <x:c r="D155" s="26"/>
      <x:c r="E155" s="26"/>
      <x:c r="F155" s="26"/>
      <x:c r="G155" s="26"/>
      <x:c r="H155" s="26"/>
      <x:c r="I155" s="26"/>
      <x:c r="J155" s="26"/>
      <x:c r="K155" s="26"/>
      <x:c r="N155" s="26"/>
      <x:c r="O155" s="26"/>
      <x:c r="P155" s="26"/>
      <x:c r="Q155" s="26"/>
    </x:row>
    <x:row r="156" ht="15.75" customHeight="1">
      <x:c r="A156" s="26"/>
      <x:c r="B156" s="26"/>
      <x:c r="C156" s="26"/>
      <x:c r="D156" s="26"/>
      <x:c r="E156" s="26"/>
      <x:c r="F156" s="26"/>
      <x:c r="G156" s="26"/>
      <x:c r="H156" s="26"/>
      <x:c r="I156" s="26"/>
      <x:c r="J156" s="26"/>
      <x:c r="K156" s="26"/>
      <x:c r="N156" s="26"/>
      <x:c r="O156" s="26"/>
      <x:c r="P156" s="26"/>
      <x:c r="Q156" s="26"/>
    </x:row>
    <x:row r="157" ht="15.75" customHeight="1">
      <x:c r="A157" s="26"/>
      <x:c r="B157" s="26"/>
      <x:c r="C157" s="26"/>
      <x:c r="D157" s="26"/>
      <x:c r="E157" s="26"/>
      <x:c r="F157" s="26"/>
      <x:c r="G157" s="26"/>
      <x:c r="H157" s="26"/>
      <x:c r="I157" s="26"/>
      <x:c r="J157" s="26"/>
      <x:c r="K157" s="26"/>
      <x:c r="N157" s="26"/>
      <x:c r="O157" s="26"/>
      <x:c r="P157" s="26"/>
      <x:c r="Q157" s="26"/>
    </x:row>
    <x:row r="158" ht="15.75" customHeight="1">
      <x:c r="A158" s="26"/>
      <x:c r="B158" s="26"/>
      <x:c r="C158" s="26"/>
      <x:c r="D158" s="26"/>
      <x:c r="E158" s="26"/>
      <x:c r="F158" s="26"/>
      <x:c r="G158" s="26"/>
      <x:c r="H158" s="26"/>
      <x:c r="I158" s="26"/>
      <x:c r="J158" s="26"/>
      <x:c r="K158" s="26"/>
      <x:c r="N158" s="26"/>
      <x:c r="O158" s="26"/>
      <x:c r="P158" s="26"/>
      <x:c r="Q158" s="26"/>
    </x:row>
    <x:row r="159" ht="15.75" customHeight="1">
      <x:c r="A159" s="26"/>
      <x:c r="B159" s="26"/>
      <x:c r="C159" s="26"/>
      <x:c r="D159" s="26"/>
      <x:c r="E159" s="26"/>
      <x:c r="F159" s="26"/>
      <x:c r="G159" s="26"/>
      <x:c r="H159" s="26"/>
      <x:c r="I159" s="26"/>
      <x:c r="J159" s="26"/>
      <x:c r="K159" s="26"/>
      <x:c r="N159" s="26"/>
      <x:c r="O159" s="26"/>
      <x:c r="P159" s="26"/>
      <x:c r="Q159" s="26"/>
    </x:row>
    <x:row r="160" ht="15.75" customHeight="1">
      <x:c r="A160" s="26"/>
      <x:c r="B160" s="26"/>
      <x:c r="C160" s="26"/>
      <x:c r="D160" s="26"/>
      <x:c r="E160" s="26"/>
      <x:c r="F160" s="26"/>
      <x:c r="G160" s="26"/>
      <x:c r="H160" s="26"/>
      <x:c r="I160" s="26"/>
      <x:c r="J160" s="26"/>
      <x:c r="K160" s="26"/>
      <x:c r="N160" s="26"/>
      <x:c r="O160" s="26"/>
      <x:c r="P160" s="26"/>
      <x:c r="Q160" s="26"/>
    </x:row>
    <x:row r="161" ht="15.75" customHeight="1">
      <x:c r="A161" s="26"/>
      <x:c r="B161" s="26"/>
      <x:c r="C161" s="26"/>
      <x:c r="D161" s="26"/>
      <x:c r="E161" s="26"/>
      <x:c r="F161" s="26"/>
      <x:c r="G161" s="26"/>
      <x:c r="H161" s="26"/>
      <x:c r="I161" s="26"/>
      <x:c r="J161" s="26"/>
      <x:c r="K161" s="26"/>
      <x:c r="N161" s="26"/>
      <x:c r="O161" s="26"/>
      <x:c r="P161" s="26"/>
      <x:c r="Q161" s="26"/>
    </x:row>
    <x:row r="162" ht="15.75" customHeight="1">
      <x:c r="A162" s="26"/>
      <x:c r="B162" s="26"/>
      <x:c r="C162" s="26"/>
      <x:c r="D162" s="26"/>
      <x:c r="E162" s="26"/>
      <x:c r="F162" s="26"/>
      <x:c r="G162" s="26"/>
      <x:c r="H162" s="26"/>
      <x:c r="I162" s="26"/>
      <x:c r="J162" s="26"/>
      <x:c r="K162" s="26"/>
      <x:c r="N162" s="26"/>
      <x:c r="O162" s="26"/>
      <x:c r="P162" s="26"/>
      <x:c r="Q162" s="26"/>
    </x:row>
    <x:row r="163" ht="15.75" customHeight="1">
      <x:c r="A163" s="26"/>
      <x:c r="B163" s="26"/>
      <x:c r="C163" s="26"/>
      <x:c r="D163" s="26"/>
      <x:c r="E163" s="26"/>
      <x:c r="F163" s="26"/>
      <x:c r="G163" s="26"/>
      <x:c r="H163" s="26"/>
      <x:c r="I163" s="26"/>
      <x:c r="J163" s="26"/>
      <x:c r="K163" s="26"/>
      <x:c r="N163" s="26"/>
      <x:c r="O163" s="26"/>
      <x:c r="P163" s="26"/>
      <x:c r="Q163" s="26"/>
    </x:row>
    <x:row r="164" ht="15.75" customHeight="1">
      <x:c r="A164" s="26"/>
      <x:c r="B164" s="26"/>
      <x:c r="C164" s="26"/>
      <x:c r="D164" s="26"/>
      <x:c r="E164" s="26"/>
      <x:c r="F164" s="26"/>
      <x:c r="G164" s="26"/>
      <x:c r="H164" s="26"/>
      <x:c r="I164" s="26"/>
      <x:c r="J164" s="26"/>
      <x:c r="K164" s="26"/>
      <x:c r="N164" s="26"/>
      <x:c r="O164" s="26"/>
      <x:c r="P164" s="26"/>
      <x:c r="Q164" s="26"/>
    </x:row>
    <x:row r="165" ht="15.75" customHeight="1">
      <x:c r="A165" s="26"/>
      <x:c r="B165" s="26"/>
      <x:c r="C165" s="26"/>
      <x:c r="D165" s="26"/>
      <x:c r="E165" s="26"/>
      <x:c r="F165" s="26"/>
      <x:c r="G165" s="26"/>
      <x:c r="H165" s="26"/>
      <x:c r="I165" s="26"/>
      <x:c r="J165" s="26"/>
      <x:c r="K165" s="26"/>
      <x:c r="N165" s="26"/>
      <x:c r="O165" s="26"/>
      <x:c r="P165" s="26"/>
      <x:c r="Q165" s="26"/>
    </x:row>
    <x:row r="166" ht="15.75" customHeight="1">
      <x:c r="A166" s="26"/>
      <x:c r="B166" s="26"/>
      <x:c r="C166" s="26"/>
      <x:c r="D166" s="26"/>
      <x:c r="E166" s="26"/>
      <x:c r="F166" s="26"/>
      <x:c r="G166" s="26"/>
      <x:c r="H166" s="26"/>
      <x:c r="I166" s="26"/>
      <x:c r="J166" s="26"/>
      <x:c r="K166" s="26"/>
      <x:c r="N166" s="26"/>
      <x:c r="O166" s="26"/>
      <x:c r="P166" s="26"/>
      <x:c r="Q166" s="26"/>
    </x:row>
    <x:row r="167" ht="15.75" customHeight="1">
      <x:c r="A167" s="26"/>
      <x:c r="B167" s="26"/>
      <x:c r="C167" s="26"/>
      <x:c r="D167" s="26"/>
      <x:c r="E167" s="26"/>
      <x:c r="F167" s="26"/>
      <x:c r="G167" s="26"/>
      <x:c r="H167" s="26"/>
      <x:c r="I167" s="26"/>
      <x:c r="J167" s="26"/>
      <x:c r="K167" s="26"/>
      <x:c r="N167" s="26"/>
      <x:c r="O167" s="26"/>
      <x:c r="P167" s="26"/>
      <x:c r="Q167" s="26"/>
    </x:row>
    <x:row r="168" ht="15.75" customHeight="1">
      <x:c r="A168" s="26"/>
      <x:c r="B168" s="26"/>
      <x:c r="C168" s="26"/>
      <x:c r="D168" s="26"/>
      <x:c r="E168" s="26"/>
      <x:c r="F168" s="26"/>
      <x:c r="G168" s="26"/>
      <x:c r="H168" s="26"/>
      <x:c r="I168" s="26"/>
      <x:c r="J168" s="26"/>
      <x:c r="K168" s="26"/>
      <x:c r="N168" s="26"/>
      <x:c r="O168" s="26"/>
      <x:c r="P168" s="26"/>
      <x:c r="Q168" s="26"/>
    </x:row>
    <x:row r="169" ht="15.75" customHeight="1">
      <x:c r="A169" s="26"/>
      <x:c r="B169" s="26"/>
      <x:c r="C169" s="26"/>
      <x:c r="D169" s="26"/>
      <x:c r="E169" s="26"/>
      <x:c r="F169" s="26"/>
      <x:c r="G169" s="26"/>
      <x:c r="H169" s="26"/>
      <x:c r="I169" s="26"/>
      <x:c r="J169" s="26"/>
      <x:c r="K169" s="26"/>
      <x:c r="N169" s="26"/>
      <x:c r="O169" s="26"/>
      <x:c r="P169" s="26"/>
      <x:c r="Q169" s="26"/>
    </x:row>
    <x:row r="170" ht="15.75" customHeight="1">
      <x:c r="A170" s="26"/>
      <x:c r="B170" s="26"/>
      <x:c r="C170" s="26"/>
      <x:c r="D170" s="26"/>
      <x:c r="E170" s="26"/>
      <x:c r="F170" s="26"/>
      <x:c r="G170" s="26"/>
      <x:c r="H170" s="26"/>
      <x:c r="I170" s="26"/>
      <x:c r="J170" s="26"/>
      <x:c r="K170" s="26"/>
      <x:c r="N170" s="26"/>
      <x:c r="O170" s="26"/>
      <x:c r="P170" s="26"/>
      <x:c r="Q170" s="26"/>
    </x:row>
    <x:row r="171" ht="15.75" customHeight="1">
      <x:c r="A171" s="26"/>
      <x:c r="B171" s="26"/>
      <x:c r="C171" s="26"/>
      <x:c r="D171" s="26"/>
      <x:c r="E171" s="26"/>
      <x:c r="F171" s="26"/>
      <x:c r="G171" s="26"/>
      <x:c r="H171" s="26"/>
      <x:c r="I171" s="26"/>
      <x:c r="J171" s="26"/>
      <x:c r="K171" s="26"/>
      <x:c r="N171" s="26"/>
      <x:c r="O171" s="26"/>
      <x:c r="P171" s="26"/>
      <x:c r="Q171" s="26"/>
    </x:row>
    <x:row r="172" ht="15.75" customHeight="1">
      <x:c r="A172" s="26"/>
      <x:c r="B172" s="26"/>
      <x:c r="C172" s="26"/>
      <x:c r="D172" s="26"/>
      <x:c r="E172" s="26"/>
      <x:c r="F172" s="26"/>
      <x:c r="G172" s="26"/>
      <x:c r="H172" s="26"/>
      <x:c r="I172" s="26"/>
      <x:c r="J172" s="26"/>
      <x:c r="K172" s="26"/>
      <x:c r="N172" s="26"/>
      <x:c r="O172" s="26"/>
      <x:c r="P172" s="26"/>
      <x:c r="Q172" s="26"/>
    </x:row>
    <x:row r="173" ht="15.75" customHeight="1">
      <x:c r="A173" s="26"/>
      <x:c r="B173" s="26"/>
      <x:c r="C173" s="26"/>
      <x:c r="D173" s="26"/>
      <x:c r="E173" s="26"/>
      <x:c r="F173" s="26"/>
      <x:c r="G173" s="26"/>
      <x:c r="H173" s="26"/>
      <x:c r="I173" s="26"/>
      <x:c r="J173" s="26"/>
      <x:c r="K173" s="26"/>
      <x:c r="N173" s="26"/>
      <x:c r="O173" s="26"/>
      <x:c r="P173" s="26"/>
      <x:c r="Q173" s="26"/>
    </x:row>
    <x:row r="174" ht="15.75" customHeight="1">
      <x:c r="A174" s="26"/>
      <x:c r="B174" s="26"/>
      <x:c r="C174" s="26"/>
      <x:c r="D174" s="26"/>
      <x:c r="E174" s="26"/>
      <x:c r="F174" s="26"/>
      <x:c r="G174" s="26"/>
      <x:c r="H174" s="26"/>
      <x:c r="I174" s="26"/>
      <x:c r="J174" s="26"/>
      <x:c r="K174" s="26"/>
      <x:c r="N174" s="26"/>
      <x:c r="O174" s="26"/>
      <x:c r="P174" s="26"/>
      <x:c r="Q174" s="26"/>
    </x:row>
    <x:row r="175" ht="15.75" customHeight="1">
      <x:c r="A175" s="26"/>
      <x:c r="B175" s="26"/>
      <x:c r="C175" s="26"/>
      <x:c r="D175" s="26"/>
      <x:c r="E175" s="26"/>
      <x:c r="F175" s="26"/>
      <x:c r="G175" s="26"/>
      <x:c r="H175" s="26"/>
      <x:c r="I175" s="26"/>
      <x:c r="J175" s="26"/>
      <x:c r="K175" s="26"/>
      <x:c r="N175" s="26"/>
      <x:c r="O175" s="26"/>
      <x:c r="P175" s="26"/>
      <x:c r="Q175" s="26"/>
    </x:row>
    <x:row r="176" ht="15.75" customHeight="1">
      <x:c r="A176" s="26"/>
      <x:c r="B176" s="26"/>
      <x:c r="C176" s="26"/>
      <x:c r="D176" s="26"/>
      <x:c r="E176" s="26"/>
      <x:c r="F176" s="26"/>
      <x:c r="G176" s="26"/>
      <x:c r="H176" s="26"/>
      <x:c r="I176" s="26"/>
      <x:c r="J176" s="26"/>
      <x:c r="K176" s="26"/>
      <x:c r="N176" s="26"/>
      <x:c r="O176" s="26"/>
      <x:c r="P176" s="26"/>
      <x:c r="Q176" s="26"/>
    </x:row>
    <x:row r="177" ht="15.75" customHeight="1">
      <x:c r="A177" s="26"/>
      <x:c r="B177" s="26"/>
      <x:c r="C177" s="26"/>
      <x:c r="D177" s="26"/>
      <x:c r="E177" s="26"/>
      <x:c r="F177" s="26"/>
      <x:c r="G177" s="26"/>
      <x:c r="H177" s="26"/>
      <x:c r="I177" s="26"/>
      <x:c r="J177" s="26"/>
      <x:c r="K177" s="26"/>
      <x:c r="N177" s="26"/>
      <x:c r="O177" s="26"/>
      <x:c r="P177" s="26"/>
      <x:c r="Q177" s="26"/>
    </x:row>
    <x:row r="178" ht="15.75" customHeight="1">
      <x:c r="A178" s="26"/>
      <x:c r="B178" s="26"/>
      <x:c r="C178" s="26"/>
      <x:c r="D178" s="26"/>
      <x:c r="E178" s="26"/>
      <x:c r="F178" s="26"/>
      <x:c r="G178" s="26"/>
      <x:c r="H178" s="26"/>
      <x:c r="I178" s="26"/>
      <x:c r="J178" s="26"/>
      <x:c r="K178" s="26"/>
      <x:c r="N178" s="26"/>
      <x:c r="O178" s="26"/>
      <x:c r="P178" s="26"/>
      <x:c r="Q178" s="26"/>
    </x:row>
    <x:row r="179" ht="15.75" customHeight="1">
      <x:c r="A179" s="26"/>
      <x:c r="B179" s="26"/>
      <x:c r="C179" s="26"/>
      <x:c r="D179" s="26"/>
      <x:c r="E179" s="26"/>
      <x:c r="F179" s="26"/>
      <x:c r="G179" s="26"/>
      <x:c r="H179" s="26"/>
      <x:c r="I179" s="26"/>
      <x:c r="J179" s="26"/>
      <x:c r="K179" s="26"/>
      <x:c r="N179" s="26"/>
      <x:c r="O179" s="26"/>
      <x:c r="P179" s="26"/>
      <x:c r="Q179" s="26"/>
    </x:row>
    <x:row r="180" ht="15.75" customHeight="1">
      <x:c r="A180" s="26"/>
      <x:c r="B180" s="26"/>
      <x:c r="C180" s="26"/>
      <x:c r="D180" s="26"/>
      <x:c r="E180" s="26"/>
      <x:c r="F180" s="26"/>
      <x:c r="G180" s="26"/>
      <x:c r="H180" s="26"/>
      <x:c r="I180" s="26"/>
      <x:c r="J180" s="26"/>
      <x:c r="K180" s="26"/>
      <x:c r="N180" s="26"/>
      <x:c r="O180" s="26"/>
      <x:c r="P180" s="26"/>
      <x:c r="Q180" s="26"/>
    </x:row>
    <x:row r="181" ht="15.75" customHeight="1">
      <x:c r="A181" s="26"/>
      <x:c r="B181" s="26"/>
      <x:c r="C181" s="26"/>
      <x:c r="D181" s="26"/>
      <x:c r="E181" s="26"/>
      <x:c r="F181" s="26"/>
      <x:c r="G181" s="26"/>
      <x:c r="H181" s="26"/>
      <x:c r="I181" s="26"/>
      <x:c r="J181" s="26"/>
      <x:c r="K181" s="26"/>
      <x:c r="N181" s="26"/>
      <x:c r="O181" s="26"/>
      <x:c r="P181" s="26"/>
      <x:c r="Q181" s="26"/>
    </x:row>
    <x:row r="182" ht="15.75" customHeight="1">
      <x:c r="A182" s="26"/>
      <x:c r="B182" s="26"/>
      <x:c r="C182" s="26"/>
      <x:c r="D182" s="26"/>
      <x:c r="E182" s="26"/>
      <x:c r="F182" s="26"/>
      <x:c r="G182" s="26"/>
      <x:c r="H182" s="26"/>
      <x:c r="I182" s="26"/>
      <x:c r="J182" s="26"/>
      <x:c r="K182" s="26"/>
      <x:c r="N182" s="26"/>
      <x:c r="O182" s="26"/>
      <x:c r="P182" s="26"/>
      <x:c r="Q182" s="26"/>
    </x:row>
    <x:row r="183" ht="15.75" customHeight="1">
      <x:c r="A183" s="26"/>
      <x:c r="B183" s="26"/>
      <x:c r="C183" s="26"/>
      <x:c r="D183" s="26"/>
      <x:c r="E183" s="26"/>
      <x:c r="F183" s="26"/>
      <x:c r="G183" s="26"/>
      <x:c r="H183" s="26"/>
      <x:c r="I183" s="26"/>
      <x:c r="J183" s="26"/>
      <x:c r="K183" s="26"/>
      <x:c r="N183" s="26"/>
      <x:c r="O183" s="26"/>
      <x:c r="P183" s="26"/>
      <x:c r="Q183" s="26"/>
    </x:row>
    <x:row r="184" ht="15.75" customHeight="1">
      <x:c r="A184" s="26"/>
      <x:c r="B184" s="26"/>
      <x:c r="C184" s="26"/>
      <x:c r="D184" s="26"/>
      <x:c r="E184" s="26"/>
      <x:c r="F184" s="26"/>
      <x:c r="G184" s="26"/>
      <x:c r="H184" s="26"/>
      <x:c r="I184" s="26"/>
      <x:c r="J184" s="26"/>
      <x:c r="K184" s="26"/>
      <x:c r="N184" s="26"/>
      <x:c r="O184" s="26"/>
      <x:c r="P184" s="26"/>
      <x:c r="Q184" s="26"/>
    </x:row>
    <x:row r="185" ht="15.75" customHeight="1">
      <x:c r="A185" s="26"/>
      <x:c r="B185" s="26"/>
      <x:c r="C185" s="26"/>
      <x:c r="D185" s="26"/>
      <x:c r="E185" s="26"/>
      <x:c r="F185" s="26"/>
      <x:c r="G185" s="26"/>
      <x:c r="H185" s="26"/>
      <x:c r="I185" s="26"/>
      <x:c r="J185" s="26"/>
      <x:c r="K185" s="26"/>
      <x:c r="N185" s="26"/>
      <x:c r="O185" s="26"/>
      <x:c r="P185" s="26"/>
      <x:c r="Q185" s="26"/>
    </x:row>
    <x:row r="186" ht="15.75" customHeight="1">
      <x:c r="A186" s="26"/>
      <x:c r="B186" s="26"/>
      <x:c r="C186" s="26"/>
      <x:c r="D186" s="26"/>
      <x:c r="E186" s="26"/>
      <x:c r="F186" s="26"/>
      <x:c r="G186" s="26"/>
      <x:c r="H186" s="26"/>
      <x:c r="I186" s="26"/>
      <x:c r="J186" s="26"/>
      <x:c r="K186" s="26"/>
      <x:c r="N186" s="26"/>
      <x:c r="O186" s="26"/>
      <x:c r="P186" s="26"/>
      <x:c r="Q186" s="26"/>
    </x:row>
    <x:row r="187" ht="15.75" customHeight="1">
      <x:c r="A187" s="26"/>
      <x:c r="B187" s="26"/>
      <x:c r="C187" s="26"/>
      <x:c r="D187" s="26"/>
      <x:c r="E187" s="26"/>
      <x:c r="F187" s="26"/>
      <x:c r="G187" s="26"/>
      <x:c r="H187" s="26"/>
      <x:c r="I187" s="26"/>
      <x:c r="J187" s="26"/>
      <x:c r="K187" s="26"/>
      <x:c r="N187" s="26"/>
      <x:c r="O187" s="26"/>
      <x:c r="P187" s="26"/>
      <x:c r="Q187" s="26"/>
    </x:row>
    <x:row r="188" ht="15.75" customHeight="1">
      <x:c r="A188" s="26"/>
      <x:c r="B188" s="26"/>
      <x:c r="C188" s="26"/>
      <x:c r="D188" s="26"/>
      <x:c r="E188" s="26"/>
      <x:c r="F188" s="26"/>
      <x:c r="G188" s="26"/>
      <x:c r="H188" s="26"/>
      <x:c r="I188" s="26"/>
      <x:c r="J188" s="26"/>
      <x:c r="K188" s="26"/>
      <x:c r="N188" s="26"/>
      <x:c r="O188" s="26"/>
      <x:c r="P188" s="26"/>
      <x:c r="Q188" s="26"/>
    </x:row>
    <x:row r="189" ht="15.75" customHeight="1">
      <x:c r="A189" s="26"/>
      <x:c r="B189" s="26"/>
      <x:c r="C189" s="26"/>
      <x:c r="D189" s="26"/>
      <x:c r="E189" s="26"/>
      <x:c r="F189" s="26"/>
      <x:c r="G189" s="26"/>
      <x:c r="H189" s="26"/>
      <x:c r="I189" s="26"/>
      <x:c r="J189" s="26"/>
      <x:c r="K189" s="26"/>
      <x:c r="N189" s="26"/>
      <x:c r="O189" s="26"/>
      <x:c r="P189" s="26"/>
      <x:c r="Q189" s="26"/>
    </x:row>
    <x:row r="190" ht="15.75" customHeight="1">
      <x:c r="A190" s="26"/>
      <x:c r="B190" s="26"/>
      <x:c r="C190" s="26"/>
      <x:c r="D190" s="26"/>
      <x:c r="E190" s="26"/>
      <x:c r="F190" s="26"/>
      <x:c r="G190" s="26"/>
      <x:c r="H190" s="26"/>
      <x:c r="I190" s="26"/>
      <x:c r="J190" s="26"/>
      <x:c r="K190" s="26"/>
      <x:c r="N190" s="26"/>
      <x:c r="O190" s="26"/>
      <x:c r="P190" s="26"/>
      <x:c r="Q190" s="26"/>
    </x:row>
    <x:row r="191" ht="15.75" customHeight="1">
      <x:c r="A191" s="26"/>
      <x:c r="B191" s="26"/>
      <x:c r="C191" s="26"/>
      <x:c r="D191" s="26"/>
      <x:c r="E191" s="26"/>
      <x:c r="F191" s="26"/>
      <x:c r="G191" s="26"/>
      <x:c r="H191" s="26"/>
      <x:c r="I191" s="26"/>
      <x:c r="J191" s="26"/>
      <x:c r="K191" s="26"/>
      <x:c r="N191" s="26"/>
      <x:c r="O191" s="26"/>
      <x:c r="P191" s="26"/>
      <x:c r="Q191" s="26"/>
    </x:row>
    <x:row r="192" ht="15.75" customHeight="1">
      <x:c r="A192" s="26"/>
      <x:c r="B192" s="26"/>
      <x:c r="C192" s="26"/>
      <x:c r="D192" s="26"/>
      <x:c r="E192" s="26"/>
      <x:c r="F192" s="26"/>
      <x:c r="G192" s="26"/>
      <x:c r="H192" s="26"/>
      <x:c r="I192" s="26"/>
      <x:c r="J192" s="26"/>
      <x:c r="K192" s="26"/>
      <x:c r="N192" s="26"/>
      <x:c r="O192" s="26"/>
      <x:c r="P192" s="26"/>
      <x:c r="Q192" s="26"/>
    </x:row>
    <x:row r="193" ht="15.75" customHeight="1">
      <x:c r="A193" s="26"/>
      <x:c r="B193" s="26"/>
      <x:c r="C193" s="26"/>
      <x:c r="D193" s="26"/>
      <x:c r="E193" s="26"/>
      <x:c r="F193" s="26"/>
      <x:c r="G193" s="26"/>
      <x:c r="H193" s="26"/>
      <x:c r="I193" s="26"/>
      <x:c r="J193" s="26"/>
      <x:c r="K193" s="26"/>
      <x:c r="N193" s="26"/>
      <x:c r="O193" s="26"/>
      <x:c r="P193" s="26"/>
      <x:c r="Q193" s="26"/>
    </x:row>
    <x:row r="194" ht="15.75" customHeight="1">
      <x:c r="A194" s="26"/>
      <x:c r="B194" s="26"/>
      <x:c r="C194" s="26"/>
      <x:c r="D194" s="26"/>
      <x:c r="E194" s="26"/>
      <x:c r="F194" s="26"/>
      <x:c r="G194" s="26"/>
      <x:c r="H194" s="26"/>
      <x:c r="I194" s="26"/>
      <x:c r="J194" s="26"/>
      <x:c r="K194" s="26"/>
      <x:c r="N194" s="26"/>
      <x:c r="O194" s="26"/>
      <x:c r="P194" s="26"/>
      <x:c r="Q194" s="26"/>
    </x:row>
    <x:row r="195" ht="15.75" customHeight="1">
      <x:c r="A195" s="26"/>
      <x:c r="B195" s="26"/>
      <x:c r="C195" s="26"/>
      <x:c r="D195" s="26"/>
      <x:c r="E195" s="26"/>
      <x:c r="F195" s="26"/>
      <x:c r="G195" s="26"/>
      <x:c r="H195" s="26"/>
      <x:c r="I195" s="26"/>
      <x:c r="J195" s="26"/>
      <x:c r="K195" s="26"/>
      <x:c r="N195" s="26"/>
      <x:c r="O195" s="26"/>
      <x:c r="P195" s="26"/>
      <x:c r="Q195" s="26"/>
    </x:row>
    <x:row r="196" ht="15.75" customHeight="1">
      <x:c r="A196" s="26"/>
      <x:c r="B196" s="26"/>
      <x:c r="C196" s="26"/>
      <x:c r="D196" s="26"/>
      <x:c r="E196" s="26"/>
      <x:c r="F196" s="26"/>
      <x:c r="G196" s="26"/>
      <x:c r="H196" s="26"/>
      <x:c r="I196" s="26"/>
      <x:c r="J196" s="26"/>
      <x:c r="K196" s="26"/>
      <x:c r="N196" s="26"/>
      <x:c r="O196" s="26"/>
      <x:c r="P196" s="26"/>
      <x:c r="Q196" s="26"/>
    </x:row>
    <x:row r="197" ht="15.75" customHeight="1">
      <x:c r="A197" s="26"/>
      <x:c r="B197" s="26"/>
      <x:c r="C197" s="26"/>
      <x:c r="D197" s="26"/>
      <x:c r="E197" s="26"/>
      <x:c r="F197" s="26"/>
      <x:c r="G197" s="26"/>
      <x:c r="H197" s="26"/>
      <x:c r="I197" s="26"/>
      <x:c r="J197" s="26"/>
      <x:c r="K197" s="26"/>
      <x:c r="N197" s="26"/>
      <x:c r="O197" s="26"/>
      <x:c r="P197" s="26"/>
      <x:c r="Q197" s="26"/>
    </x:row>
    <x:row r="198" ht="15.75" customHeight="1">
      <x:c r="A198" s="26"/>
      <x:c r="B198" s="26"/>
      <x:c r="C198" s="26"/>
      <x:c r="D198" s="26"/>
      <x:c r="E198" s="26"/>
      <x:c r="F198" s="26"/>
      <x:c r="G198" s="26"/>
      <x:c r="H198" s="26"/>
      <x:c r="I198" s="26"/>
      <x:c r="J198" s="26"/>
      <x:c r="K198" s="26"/>
      <x:c r="N198" s="26"/>
      <x:c r="O198" s="26"/>
      <x:c r="P198" s="26"/>
      <x:c r="Q198" s="26"/>
    </x:row>
    <x:row r="199" ht="15.75" customHeight="1">
      <x:c r="A199" s="26"/>
      <x:c r="B199" s="26"/>
      <x:c r="C199" s="26"/>
      <x:c r="D199" s="26"/>
      <x:c r="E199" s="26"/>
      <x:c r="F199" s="26"/>
      <x:c r="G199" s="26"/>
      <x:c r="H199" s="26"/>
      <x:c r="I199" s="26"/>
      <x:c r="J199" s="26"/>
      <x:c r="K199" s="26"/>
      <x:c r="N199" s="26"/>
      <x:c r="O199" s="26"/>
      <x:c r="P199" s="26"/>
      <x:c r="Q199" s="26"/>
    </x:row>
    <x:row r="200" ht="15.75" customHeight="1">
      <x:c r="A200" s="26"/>
      <x:c r="B200" s="26"/>
      <x:c r="C200" s="26"/>
      <x:c r="D200" s="26"/>
      <x:c r="E200" s="26"/>
      <x:c r="F200" s="26"/>
      <x:c r="G200" s="26"/>
      <x:c r="H200" s="26"/>
      <x:c r="I200" s="26"/>
      <x:c r="J200" s="26"/>
      <x:c r="K200" s="26"/>
      <x:c r="N200" s="26"/>
      <x:c r="O200" s="26"/>
      <x:c r="P200" s="26"/>
      <x:c r="Q200" s="26"/>
    </x:row>
    <x:row r="201" ht="15.75" customHeight="1">
      <x:c r="A201" s="26"/>
      <x:c r="B201" s="26"/>
      <x:c r="C201" s="26"/>
      <x:c r="D201" s="26"/>
      <x:c r="E201" s="26"/>
      <x:c r="F201" s="26"/>
      <x:c r="G201" s="26"/>
      <x:c r="H201" s="26"/>
      <x:c r="I201" s="26"/>
      <x:c r="J201" s="26"/>
      <x:c r="K201" s="26"/>
      <x:c r="N201" s="26"/>
      <x:c r="O201" s="26"/>
      <x:c r="P201" s="26"/>
      <x:c r="Q201" s="26"/>
    </x:row>
    <x:row r="202" ht="15.75" customHeight="1">
      <x:c r="A202" s="26"/>
      <x:c r="B202" s="26"/>
      <x:c r="C202" s="26"/>
      <x:c r="D202" s="26"/>
      <x:c r="E202" s="26"/>
      <x:c r="F202" s="26"/>
      <x:c r="G202" s="26"/>
      <x:c r="H202" s="26"/>
      <x:c r="I202" s="26"/>
      <x:c r="J202" s="26"/>
      <x:c r="K202" s="26"/>
      <x:c r="N202" s="26"/>
      <x:c r="O202" s="26"/>
      <x:c r="P202" s="26"/>
      <x:c r="Q202" s="26"/>
    </x:row>
    <x:row r="203" ht="15.75" customHeight="1">
      <x:c r="A203" s="26"/>
      <x:c r="B203" s="26"/>
      <x:c r="C203" s="26"/>
      <x:c r="D203" s="26"/>
      <x:c r="E203" s="26"/>
      <x:c r="F203" s="26"/>
      <x:c r="G203" s="26"/>
      <x:c r="H203" s="26"/>
      <x:c r="I203" s="26"/>
      <x:c r="J203" s="26"/>
      <x:c r="K203" s="26"/>
      <x:c r="N203" s="26"/>
      <x:c r="O203" s="26"/>
      <x:c r="P203" s="26"/>
      <x:c r="Q203" s="26"/>
    </x:row>
    <x:row r="204" ht="15.75" customHeight="1">
      <x:c r="A204" s="26"/>
      <x:c r="B204" s="26"/>
      <x:c r="C204" s="26"/>
      <x:c r="D204" s="26"/>
      <x:c r="E204" s="26"/>
      <x:c r="F204" s="26"/>
      <x:c r="G204" s="26"/>
      <x:c r="H204" s="26"/>
      <x:c r="I204" s="26"/>
      <x:c r="J204" s="26"/>
      <x:c r="K204" s="26"/>
      <x:c r="N204" s="26"/>
      <x:c r="O204" s="26"/>
      <x:c r="P204" s="26"/>
      <x:c r="Q204" s="26"/>
    </x:row>
    <x:row r="205" ht="15.75" customHeight="1">
      <x:c r="A205" s="26"/>
      <x:c r="B205" s="26"/>
      <x:c r="C205" s="26"/>
      <x:c r="D205" s="26"/>
      <x:c r="E205" s="26"/>
      <x:c r="F205" s="26"/>
      <x:c r="G205" s="26"/>
      <x:c r="H205" s="26"/>
      <x:c r="I205" s="26"/>
      <x:c r="J205" s="26"/>
      <x:c r="K205" s="26"/>
      <x:c r="N205" s="26"/>
      <x:c r="O205" s="26"/>
      <x:c r="P205" s="26"/>
      <x:c r="Q205" s="26"/>
    </x:row>
    <x:row r="206" ht="15.75" customHeight="1">
      <x:c r="A206" s="26"/>
      <x:c r="B206" s="26"/>
      <x:c r="C206" s="26"/>
      <x:c r="D206" s="26"/>
      <x:c r="E206" s="26"/>
      <x:c r="F206" s="26"/>
      <x:c r="G206" s="26"/>
      <x:c r="H206" s="26"/>
      <x:c r="I206" s="26"/>
      <x:c r="J206" s="26"/>
      <x:c r="K206" s="26"/>
      <x:c r="N206" s="26"/>
      <x:c r="O206" s="26"/>
      <x:c r="P206" s="26"/>
      <x:c r="Q206" s="26"/>
    </x:row>
    <x:row r="207" ht="15.75" customHeight="1">
      <x:c r="A207" s="26"/>
      <x:c r="B207" s="26"/>
      <x:c r="C207" s="26"/>
      <x:c r="D207" s="26"/>
      <x:c r="E207" s="26"/>
      <x:c r="F207" s="26"/>
      <x:c r="G207" s="26"/>
      <x:c r="H207" s="26"/>
      <x:c r="I207" s="26"/>
      <x:c r="J207" s="26"/>
      <x:c r="K207" s="26"/>
      <x:c r="N207" s="26"/>
      <x:c r="O207" s="26"/>
      <x:c r="P207" s="26"/>
      <x:c r="Q207" s="26"/>
    </x:row>
    <x:row r="208" ht="15.75" customHeight="1">
      <x:c r="A208" s="26"/>
      <x:c r="B208" s="26"/>
      <x:c r="C208" s="26"/>
      <x:c r="D208" s="26"/>
      <x:c r="E208" s="26"/>
      <x:c r="F208" s="26"/>
      <x:c r="G208" s="26"/>
      <x:c r="H208" s="26"/>
      <x:c r="I208" s="26"/>
      <x:c r="J208" s="26"/>
      <x:c r="K208" s="26"/>
      <x:c r="N208" s="26"/>
      <x:c r="O208" s="26"/>
      <x:c r="P208" s="26"/>
      <x:c r="Q208" s="26"/>
    </x:row>
    <x:row r="209" ht="15.75" customHeight="1">
      <x:c r="A209" s="26"/>
      <x:c r="B209" s="26"/>
      <x:c r="C209" s="26"/>
      <x:c r="D209" s="26"/>
      <x:c r="E209" s="26"/>
      <x:c r="F209" s="26"/>
      <x:c r="G209" s="26"/>
      <x:c r="H209" s="26"/>
      <x:c r="I209" s="26"/>
      <x:c r="J209" s="26"/>
      <x:c r="K209" s="26"/>
      <x:c r="N209" s="26"/>
      <x:c r="O209" s="26"/>
      <x:c r="P209" s="26"/>
      <x:c r="Q209" s="26"/>
    </x:row>
    <x:row r="210" ht="15.75" customHeight="1">
      <x:c r="A210" s="26"/>
      <x:c r="B210" s="26"/>
      <x:c r="C210" s="26"/>
      <x:c r="D210" s="26"/>
      <x:c r="E210" s="26"/>
      <x:c r="F210" s="26"/>
      <x:c r="G210" s="26"/>
      <x:c r="H210" s="26"/>
      <x:c r="I210" s="26"/>
      <x:c r="J210" s="26"/>
      <x:c r="K210" s="26"/>
      <x:c r="N210" s="26"/>
      <x:c r="O210" s="26"/>
      <x:c r="P210" s="26"/>
      <x:c r="Q210" s="26"/>
    </x:row>
    <x:row r="211" ht="15.75" customHeight="1">
      <x:c r="A211" s="26"/>
      <x:c r="B211" s="26"/>
      <x:c r="C211" s="26"/>
      <x:c r="D211" s="26"/>
      <x:c r="E211" s="26"/>
      <x:c r="F211" s="26"/>
      <x:c r="G211" s="26"/>
      <x:c r="H211" s="26"/>
      <x:c r="I211" s="26"/>
      <x:c r="J211" s="26"/>
      <x:c r="K211" s="26"/>
      <x:c r="N211" s="26"/>
      <x:c r="O211" s="26"/>
      <x:c r="P211" s="26"/>
      <x:c r="Q211" s="26"/>
    </x:row>
    <x:row r="212" ht="15.75" customHeight="1">
      <x:c r="A212" s="26"/>
      <x:c r="B212" s="26"/>
      <x:c r="C212" s="26"/>
      <x:c r="D212" s="26"/>
      <x:c r="E212" s="26"/>
      <x:c r="F212" s="26"/>
      <x:c r="G212" s="26"/>
      <x:c r="H212" s="26"/>
      <x:c r="I212" s="26"/>
      <x:c r="J212" s="26"/>
      <x:c r="K212" s="26"/>
      <x:c r="N212" s="26"/>
      <x:c r="O212" s="26"/>
      <x:c r="P212" s="26"/>
      <x:c r="Q212" s="26"/>
    </x:row>
    <x:row r="213" ht="15.75" customHeight="1">
      <x:c r="A213" s="26"/>
      <x:c r="B213" s="26"/>
      <x:c r="C213" s="26"/>
      <x:c r="D213" s="26"/>
      <x:c r="E213" s="26"/>
      <x:c r="F213" s="26"/>
      <x:c r="G213" s="26"/>
      <x:c r="H213" s="26"/>
      <x:c r="I213" s="26"/>
      <x:c r="J213" s="26"/>
      <x:c r="K213" s="26"/>
      <x:c r="N213" s="26"/>
      <x:c r="O213" s="26"/>
      <x:c r="P213" s="26"/>
      <x:c r="Q213" s="26"/>
    </x:row>
    <x:row r="214" ht="15.75" customHeight="1">
      <x:c r="A214" s="26"/>
      <x:c r="B214" s="26"/>
      <x:c r="C214" s="26"/>
      <x:c r="D214" s="26"/>
      <x:c r="E214" s="26"/>
      <x:c r="F214" s="26"/>
      <x:c r="G214" s="26"/>
      <x:c r="H214" s="26"/>
      <x:c r="I214" s="26"/>
      <x:c r="J214" s="26"/>
      <x:c r="K214" s="26"/>
      <x:c r="N214" s="26"/>
      <x:c r="O214" s="26"/>
      <x:c r="P214" s="26"/>
      <x:c r="Q214" s="26"/>
    </x:row>
    <x:row r="215" ht="15.75" customHeight="1">
      <x:c r="A215" s="26"/>
      <x:c r="B215" s="26"/>
      <x:c r="C215" s="26"/>
      <x:c r="D215" s="26"/>
      <x:c r="E215" s="26"/>
      <x:c r="F215" s="26"/>
      <x:c r="G215" s="26"/>
      <x:c r="H215" s="26"/>
      <x:c r="I215" s="26"/>
      <x:c r="J215" s="26"/>
      <x:c r="K215" s="26"/>
      <x:c r="N215" s="26"/>
      <x:c r="O215" s="26"/>
      <x:c r="P215" s="26"/>
      <x:c r="Q215" s="26"/>
    </x:row>
    <x:row r="216" ht="15.75" customHeight="1">
      <x:c r="A216" s="26"/>
      <x:c r="B216" s="26"/>
      <x:c r="C216" s="26"/>
      <x:c r="D216" s="26"/>
      <x:c r="E216" s="26"/>
      <x:c r="F216" s="26"/>
      <x:c r="G216" s="26"/>
      <x:c r="H216" s="26"/>
      <x:c r="I216" s="26"/>
      <x:c r="J216" s="26"/>
      <x:c r="K216" s="26"/>
      <x:c r="N216" s="26"/>
      <x:c r="O216" s="26"/>
      <x:c r="P216" s="26"/>
      <x:c r="Q216" s="26"/>
    </x:row>
    <x:row r="217" ht="15.75" customHeight="1">
      <x:c r="A217" s="26"/>
      <x:c r="B217" s="26"/>
      <x:c r="C217" s="26"/>
      <x:c r="D217" s="26"/>
      <x:c r="E217" s="26"/>
      <x:c r="F217" s="26"/>
      <x:c r="G217" s="26"/>
      <x:c r="H217" s="26"/>
      <x:c r="I217" s="26"/>
      <x:c r="J217" s="26"/>
      <x:c r="K217" s="26"/>
      <x:c r="N217" s="26"/>
      <x:c r="O217" s="26"/>
      <x:c r="P217" s="26"/>
      <x:c r="Q217" s="26"/>
    </x:row>
    <x:row r="218" ht="15.75" customHeight="1">
      <x:c r="A218" s="26"/>
      <x:c r="B218" s="26"/>
      <x:c r="C218" s="26"/>
      <x:c r="D218" s="26"/>
      <x:c r="E218" s="26"/>
      <x:c r="F218" s="26"/>
      <x:c r="G218" s="26"/>
      <x:c r="H218" s="26"/>
      <x:c r="I218" s="26"/>
      <x:c r="J218" s="26"/>
      <x:c r="K218" s="26"/>
      <x:c r="N218" s="26"/>
      <x:c r="O218" s="26"/>
      <x:c r="P218" s="26"/>
      <x:c r="Q218" s="26"/>
    </x:row>
    <x:row r="219" ht="15.75" customHeight="1">
      <x:c r="A219" s="26"/>
      <x:c r="B219" s="26"/>
      <x:c r="C219" s="26"/>
      <x:c r="D219" s="26"/>
      <x:c r="E219" s="26"/>
      <x:c r="F219" s="26"/>
      <x:c r="G219" s="26"/>
      <x:c r="H219" s="26"/>
      <x:c r="I219" s="26"/>
      <x:c r="J219" s="26"/>
      <x:c r="K219" s="26"/>
      <x:c r="N219" s="26"/>
      <x:c r="O219" s="26"/>
      <x:c r="P219" s="26"/>
      <x:c r="Q219" s="26"/>
    </x:row>
    <x:row r="220" ht="15.75" customHeight="1">
      <x:c r="A220" s="26"/>
      <x:c r="B220" s="26"/>
      <x:c r="C220" s="26"/>
      <x:c r="D220" s="26"/>
      <x:c r="E220" s="26"/>
      <x:c r="F220" s="26"/>
      <x:c r="G220" s="26"/>
      <x:c r="H220" s="26"/>
      <x:c r="I220" s="26"/>
      <x:c r="J220" s="26"/>
      <x:c r="K220" s="26"/>
      <x:c r="N220" s="26"/>
      <x:c r="O220" s="26"/>
      <x:c r="P220" s="26"/>
      <x:c r="Q220" s="26"/>
    </x:row>
    <x:row r="221" ht="15.75" customHeight="1">
      <x:c r="A221" s="26"/>
      <x:c r="B221" s="26"/>
      <x:c r="C221" s="26"/>
      <x:c r="D221" s="26"/>
      <x:c r="E221" s="26"/>
      <x:c r="F221" s="26"/>
      <x:c r="G221" s="26"/>
      <x:c r="H221" s="26"/>
      <x:c r="I221" s="26"/>
      <x:c r="J221" s="26"/>
      <x:c r="K221" s="26"/>
      <x:c r="N221" s="26"/>
      <x:c r="O221" s="26"/>
      <x:c r="P221" s="26"/>
      <x:c r="Q221" s="26"/>
    </x:row>
    <x:row r="222" ht="15.75" customHeight="1">
      <x:c r="A222" s="26"/>
      <x:c r="B222" s="26"/>
      <x:c r="C222" s="26"/>
      <x:c r="D222" s="26"/>
      <x:c r="E222" s="26"/>
      <x:c r="F222" s="26"/>
      <x:c r="G222" s="26"/>
      <x:c r="H222" s="26"/>
      <x:c r="I222" s="26"/>
      <x:c r="J222" s="26"/>
      <x:c r="K222" s="26"/>
      <x:c r="N222" s="26"/>
      <x:c r="O222" s="26"/>
      <x:c r="P222" s="26"/>
      <x:c r="Q222" s="26"/>
    </x:row>
    <x:row r="223" ht="15.75" customHeight="1">
      <x:c r="A223" s="26"/>
      <x:c r="B223" s="26"/>
      <x:c r="C223" s="26"/>
      <x:c r="D223" s="26"/>
      <x:c r="E223" s="26"/>
      <x:c r="F223" s="26"/>
      <x:c r="G223" s="26"/>
      <x:c r="H223" s="26"/>
      <x:c r="I223" s="26"/>
      <x:c r="J223" s="26"/>
      <x:c r="K223" s="26"/>
      <x:c r="N223" s="26"/>
      <x:c r="O223" s="26"/>
      <x:c r="P223" s="26"/>
      <x:c r="Q223" s="26"/>
    </x:row>
    <x:row r="224" ht="15.75" customHeight="1">
      <x:c r="A224" s="26"/>
      <x:c r="B224" s="26"/>
      <x:c r="C224" s="26"/>
      <x:c r="D224" s="26"/>
      <x:c r="E224" s="26"/>
      <x:c r="F224" s="26"/>
      <x:c r="G224" s="26"/>
      <x:c r="H224" s="26"/>
      <x:c r="I224" s="26"/>
      <x:c r="J224" s="26"/>
      <x:c r="K224" s="26"/>
      <x:c r="N224" s="26"/>
      <x:c r="O224" s="26"/>
      <x:c r="P224" s="26"/>
      <x:c r="Q224" s="26"/>
    </x:row>
    <x:row r="225" ht="15.75" customHeight="1">
      <x:c r="A225" s="26"/>
      <x:c r="B225" s="26"/>
      <x:c r="C225" s="26"/>
      <x:c r="D225" s="26"/>
      <x:c r="E225" s="26"/>
      <x:c r="F225" s="26"/>
      <x:c r="G225" s="26"/>
      <x:c r="H225" s="26"/>
      <x:c r="I225" s="26"/>
      <x:c r="J225" s="26"/>
      <x:c r="K225" s="26"/>
      <x:c r="N225" s="26"/>
      <x:c r="O225" s="26"/>
      <x:c r="P225" s="26"/>
      <x:c r="Q225" s="26"/>
    </x:row>
    <x:row r="226" ht="15.75" customHeight="1">
      <x:c r="A226" s="26"/>
      <x:c r="B226" s="26"/>
      <x:c r="C226" s="26"/>
      <x:c r="D226" s="26"/>
      <x:c r="E226" s="26"/>
      <x:c r="F226" s="26"/>
      <x:c r="G226" s="26"/>
      <x:c r="H226" s="26"/>
      <x:c r="I226" s="26"/>
      <x:c r="J226" s="26"/>
      <x:c r="K226" s="26"/>
      <x:c r="N226" s="26"/>
      <x:c r="O226" s="26"/>
      <x:c r="P226" s="26"/>
      <x:c r="Q226" s="26"/>
    </x:row>
    <x:row r="227" ht="15.75" customHeight="1">
      <x:c r="A227" s="26"/>
      <x:c r="B227" s="26"/>
      <x:c r="C227" s="26"/>
      <x:c r="D227" s="26"/>
      <x:c r="E227" s="26"/>
      <x:c r="F227" s="26"/>
      <x:c r="G227" s="26"/>
      <x:c r="H227" s="26"/>
      <x:c r="I227" s="26"/>
      <x:c r="J227" s="26"/>
      <x:c r="K227" s="26"/>
      <x:c r="N227" s="26"/>
      <x:c r="O227" s="26"/>
      <x:c r="P227" s="26"/>
      <x:c r="Q227" s="26"/>
    </x:row>
    <x:row r="228" ht="15.75" customHeight="1">
      <x:c r="A228" s="26"/>
      <x:c r="B228" s="26"/>
      <x:c r="C228" s="26"/>
      <x:c r="D228" s="26"/>
      <x:c r="E228" s="26"/>
      <x:c r="F228" s="26"/>
      <x:c r="G228" s="26"/>
      <x:c r="H228" s="26"/>
      <x:c r="I228" s="26"/>
      <x:c r="J228" s="26"/>
      <x:c r="K228" s="26"/>
      <x:c r="N228" s="26"/>
      <x:c r="O228" s="26"/>
      <x:c r="P228" s="26"/>
      <x:c r="Q228" s="26"/>
    </x:row>
    <x:row r="229" ht="15.75" customHeight="1">
      <x:c r="A229" s="26"/>
      <x:c r="B229" s="26"/>
      <x:c r="C229" s="26"/>
      <x:c r="D229" s="26"/>
      <x:c r="E229" s="26"/>
      <x:c r="F229" s="26"/>
      <x:c r="G229" s="26"/>
      <x:c r="H229" s="26"/>
      <x:c r="I229" s="26"/>
      <x:c r="J229" s="26"/>
      <x:c r="K229" s="26"/>
      <x:c r="N229" s="26"/>
      <x:c r="O229" s="26"/>
      <x:c r="P229" s="26"/>
      <x:c r="Q229" s="26"/>
    </x:row>
    <x:row r="230" ht="15.75" customHeight="1">
      <x:c r="A230" s="26"/>
      <x:c r="B230" s="26"/>
      <x:c r="C230" s="26"/>
      <x:c r="D230" s="26"/>
      <x:c r="E230" s="26"/>
      <x:c r="F230" s="26"/>
      <x:c r="G230" s="26"/>
      <x:c r="H230" s="26"/>
      <x:c r="I230" s="26"/>
      <x:c r="J230" s="26"/>
      <x:c r="K230" s="26"/>
      <x:c r="N230" s="26"/>
      <x:c r="O230" s="26"/>
      <x:c r="P230" s="26"/>
      <x:c r="Q230" s="26"/>
    </x:row>
    <x:row r="231" ht="15.75" customHeight="1">
      <x:c r="A231" s="26"/>
      <x:c r="B231" s="26"/>
      <x:c r="C231" s="26"/>
      <x:c r="D231" s="26"/>
      <x:c r="E231" s="26"/>
      <x:c r="F231" s="26"/>
      <x:c r="G231" s="26"/>
      <x:c r="H231" s="26"/>
      <x:c r="I231" s="26"/>
      <x:c r="J231" s="26"/>
      <x:c r="K231" s="26"/>
      <x:c r="N231" s="26"/>
      <x:c r="O231" s="26"/>
      <x:c r="P231" s="26"/>
      <x:c r="Q231" s="26"/>
    </x:row>
    <x:row r="232" ht="15.75" customHeight="1">
      <x:c r="A232" s="26"/>
      <x:c r="B232" s="26"/>
      <x:c r="C232" s="26"/>
      <x:c r="D232" s="26"/>
      <x:c r="E232" s="26"/>
      <x:c r="F232" s="26"/>
      <x:c r="G232" s="26"/>
      <x:c r="H232" s="26"/>
      <x:c r="I232" s="26"/>
      <x:c r="J232" s="26"/>
      <x:c r="K232" s="26"/>
      <x:c r="N232" s="26"/>
      <x:c r="O232" s="26"/>
      <x:c r="P232" s="26"/>
      <x:c r="Q232" s="26"/>
    </x:row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  <x:row r="1001" ht="15.75" customHeight="1"/>
  </x:sheetData>
  <x:mergeCells>
    <x:mergeCell ref="A1:G1"/>
    <x:mergeCell ref="A17:G17"/>
    <x:mergeCell ref="A34:G34"/>
    <x:mergeCell ref="J36:M36"/>
  </x:mergeCells>
  <x:conditionalFormatting sqref="F36:G47">
    <x:cfRule type="cellIs" dxfId="4" priority="1" stopIfTrue="1" operator="greaterThan">
      <x:formula>0</x:formula>
    </x:cfRule>
  </x:conditionalFormatting>
  <x:conditionalFormatting sqref="F36:G47">
    <x:cfRule type="cellIs" dxfId="5" priority="2" stopIfTrue="1" operator="lessThan">
      <x:formula>0</x:formula>
    </x:cfRule>
  </x:conditionalFormatting>
  <x:conditionalFormatting sqref="F4:G13">
    <x:cfRule type="cellIs" dxfId="4" priority="3" operator="greaterThan">
      <x:formula>0</x:formula>
    </x:cfRule>
  </x:conditionalFormatting>
  <x:conditionalFormatting sqref="F4:G13">
    <x:cfRule type="cellIs" dxfId="5" priority="4" operator="lessThan">
      <x:formula>0</x:formula>
    </x:cfRule>
  </x:conditionalFormatting>
  <x:conditionalFormatting sqref="F19:G30 F36:G47">
    <x:cfRule type="cellIs" dxfId="4" priority="5" operator="greaterThan">
      <x:formula>0</x:formula>
    </x:cfRule>
  </x:conditionalFormatting>
  <x:conditionalFormatting sqref="F19:G30 F36:G47">
    <x:cfRule type="cellIs" dxfId="5" priority="6" operator="lessThan">
      <x:formula>0</x:formula>
    </x:cfRule>
  </x:conditionalFormatting>
  <x:conditionalFormatting sqref="Q3:Q25">
    <x:cfRule type="cellIs" dxfId="4" priority="7" operator="greaterThan">
      <x:formula>0</x:formula>
    </x:cfRule>
  </x:conditionalFormatting>
  <x:conditionalFormatting sqref="Q3:Q25">
    <x:cfRule type="cellIs" dxfId="5" priority="8" operator="lessThan">
      <x:formula>0</x:formula>
    </x:cfRule>
  </x:conditionalFormatting>
  <x:pageMargins left="0.7" right="0.7" top="0.75" bottom="0.75" header="0.3" footer="0.3"/>
  <x:drawing xmlns:r="http://schemas.openxmlformats.org/officeDocument/2006/relationships" r:id="R99ff816dfd8d438d"/>
</x:worksheet>
</file>

<file path=xl/worksheets/sheet3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ColWidth="12.630000114440918" defaultRowHeight="15"/>
  <x:cols>
    <x:col min="1" max="2" width="9.130000114440918" customWidth="1"/>
    <x:col min="3" max="3" width="12.630000114440918" customWidth="1"/>
    <x:col min="4" max="7" width="18.8799991607666" customWidth="1"/>
    <x:col min="8" max="8" width="3.130000114440918" customWidth="1"/>
    <x:col min="9" max="12" width="8.630000114440918" customWidth="1"/>
  </x:cols>
  <x:sheetData>
    <x:row r="1" ht="28.5" customHeight="1">
      <x:c r="A1" s="25" t="s">
        <x:v>37</x:v>
      </x:c>
      <x:c r="B1" s="25" t="s">
        <x:v>5</x:v>
      </x:c>
      <x:c r="C1" s="25" t="s">
        <x:v>12</x:v>
      </x:c>
      <x:c r="D1" s="25" t="s">
        <x:v>38</x:v>
      </x:c>
      <x:c r="E1" s="25" t="s">
        <x:v>39</x:v>
      </x:c>
      <x:c r="F1" s="25" t="s">
        <x:v>40</x:v>
      </x:c>
      <x:c r="G1" s="25" t="s">
        <x:v>41</x:v>
      </x:c>
      <x:c r="H1" s="26"/>
      <x:c r="I1" s="26"/>
      <x:c r="J1" s="26"/>
      <x:c r="K1" s="26"/>
      <x:c r="L1" s="26"/>
      <x:c r="M1" s="26"/>
      <x:c r="N1" s="26"/>
      <x:c r="O1" s="26"/>
    </x:row>
    <x:row r="2" ht="19.5" customHeight="1">
      <x:c r="A2" s="27" t="n">
        <x:v>2025</x:v>
      </x:c>
      <x:c r="B2" s="28" t="str">
        <x:v>Feb</x:v>
      </x:c>
      <x:c r="C2" s="28" t="str">
        <x:f t="shared" ref="C2:C24" si="2">A2&amp;" "&amp;B2</x:f>
        <x:v>2025 Feb</x:v>
      </x:c>
      <x:c r="D2" s="29" t="n">
        <x:f>IF(OR(Evolucion!B3="",(Evolucion!C3+IF(Evolucion!D3="",0,Evolucion!D3))=0),"",TRUNC((Evolucion!B3-(Evolucion!C3+IF(Evolucion!D3="",0,Evolucion!D3)))/(Evolucion!C3+IF(Evolucion!D3="",0,Evolucion!D3))*100,3))</x:f>
        <x:v>0</x:v>
      </x:c>
      <x:c r="E2" s="30" t="n">
        <x:v>0</x:v>
      </x:c>
      <x:c r="F2" s="33" t="str">
        <x:f t="shared" ref="F2:G2" si="1">IF(D2="","",D2)</x:f>
      </x:c>
      <x:c r="G2" s="33" t="n">
        <x:f t="shared" si="1"/>
        <x:v>0</x:v>
      </x:c>
      <x:c r="H2" s="26"/>
      <x:c r="I2" s="26"/>
      <x:c r="J2" s="26"/>
      <x:c r="K2" s="26"/>
      <x:c r="L2" s="26"/>
      <x:c r="M2" s="26"/>
      <x:c r="N2" s="26"/>
      <x:c r="O2" s="26"/>
    </x:row>
    <x:row r="3" ht="19.5" customHeight="1">
      <x:c r="A3" s="35" t="n">
        <x:v>2025</x:v>
      </x:c>
      <x:c r="B3" s="37" t="str">
        <x:v>Mar</x:v>
      </x:c>
      <x:c r="C3" s="37" t="str">
        <x:f t="shared" si="2"/>
        <x:v>2025 Mar</x:v>
      </x:c>
      <x:c r="D3" s="41" t="n">
        <x:f>IF(OR(Evolucion!B4="",(Evolucion!C4+IF(Evolucion!D4="",0,Evolucion!D4))=0),"",TRUNC((Evolucion!B4-(Evolucion!C4+IF(Evolucion!D4="",0,Evolucion!D4)))/(Evolucion!C4+IF(Evolucion!D4="",0,Evolucion!D4))*100,3))</x:f>
        <x:v>1.799</x:v>
      </x:c>
      <x:c r="E3" s="42" t="n">
        <x:v>1.2</x:v>
      </x:c>
      <x:c r="F3" s="45" t="n">
        <x:f t="shared" ref="F3:G3" si="3">IF(D3="","",IF(F2="",D3,((1+F2/100)*(1+D3/100)-1)*100))</x:f>
        <x:v>1.799</x:v>
      </x:c>
      <x:c r="G3" s="45" t="n">
        <x:f t="shared" si="3"/>
        <x:v>1.2</x:v>
      </x:c>
      <x:c r="H3" s="26"/>
      <x:c r="I3" s="26"/>
      <x:c r="J3" s="26"/>
      <x:c r="K3" s="26"/>
      <x:c r="L3" s="26"/>
      <x:c r="M3" s="26"/>
      <x:c r="N3" s="26"/>
      <x:c r="O3" s="26"/>
    </x:row>
    <x:row r="4" ht="19.5" customHeight="1">
      <x:c r="A4" s="27" t="n">
        <x:v>2025</x:v>
      </x:c>
      <x:c r="B4" s="28" t="str">
        <x:v>Abr</x:v>
      </x:c>
      <x:c r="C4" s="28" t="str">
        <x:f t="shared" si="2"/>
        <x:v>2025 Abr</x:v>
      </x:c>
      <x:c r="D4" s="47" t="n">
        <x:v>-0.7</x:v>
      </x:c>
      <x:c r="E4" s="49" t="n">
        <x:v>-1.1</x:v>
      </x:c>
      <x:c r="F4" s="33" t="n">
        <x:f t="shared" ref="F4:G4" si="4">IF(D4="","",IF(F3="",D4,((1+F3/100)*(1+D4/100)-1)*100))</x:f>
        <x:v>1.0864070000000003</x:v>
      </x:c>
      <x:c r="G4" s="33" t="n">
        <x:f t="shared" si="4"/>
        <x:v>0.0868</x:v>
      </x:c>
      <x:c r="H4" s="26"/>
      <x:c r="I4" s="26"/>
      <x:c r="J4" s="26"/>
      <x:c r="K4" s="26"/>
      <x:c r="L4" s="26"/>
      <x:c r="M4" s="26"/>
      <x:c r="N4" s="26"/>
      <x:c r="O4" s="26"/>
    </x:row>
    <x:row r="5" ht="19.5" customHeight="1">
      <x:c r="A5" s="35" t="n">
        <x:v>2025</x:v>
      </x:c>
      <x:c r="B5" s="37" t="str">
        <x:v>May</x:v>
      </x:c>
      <x:c r="C5" s="37" t="str">
        <x:f t="shared" si="2"/>
        <x:v>2025 May</x:v>
      </x:c>
      <x:c r="D5" s="41" t="n">
        <x:f>IF(OR(Evolucion!B6="",(Evolucion!C6+IF(Evolucion!D6="",0,Evolucion!D6))=0),"",TRUNC((Evolucion!B6-(Evolucion!C6+IF(Evolucion!D6="",0,Evolucion!D6)))/(Evolucion!C6+IF(Evolucion!D6="",0,Evolucion!D6))*100,3))</x:f>
        <x:v>2.399</x:v>
      </x:c>
      <x:c r="E5" s="42" t="n">
        <x:v>1.8</x:v>
      </x:c>
      <x:c r="F5" s="45" t="n">
        <x:f t="shared" ref="F5:G5" si="5">IF(D5="","",IF(F4="",D5,((1+F4/100)*(1+D5/100)-1)*100))</x:f>
        <x:v>3.511469903929987</x:v>
      </x:c>
      <x:c r="G5" s="45" t="n">
        <x:f t="shared" si="5"/>
        <x:v>1.8883624</x:v>
      </x:c>
      <x:c r="H5" s="26"/>
      <x:c r="I5" s="26"/>
      <x:c r="J5" s="26"/>
      <x:c r="K5" s="26"/>
      <x:c r="L5" s="26"/>
      <x:c r="M5" s="26"/>
      <x:c r="N5" s="26"/>
      <x:c r="O5" s="26"/>
    </x:row>
    <x:row r="6" ht="19.5" customHeight="1">
      <x:c r="A6" s="27" t="n">
        <x:v>2025</x:v>
      </x:c>
      <x:c r="B6" s="28" t="str">
        <x:v>Jun</x:v>
      </x:c>
      <x:c r="C6" s="28" t="str">
        <x:f t="shared" si="2"/>
        <x:v>2025 Jun</x:v>
      </x:c>
      <x:c r="D6" s="29" t="n">
        <x:f>IF(OR(Evolucion!B7="",(Evolucion!C7+IF(Evolucion!D7="",0,Evolucion!D7))=0),"",TRUNC((Evolucion!B7-(Evolucion!C7+IF(Evolucion!D7="",0,Evolucion!D7)))/(Evolucion!C7+IF(Evolucion!D7="",0,Evolucion!D7))*100,3))</x:f>
        <x:v>1.099</x:v>
      </x:c>
      <x:c r="E6" s="49" t="n">
        <x:v>0.6</x:v>
      </x:c>
      <x:c r="F6" s="33" t="n">
        <x:f t="shared" ref="F6:G6" si="6">IF(D6="","",IF(F5="",D6,((1+F5/100)*(1+D6/100)-1)*100))</x:f>
        <x:v>4.649060958174189</x:v>
      </x:c>
      <x:c r="G6" s="33" t="n">
        <x:f t="shared" si="6"/>
        <x:v>2.49969257</x:v>
      </x:c>
      <x:c r="H6" s="26"/>
      <x:c r="I6" s="26"/>
      <x:c r="J6" s="26"/>
      <x:c r="K6" s="26"/>
      <x:c r="L6" s="26"/>
      <x:c r="M6" s="26"/>
      <x:c r="N6" s="26"/>
      <x:c r="O6" s="26"/>
    </x:row>
    <x:row r="7" ht="19.5" customHeight="1">
      <x:c r="A7" s="35" t="n">
        <x:v>2025</x:v>
      </x:c>
      <x:c r="B7" s="37" t="str">
        <x:v>Jul</x:v>
      </x:c>
      <x:c r="C7" s="37" t="str">
        <x:f t="shared" si="2"/>
        <x:v>2025 Jul</x:v>
      </x:c>
      <x:c r="D7" s="41" t="n">
        <x:f>IF(OR(Evolucion!B8="",(Evolucion!C8+IF(Evolucion!D8="",0,Evolucion!D8))=0),"",TRUNC((Evolucion!B8-(Evolucion!C8+IF(Evolucion!D8="",0,Evolucion!D8)))/(Evolucion!C8+IF(Evolucion!D8="",0,Evolucion!D8))*100,3))</x:f>
        <x:v>-1.299</x:v>
      </x:c>
      <x:c r="E7" s="42" t="n">
        <x:v>-0.8</x:v>
      </x:c>
      <x:c r="F7" s="45" t="n">
        <x:f t="shared" ref="F7:G7" si="7">IF(D7="","",IF(F6="",D7,((1+F6/100)*(1+D7/100)-1)*100))</x:f>
        <x:v>3.2896696563275096</x:v>
      </x:c>
      <x:c r="G7" s="45" t="n">
        <x:f t="shared" si="7"/>
        <x:v>1.67969503</x:v>
      </x:c>
      <x:c r="H7" s="26"/>
      <x:c r="I7" s="26"/>
      <x:c r="J7" s="26"/>
      <x:c r="K7" s="26"/>
      <x:c r="L7" s="26"/>
      <x:c r="M7" s="26"/>
      <x:c r="N7" s="26"/>
      <x:c r="O7" s="26"/>
    </x:row>
    <x:row r="8" ht="19.5" customHeight="1">
      <x:c r="A8" s="27" t="n">
        <x:v>2025</x:v>
      </x:c>
      <x:c r="B8" s="28" t="str">
        <x:v>Ago</x:v>
      </x:c>
      <x:c r="C8" s="28" t="str">
        <x:f t="shared" si="2"/>
        <x:v>2025 Ago</x:v>
      </x:c>
      <x:c r="D8" s="29" t="n">
        <x:f>IF(OR(Evolucion!B9="",(Evolucion!C9+IF(Evolucion!D9="",0,Evolucion!D9))=0),"",TRUNC((Evolucion!B9-(Evolucion!C9+IF(Evolucion!D9="",0,Evolucion!D9)))/(Evolucion!C9+IF(Evolucion!D9="",0,Evolucion!D9))*100,3))</x:f>
        <x:v>0.899</x:v>
      </x:c>
      <x:c r="E8" s="49" t="n">
        <x:v>1.3</x:v>
      </x:c>
      <x:c r="F8" s="33" t="n">
        <x:f t="shared" ref="F8:G8" si="8">IF(D8="","",IF(F7="",D8,((1+F7/100)*(1+D8/100)-1)*100))</x:f>
        <x:v>4.218243786537901</x:v>
      </x:c>
      <x:c r="G8" s="33" t="n">
        <x:f t="shared" si="8"/>
        <x:v>3.00153107</x:v>
      </x:c>
      <x:c r="H8" s="26"/>
      <x:c r="I8" s="26"/>
      <x:c r="J8" s="26"/>
      <x:c r="K8" s="26"/>
      <x:c r="L8" s="26"/>
      <x:c r="M8" s="26"/>
      <x:c r="N8" s="26"/>
      <x:c r="O8" s="26"/>
    </x:row>
    <x:row r="9" ht="19.5" customHeight="1">
      <x:c r="A9" s="35" t="n">
        <x:v>2025</x:v>
      </x:c>
      <x:c r="B9" s="37" t="str">
        <x:v>Sep</x:v>
      </x:c>
      <x:c r="C9" s="37" t="str">
        <x:f t="shared" si="2"/>
        <x:v>2025 Sep</x:v>
      </x:c>
      <x:c r="D9" s="41" t="n">
        <x:f>IF(OR(Evolucion!B10="",(Evolucion!C10+IF(Evolucion!D10="",0,Evolucion!D10))=0),"",TRUNC((Evolucion!B10-(Evolucion!C10+IF(Evolucion!D10="",0,Evolucion!D10)))/(Evolucion!C10+IF(Evolucion!D10="",0,Evolucion!D10))*100,3))</x:f>
        <x:v>1.599</x:v>
      </x:c>
      <x:c r="E9" s="42" t="n">
        <x:v>0.9</x:v>
      </x:c>
      <x:c r="F9" s="45" t="n">
        <x:f t="shared" ref="F9:G9" si="9">IF(D9="","",IF(F8="",D9,((1+F8/100)*(1+D9/100)-1)*100))</x:f>
        <x:v>5.884693504684635</x:v>
      </x:c>
      <x:c r="G9" s="45" t="n">
        <x:f t="shared" si="9"/>
        <x:v>3.92854485</x:v>
      </x:c>
      <x:c r="H9" s="26"/>
      <x:c r="I9" s="26"/>
      <x:c r="J9" s="26"/>
      <x:c r="K9" s="26"/>
      <x:c r="L9" s="26"/>
      <x:c r="M9" s="26"/>
      <x:c r="N9" s="26"/>
      <x:c r="O9" s="26"/>
    </x:row>
    <x:row r="10" ht="19.5" customHeight="1">
      <x:c r="A10" s="27" t="n">
        <x:v>2025</x:v>
      </x:c>
      <x:c r="B10" s="28" t="str">
        <x:v>Oct</x:v>
      </x:c>
      <x:c r="C10" s="28" t="str">
        <x:f t="shared" si="2"/>
        <x:v>2025 Oct</x:v>
      </x:c>
      <x:c r="D10" s="29" t="n">
        <x:f>IF(OR(Evolucion!B11="",(Evolucion!C11+IF(Evolucion!D11="",0,Evolucion!D11))=0),"",TRUNC((Evolucion!B11-(Evolucion!C11+IF(Evolucion!D11="",0,Evolucion!D11)))/(Evolucion!C11+IF(Evolucion!D11="",0,Evolucion!D11))*100,3))</x:f>
        <x:v>-0.4</x:v>
      </x:c>
      <x:c r="E10" s="49" t="n">
        <x:v>-0.3</x:v>
      </x:c>
      <x:c r="F10" s="33" t="n">
        <x:f t="shared" ref="F10:G10" si="10">IF(D10="","",IF(F9="",D10,((1+F9/100)*(1+D10/100)-1)*100))</x:f>
        <x:v>5.461154730665907</x:v>
      </x:c>
      <x:c r="G10" s="33" t="n">
        <x:f t="shared" si="10"/>
        <x:v>3.61675922</x:v>
      </x:c>
      <x:c r="H10" s="26"/>
      <x:c r="I10" s="26"/>
      <x:c r="J10" s="26"/>
      <x:c r="K10" s="26"/>
      <x:c r="L10" s="26"/>
      <x:c r="M10" s="26"/>
      <x:c r="N10" s="26"/>
      <x:c r="O10" s="26"/>
    </x:row>
    <x:row r="11" ht="19.5" customHeight="1">
      <x:c r="A11" s="35" t="n">
        <x:v>2025</x:v>
      </x:c>
      <x:c r="B11" s="37" t="str">
        <x:v>Nov</x:v>
      </x:c>
      <x:c r="C11" s="37" t="str">
        <x:f t="shared" si="2"/>
        <x:v>2025 Nov</x:v>
      </x:c>
      <x:c r="D11" s="41" t="n">
        <x:f>IF(OR(Evolucion!B12="",(Evolucion!C12+IF(Evolucion!D12="",0,Evolucion!D12))=0),"",TRUNC((Evolucion!B12-(Evolucion!C12+IF(Evolucion!D12="",0,Evolucion!D12)))/(Evolucion!C12+IF(Evolucion!D12="",0,Evolucion!D12))*100,3))</x:f>
        <x:v>2.099</x:v>
      </x:c>
      <x:c r="E11" s="42" t="n">
        <x:v>1.7</x:v>
      </x:c>
      <x:c r="F11" s="45" t="n">
        <x:f t="shared" ref="F11:G11" si="11">IF(D11="","",IF(F10="",D11,((1+F10/100)*(1+D11/100)-1)*100))</x:f>
        <x:v>7.674784368462584</x:v>
      </x:c>
      <x:c r="G11" s="45" t="n">
        <x:f t="shared" si="11"/>
        <x:v>5.37824413</x:v>
      </x:c>
      <x:c r="H11" s="26"/>
      <x:c r="I11" s="26"/>
      <x:c r="J11" s="26"/>
      <x:c r="K11" s="26"/>
      <x:c r="L11" s="26"/>
      <x:c r="M11" s="26"/>
      <x:c r="N11" s="26"/>
      <x:c r="O11" s="26"/>
    </x:row>
    <x:row r="12" ht="19.5" customHeight="1">
      <x:c r="A12" s="27" t="n">
        <x:v>2025</x:v>
      </x:c>
      <x:c r="B12" s="28" t="str">
        <x:v>Dic</x:v>
      </x:c>
      <x:c r="C12" s="28" t="str">
        <x:f t="shared" si="2"/>
        <x:v>2025 Dic</x:v>
      </x:c>
      <x:c r="D12" s="29" t="n">
        <x:f>IF(OR(Evolucion!B13="",(Evolucion!C13+IF(Evolucion!D13="",0,Evolucion!D13))=0),"",TRUNC((Evolucion!B13-(Evolucion!C13+IF(Evolucion!D13="",0,Evolucion!D13)))/(Evolucion!C13+IF(Evolucion!D13="",0,Evolucion!D13))*100,3))</x:f>
        <x:v>0.8</x:v>
      </x:c>
      <x:c r="E12" s="49" t="n">
        <x:v>0.5</x:v>
      </x:c>
      <x:c r="F12" s="33" t="n">
        <x:f t="shared" ref="F12:G12" si="12">IF(D12="","",IF(F11="",D12,((1+F11/100)*(1+D12/100)-1)*100))</x:f>
        <x:v>8.536182643410296</x:v>
      </x:c>
      <x:c r="G12" s="33" t="n">
        <x:f t="shared" si="12"/>
        <x:v>5.90513535</x:v>
      </x:c>
      <x:c r="H12" s="26"/>
      <x:c r="I12" s="26"/>
      <x:c r="J12" s="26"/>
      <x:c r="K12" s="26"/>
      <x:c r="L12" s="26"/>
      <x:c r="M12" s="26"/>
      <x:c r="N12" s="26"/>
      <x:c r="O12" s="26"/>
    </x:row>
    <x:row r="13" ht="21" customHeight="1">
      <x:c r="A13" s="65" t="n">
        <x:v>2026</x:v>
      </x:c>
      <x:c r="B13" s="66" t="str">
        <x:v>Ene</x:v>
      </x:c>
      <x:c r="C13" s="66" t="str">
        <x:f t="shared" si="2"/>
        <x:v>2026 Ene</x:v>
      </x:c>
      <x:c r="D13" s="67" t="n">
        <x:f>IF(OR(Evolucion!B19="",(Evolucion!C19+IF(Evolucion!D19="",0,Evolucion!D19))=0),"",TRUNC((Evolucion!B19-(Evolucion!C19+IF(Evolucion!D19="",0,Evolucion!D19)))/(Evolucion!C19+IF(Evolucion!D19="",0,Evolucion!D19))*100,3))</x:f>
        <x:v>1.5</x:v>
      </x:c>
      <x:c r="E13" s="68" t="n">
        <x:v>1.1</x:v>
      </x:c>
      <x:c r="F13" s="69" t="n">
        <x:f t="shared" ref="F13:G13" si="13">IF(D13="","",IF(F12="",D13,((1+F12/100)*(1+D13/100)-1)*100))</x:f>
        <x:v>10.164225383061432</x:v>
      </x:c>
      <x:c r="G13" s="69" t="n">
        <x:f t="shared" si="13"/>
        <x:v>7.07009184</x:v>
      </x:c>
      <x:c r="H13" s="26"/>
      <x:c r="I13" s="26"/>
      <x:c r="J13" s="26"/>
      <x:c r="K13" s="26"/>
      <x:c r="L13" s="26"/>
      <x:c r="M13" s="26"/>
      <x:c r="N13" s="26"/>
      <x:c r="O13" s="26"/>
    </x:row>
    <x:row r="14" ht="19.5" customHeight="1">
      <x:c r="A14" s="27" t="n">
        <x:v>2026</x:v>
      </x:c>
      <x:c r="B14" s="28" t="str">
        <x:v>Feb</x:v>
      </x:c>
      <x:c r="C14" s="28" t="str">
        <x:f t="shared" si="2"/>
        <x:v>2026 Feb</x:v>
      </x:c>
      <x:c r="D14" s="29" t="n">
        <x:f>IF(OR(Evolucion!B20="",(Evolucion!C20+IF(Evolucion!D20="",0,Evolucion!D20))=0),"",TRUNC((Evolucion!B20-(Evolucion!C20+IF(Evolucion!D20="",0,Evolucion!D20)))/(Evolucion!C20+IF(Evolucion!D20="",0,Evolucion!D20))*100,3))</x:f>
        <x:v>2</x:v>
      </x:c>
      <x:c r="E14" s="49" t="n">
        <x:v>1.4</x:v>
      </x:c>
      <x:c r="F14" s="33" t="n">
        <x:f t="shared" ref="F14:G14" si="14">IF(D14="","",IF(F13="",D14,((1+F13/100)*(1+D14/100)-1)*100))</x:f>
        <x:v>12.367509890722662</x:v>
      </x:c>
      <x:c r="G14" s="33" t="n">
        <x:f t="shared" si="14"/>
        <x:v>8.56907313</x:v>
      </x:c>
      <x:c r="H14" s="26"/>
      <x:c r="I14" s="26"/>
      <x:c r="J14" s="26"/>
      <x:c r="K14" s="26"/>
      <x:c r="L14" s="26"/>
      <x:c r="M14" s="26"/>
      <x:c r="N14" s="26"/>
      <x:c r="O14" s="26"/>
    </x:row>
    <x:row r="15" ht="19.5" customHeight="1">
      <x:c r="A15" s="35" t="n">
        <x:v>2026</x:v>
      </x:c>
      <x:c r="B15" s="37" t="str">
        <x:v>Mar</x:v>
      </x:c>
      <x:c r="C15" s="37" t="str">
        <x:f t="shared" si="2"/>
        <x:v>2026 Mar</x:v>
      </x:c>
      <x:c r="D15" s="41" t="n">
        <x:f>IF(OR(Evolucion!B21="",(Evolucion!C21+IF(Evolucion!D21="",0,Evolucion!D21))=0),"",TRUNC((Evolucion!B21-(Evolucion!C21+IF(Evolucion!D21="",0,Evolucion!D21)))/(Evolucion!C21+IF(Evolucion!D21="",0,Evolucion!D21))*100,3))</x:f>
        <x:v>-0.599</x:v>
      </x:c>
      <x:c r="E15" s="42" t="n">
        <x:v>-0.2</x:v>
      </x:c>
      <x:c r="F15" s="45" t="n">
        <x:f t="shared" ref="F15:G15" si="15">IF(D15="","",IF(F14="",D15,((1+F14/100)*(1+D15/100)-1)*100))</x:f>
        <x:v>11.694428506477216</x:v>
      </x:c>
      <x:c r="G15" s="45" t="n">
        <x:f t="shared" si="15"/>
        <x:v>8.35193498</x:v>
      </x:c>
      <x:c r="H15" s="26"/>
      <x:c r="I15" s="26"/>
      <x:c r="J15" s="26"/>
      <x:c r="K15" s="26"/>
      <x:c r="L15" s="26"/>
      <x:c r="M15" s="26"/>
      <x:c r="N15" s="26"/>
      <x:c r="O15" s="26"/>
    </x:row>
    <x:row r="16" ht="19.5" customHeight="1">
      <x:c r="A16" s="27" t="n">
        <x:v>2026</x:v>
      </x:c>
      <x:c r="B16" s="28" t="str">
        <x:v>Abr</x:v>
      </x:c>
      <x:c r="C16" s="28" t="str">
        <x:f t="shared" si="2"/>
        <x:v>2026 Abr</x:v>
      </x:c>
      <x:c r="D16" s="29" t="n">
        <x:f>IF(OR(Evolucion!B22="",(Evolucion!C22+IF(Evolucion!D22="",0,Evolucion!D22))=0),"",TRUNC((Evolucion!B22-(Evolucion!C22+IF(Evolucion!D22="",0,Evolucion!D22)))/(Evolucion!C22+IF(Evolucion!D22="",0,Evolucion!D22))*100,3))</x:f>
        <x:v>-2.4</x:v>
      </x:c>
      <x:c r="E16" s="30" t="n">
        <x:v>-1.8</x:v>
      </x:c>
      <x:c r="F16" s="33" t="n">
        <x:f t="shared" ref="F16:G16" si="16">IF(D16="","",IF(F15="",D16,((1+F15/100)*(1+D16/100)-1)*100))</x:f>
        <x:v>9.013762222321752</x:v>
      </x:c>
      <x:c r="G16" s="33" t="n">
        <x:f t="shared" si="16"/>
        <x:v>6.40160015</x:v>
      </x:c>
      <x:c r="H16" s="26"/>
      <x:c r="I16" s="26"/>
      <x:c r="J16" s="26"/>
      <x:c r="K16" s="26"/>
      <x:c r="L16" s="26"/>
      <x:c r="M16" s="26"/>
      <x:c r="N16" s="26"/>
      <x:c r="O16" s="26"/>
    </x:row>
    <x:row r="17" ht="19.5" customHeight="1">
      <x:c r="A17" s="35" t="n">
        <x:v>2026</x:v>
      </x:c>
      <x:c r="B17" s="37" t="str">
        <x:v>May</x:v>
      </x:c>
      <x:c r="C17" s="37" t="str">
        <x:f t="shared" si="2"/>
        <x:v>2026 May</x:v>
      </x:c>
      <x:c r="D17" s="41" t="n">
        <x:f>IF(OR(Evolucion!B23="",(Evolucion!C23+IF(Evolucion!D23="",0,Evolucion!D23))=0),"",TRUNC((Evolucion!B23-(Evolucion!C23+IF(Evolucion!D23="",0,Evolucion!D23)))/(Evolucion!C23+IF(Evolucion!D23="",0,Evolucion!D23))*100,3))</x:f>
        <x:v>3.1</x:v>
      </x:c>
      <x:c r="E17" s="75" t="n">
        <x:v>2.3</x:v>
      </x:c>
      <x:c r="F17" s="45" t="n">
        <x:f t="shared" ref="F17:G17" si="17">IF(D17="","",IF(F16="",D17,((1+F16/100)*(1+D17/100)-1)*100))</x:f>
        <x:v>12.393188851213722</x:v>
      </x:c>
      <x:c r="G17" s="45" t="n">
        <x:f t="shared" si="17"/>
        <x:v>8.84883695</x:v>
      </x:c>
      <x:c r="H17" s="26"/>
      <x:c r="I17" s="26"/>
      <x:c r="J17" s="26"/>
      <x:c r="K17" s="26"/>
      <x:c r="L17" s="26"/>
      <x:c r="M17" s="26"/>
      <x:c r="N17" s="26"/>
      <x:c r="O17" s="26"/>
    </x:row>
    <x:row r="18" ht="19.5" customHeight="1">
      <x:c r="A18" s="77" t="n">
        <x:v>2026</x:v>
      </x:c>
      <x:c r="B18" s="79" t="str">
        <x:v>Jun</x:v>
      </x:c>
      <x:c r="C18" s="28" t="str">
        <x:f t="shared" si="2"/>
        <x:v>2026 Jun</x:v>
      </x:c>
      <x:c r="D18" s="29" t="n">
        <x:f>IF(OR(Evolucion!B24="",(Evolucion!C24+IF(Evolucion!D24="",0,Evolucion!D24))=0),"",TRUNC((Evolucion!B24-(Evolucion!C24+IF(Evolucion!D24="",0,Evolucion!D24)))/(Evolucion!C24+IF(Evolucion!D24="",0,Evolucion!D24))*100,3))</x:f>
        <x:v>1.2</x:v>
      </x:c>
      <x:c r="E18" s="30" t="n">
        <x:v>0.9</x:v>
      </x:c>
      <x:c r="F18" s="33" t="n">
        <x:f t="shared" ref="F18:G18" si="18">IF(D18="","",IF(F17="",D18,((1+F17/100)*(1+D18/100)-1)*100))</x:f>
        <x:v>13.741907117428287</x:v>
      </x:c>
      <x:c r="G18" s="33" t="n">
        <x:f t="shared" si="18"/>
        <x:v>9.82847648</x:v>
      </x:c>
      <x:c r="H18" s="26"/>
      <x:c r="I18" s="26"/>
      <x:c r="J18" s="26"/>
      <x:c r="K18" s="26"/>
      <x:c r="L18" s="26"/>
      <x:c r="M18" s="26"/>
      <x:c r="N18" s="26"/>
      <x:c r="O18" s="26"/>
    </x:row>
    <x:row r="19" ht="19.5" customHeight="1">
      <x:c r="A19" s="84" t="n">
        <x:v>2026</x:v>
      </x:c>
      <x:c r="B19" s="85" t="str">
        <x:v>Jul</x:v>
      </x:c>
      <x:c r="C19" s="37" t="str">
        <x:f t="shared" si="2"/>
        <x:v>2026 Jul</x:v>
      </x:c>
      <x:c r="D19" s="41" t="e">
        <x:f>IF(OR(Evolucion!B25="",(Evolucion!C25+IF(Evolucion!D25="",0,Evolucion!D25))=0),"",TRUNC((Evolucion!B25-(Evolucion!C25+IF(Evolucion!D25="",0,Evolucion!D25)))/(Evolucion!C25+IF(Evolucion!D25="",0,Evolucion!D25))*100,3))</x:f>
        <x:v>#NAME?</x:v>
      </x:c>
      <x:c r="E19" s="75" t="n">
        <x:v>0.4</x:v>
      </x:c>
      <x:c r="F19" s="45" t="e">
        <x:f t="shared" ref="F19:G19" si="19">IF(D19="","",IF(F18="",D19,((1+F18/100)*(1+D19/100)-1)*100))</x:f>
        <x:v>#NAME?</x:v>
      </x:c>
      <x:c r="G19" s="45" t="n">
        <x:f t="shared" si="19"/>
        <x:v>10.26779039</x:v>
      </x:c>
      <x:c r="H19" s="26"/>
      <x:c r="I19" s="26"/>
      <x:c r="J19" s="26"/>
      <x:c r="K19" s="26"/>
      <x:c r="L19" s="26"/>
      <x:c r="M19" s="26"/>
      <x:c r="N19" s="26"/>
      <x:c r="O19" s="26"/>
    </x:row>
    <x:row r="20" ht="19.5" customHeight="1">
      <x:c r="A20" s="77" t="n">
        <x:v>2026</x:v>
      </x:c>
      <x:c r="B20" s="79" t="str">
        <x:v>Ago</x:v>
      </x:c>
      <x:c r="C20" s="28" t="str">
        <x:f t="shared" si="2"/>
        <x:v>2026 Ago</x:v>
      </x:c>
      <x:c r="D20" s="29" t="e">
        <x:f>IF(OR(Evolucion!B26="",(Evolucion!C26+IF(Evolucion!D26="",0,Evolucion!D26))=0),"",TRUNC((Evolucion!B26-(Evolucion!C26+IF(Evolucion!D26="",0,Evolucion!D26)))/(Evolucion!C26+IF(Evolucion!D26="",0,Evolucion!D26))*100,3))</x:f>
        <x:v>#NAME?</x:v>
      </x:c>
      <x:c r="E20" s="30" t="n">
        <x:v>-0.6</x:v>
      </x:c>
      <x:c r="F20" s="33" t="e">
        <x:f t="shared" ref="F20:G20" si="20">IF(D20="","",IF(F19="",D20,((1+F19/100)*(1+D20/100)-1)*100))</x:f>
        <x:v>#NAME?</x:v>
      </x:c>
      <x:c r="G20" s="33" t="n">
        <x:f t="shared" si="20"/>
        <x:v>9.60618365</x:v>
      </x:c>
      <x:c r="H20" s="26"/>
      <x:c r="I20" s="26"/>
      <x:c r="J20" s="26"/>
      <x:c r="K20" s="26"/>
      <x:c r="L20" s="26"/>
      <x:c r="M20" s="26"/>
      <x:c r="N20" s="26"/>
      <x:c r="O20" s="26"/>
    </x:row>
    <x:row r="21" ht="19.5" customHeight="1">
      <x:c r="A21" s="84" t="n">
        <x:v>2026</x:v>
      </x:c>
      <x:c r="B21" s="85" t="str">
        <x:v>Sep</x:v>
      </x:c>
      <x:c r="C21" s="37" t="str">
        <x:f t="shared" si="2"/>
        <x:v>2026 Sep</x:v>
      </x:c>
      <x:c r="D21" s="41" t="e">
        <x:f>IF(OR(Evolucion!B27="",(Evolucion!C27+IF(Evolucion!D27="",0,Evolucion!D27))=0),"",TRUNC((Evolucion!B27-(Evolucion!C27+IF(Evolucion!D27="",0,Evolucion!D27)))/(Evolucion!C27+IF(Evolucion!D27="",0,Evolucion!D27))*100,3))</x:f>
        <x:v>#NAME?</x:v>
      </x:c>
      <x:c r="E21" s="75"/>
      <x:c r="F21" s="45" t="e">
        <x:f t="shared" ref="F21:G21" si="21">IF(D21="","",IF(F20="",D21,((1+F20/100)*(1+D21/100)-1)*100))</x:f>
        <x:v>#NAME?</x:v>
      </x:c>
      <x:c r="G21" s="45">
        <x:f t="shared" si="21"/>
      </x:c>
      <x:c r="H21" s="26"/>
      <x:c r="I21" s="26"/>
      <x:c r="J21" s="26"/>
      <x:c r="K21" s="26"/>
      <x:c r="L21" s="26"/>
      <x:c r="M21" s="26"/>
      <x:c r="N21" s="26"/>
      <x:c r="O21" s="26"/>
    </x:row>
    <x:row r="22" ht="19.5" customHeight="1">
      <x:c r="A22" s="77" t="n">
        <x:v>2026</x:v>
      </x:c>
      <x:c r="B22" s="79" t="str">
        <x:v>Oct</x:v>
      </x:c>
      <x:c r="C22" s="28" t="str">
        <x:f t="shared" si="2"/>
        <x:v>2026 Oct</x:v>
      </x:c>
      <x:c r="D22" s="29" t="e">
        <x:f>IF(OR(Evolucion!B28="",(Evolucion!C28+IF(Evolucion!D28="",0,Evolucion!D28))=0),"",TRUNC((Evolucion!B28-(Evolucion!C28+IF(Evolucion!D28="",0,Evolucion!D28)))/(Evolucion!C28+IF(Evolucion!D28="",0,Evolucion!D28))*100,3))</x:f>
        <x:v>#NAME?</x:v>
      </x:c>
      <x:c r="E22" s="30"/>
      <x:c r="F22" s="33" t="e">
        <x:f t="shared" ref="F22:G22" si="22">IF(D22="","",IF(F21="",D22,((1+F21/100)*(1+D22/100)-1)*100))</x:f>
        <x:v>#NAME?</x:v>
      </x:c>
      <x:c r="G22" s="33">
        <x:f t="shared" si="22"/>
      </x:c>
      <x:c r="H22" s="26"/>
      <x:c r="I22" s="26"/>
      <x:c r="J22" s="26"/>
      <x:c r="K22" s="26"/>
      <x:c r="L22" s="26"/>
      <x:c r="M22" s="26"/>
      <x:c r="N22" s="26"/>
      <x:c r="O22" s="26"/>
    </x:row>
    <x:row r="23" ht="19.5" customHeight="1">
      <x:c r="A23" s="84" t="n">
        <x:v>2026</x:v>
      </x:c>
      <x:c r="B23" s="85" t="str">
        <x:v>Nov</x:v>
      </x:c>
      <x:c r="C23" s="37" t="str">
        <x:f t="shared" si="2"/>
        <x:v>2026 Nov</x:v>
      </x:c>
      <x:c r="D23" s="41" t="e">
        <x:f>IF(OR(Evolucion!B29="",(Evolucion!C29+IF(Evolucion!D29="",0,Evolucion!D29))=0),"",TRUNC((Evolucion!B29-(Evolucion!C29+IF(Evolucion!D29="",0,Evolucion!D29)))/(Evolucion!C29+IF(Evolucion!D29="",0,Evolucion!D29))*100,3))</x:f>
        <x:v>#NAME?</x:v>
      </x:c>
      <x:c r="E23" s="75"/>
      <x:c r="F23" s="45" t="e">
        <x:f t="shared" ref="F23:G23" si="23">IF(D23="","",IF(F22="",D23,((1+F22/100)*(1+D23/100)-1)*100))</x:f>
        <x:v>#NAME?</x:v>
      </x:c>
      <x:c r="G23" s="45">
        <x:f t="shared" si="23"/>
      </x:c>
      <x:c r="H23" s="26"/>
      <x:c r="I23" s="26"/>
      <x:c r="J23" s="26"/>
      <x:c r="K23" s="26"/>
      <x:c r="L23" s="26"/>
      <x:c r="M23" s="26"/>
      <x:c r="N23" s="26"/>
      <x:c r="O23" s="26"/>
    </x:row>
    <x:row r="24" ht="19.5" customHeight="1">
      <x:c r="A24" s="77" t="n">
        <x:v>2026</x:v>
      </x:c>
      <x:c r="B24" s="79" t="str">
        <x:v>Dic</x:v>
      </x:c>
      <x:c r="C24" s="28" t="str">
        <x:f t="shared" si="2"/>
        <x:v>2026 Dic</x:v>
      </x:c>
      <x:c r="D24" s="29" t="e">
        <x:f>IF(OR(Evolucion!B30="",(Evolucion!C30+IF(Evolucion!D30="",0,Evolucion!D30))=0),"",TRUNC((Evolucion!B30-(Evolucion!C30+IF(Evolucion!D30="",0,Evolucion!D30)))/(Evolucion!C30+IF(Evolucion!D30="",0,Evolucion!D30))*100,3))</x:f>
        <x:v>#NAME?</x:v>
      </x:c>
      <x:c r="E24" s="30"/>
      <x:c r="F24" s="33" t="e">
        <x:f t="shared" ref="F24:G24" si="24">IF(D24="","",IF(F23="",D24,((1+F23/100)*(1+D24/100)-1)*100))</x:f>
        <x:v>#NAME?</x:v>
      </x:c>
      <x:c r="G24" s="33">
        <x:f t="shared" si="24"/>
      </x:c>
      <x:c r="H24" s="26"/>
      <x:c r="I24" s="26"/>
      <x:c r="J24" s="26"/>
      <x:c r="K24" s="26"/>
      <x:c r="L24" s="26"/>
      <x:c r="M24" s="26"/>
      <x:c r="N24" s="26"/>
      <x:c r="O24" s="26"/>
    </x:row>
    <x:row r="25" ht="19.5" customHeight="1">
      <x:c r="A25" s="26"/>
      <x:c r="B25" s="26"/>
      <x:c r="C25" s="26"/>
      <x:c r="D25" s="26"/>
      <x:c r="E25" s="26"/>
      <x:c r="F25" s="26"/>
      <x:c r="G25" s="26"/>
      <x:c r="H25" s="26"/>
      <x:c r="I25" s="26"/>
      <x:c r="J25" s="26"/>
      <x:c r="K25" s="26"/>
      <x:c r="L25" s="26"/>
      <x:c r="M25" s="26"/>
      <x:c r="N25" s="26"/>
      <x:c r="O25" s="26"/>
    </x:row>
    <x:row r="26" ht="19.5" customHeight="1">
      <x:c r="A26" s="26"/>
      <x:c r="B26" s="26"/>
      <x:c r="C26" s="26"/>
      <x:c r="D26" s="26"/>
      <x:c r="E26" s="26"/>
      <x:c r="F26" s="26"/>
      <x:c r="G26" s="26"/>
      <x:c r="H26" s="26"/>
      <x:c r="I26" s="26"/>
      <x:c r="J26" s="26"/>
      <x:c r="K26" s="26"/>
      <x:c r="L26" s="26"/>
      <x:c r="M26" s="26"/>
      <x:c r="N26" s="26"/>
      <x:c r="O26" s="26"/>
    </x:row>
    <x:row r="27" ht="19.5" customHeight="1">
      <x:c r="A27" s="26"/>
      <x:c r="B27" s="26"/>
      <x:c r="C27" s="26"/>
      <x:c r="D27" s="26"/>
      <x:c r="E27" s="26"/>
      <x:c r="F27" s="26"/>
      <x:c r="G27" s="26"/>
      <x:c r="H27" s="26"/>
      <x:c r="I27" s="26"/>
      <x:c r="J27" s="26"/>
      <x:c r="K27" s="26"/>
      <x:c r="L27" s="26"/>
      <x:c r="M27" s="26"/>
      <x:c r="N27" s="26"/>
      <x:c r="O27" s="26"/>
    </x:row>
    <x:row r="28" ht="19.5" customHeight="1">
      <x:c r="A28" s="26"/>
      <x:c r="B28" s="26"/>
      <x:c r="C28" s="26"/>
      <x:c r="D28" s="26"/>
      <x:c r="E28" s="26"/>
      <x:c r="F28" s="26"/>
      <x:c r="G28" s="26"/>
      <x:c r="H28" s="26"/>
      <x:c r="I28" s="26"/>
      <x:c r="J28" s="26"/>
      <x:c r="K28" s="26"/>
      <x:c r="L28" s="26"/>
      <x:c r="M28" s="26"/>
      <x:c r="N28" s="26"/>
      <x:c r="O28" s="26"/>
    </x:row>
    <x:row r="29" ht="19.5" customHeight="1">
      <x:c r="A29" s="26"/>
      <x:c r="B29" s="26"/>
      <x:c r="C29" s="26"/>
      <x:c r="D29" s="26"/>
      <x:c r="E29" s="26"/>
      <x:c r="F29" s="26"/>
      <x:c r="G29" s="26"/>
      <x:c r="H29" s="26"/>
      <x:c r="I29" s="26"/>
      <x:c r="J29" s="26"/>
      <x:c r="K29" s="26"/>
      <x:c r="L29" s="26"/>
      <x:c r="M29" s="26"/>
      <x:c r="N29" s="26"/>
      <x:c r="O29" s="26"/>
    </x:row>
    <x:row r="30" ht="19.5" customHeight="1">
      <x:c r="A30" s="26"/>
      <x:c r="B30" s="26"/>
      <x:c r="C30" s="26"/>
      <x:c r="D30" s="26"/>
      <x:c r="E30" s="26"/>
      <x:c r="F30" s="26"/>
      <x:c r="G30" s="26"/>
      <x:c r="H30" s="26"/>
      <x:c r="I30" s="26"/>
      <x:c r="J30" s="26"/>
      <x:c r="K30" s="26"/>
      <x:c r="L30" s="26"/>
      <x:c r="M30" s="26"/>
      <x:c r="N30" s="26"/>
      <x:c r="O30" s="26"/>
    </x:row>
    <x:row r="31" ht="19.5" customHeight="1">
      <x:c r="A31" s="26"/>
      <x:c r="B31" s="26"/>
      <x:c r="C31" s="26"/>
      <x:c r="D31" s="26"/>
      <x:c r="E31" s="26"/>
      <x:c r="F31" s="26"/>
      <x:c r="G31" s="26"/>
      <x:c r="H31" s="26"/>
      <x:c r="I31" s="26"/>
      <x:c r="J31" s="26"/>
      <x:c r="K31" s="26"/>
      <x:c r="L31" s="26"/>
      <x:c r="M31" s="26"/>
      <x:c r="N31" s="26"/>
      <x:c r="O31" s="26"/>
    </x:row>
    <x:row r="32" ht="19.5" customHeight="1">
      <x:c r="A32" s="26"/>
      <x:c r="B32" s="26"/>
      <x:c r="C32" s="26"/>
      <x:c r="D32" s="26"/>
      <x:c r="E32" s="26"/>
      <x:c r="F32" s="26"/>
      <x:c r="G32" s="26"/>
      <x:c r="H32" s="26"/>
      <x:c r="I32" s="26"/>
      <x:c r="J32" s="26"/>
      <x:c r="K32" s="26"/>
      <x:c r="L32" s="26"/>
      <x:c r="M32" s="26"/>
      <x:c r="N32" s="26"/>
      <x:c r="O32" s="26"/>
    </x:row>
    <x:row r="33" ht="19.5" customHeight="1">
      <x:c r="A33" s="26"/>
      <x:c r="B33" s="26"/>
      <x:c r="C33" s="26"/>
      <x:c r="D33" s="26"/>
      <x:c r="E33" s="26"/>
      <x:c r="F33" s="26"/>
      <x:c r="G33" s="26"/>
      <x:c r="H33" s="26"/>
      <x:c r="I33" s="26"/>
      <x:c r="J33" s="26"/>
      <x:c r="K33" s="26"/>
      <x:c r="L33" s="26"/>
      <x:c r="M33" s="26"/>
      <x:c r="N33" s="26"/>
      <x:c r="O33" s="26"/>
    </x:row>
    <x:row r="34" ht="19.5" customHeight="1">
      <x:c r="A34" s="26"/>
      <x:c r="B34" s="26"/>
      <x:c r="C34" s="26"/>
      <x:c r="D34" s="26"/>
      <x:c r="E34" s="26"/>
      <x:c r="F34" s="26"/>
      <x:c r="G34" s="26"/>
      <x:c r="H34" s="26"/>
      <x:c r="I34" s="26"/>
      <x:c r="J34" s="26"/>
      <x:c r="K34" s="26"/>
      <x:c r="L34" s="26"/>
      <x:c r="M34" s="26"/>
      <x:c r="N34" s="26"/>
      <x:c r="O34" s="26"/>
    </x:row>
    <x:row r="35" ht="19.5" customHeight="1">
      <x:c r="A35" s="26"/>
      <x:c r="B35" s="26"/>
      <x:c r="C35" s="26"/>
      <x:c r="D35" s="26"/>
      <x:c r="E35" s="26"/>
      <x:c r="F35" s="26"/>
      <x:c r="G35" s="26"/>
      <x:c r="H35" s="26"/>
      <x:c r="I35" s="26"/>
      <x:c r="J35" s="26"/>
      <x:c r="K35" s="26"/>
      <x:c r="L35" s="26"/>
      <x:c r="M35" s="26"/>
      <x:c r="N35" s="26"/>
      <x:c r="O35" s="26"/>
    </x:row>
    <x:row r="36" ht="19.5" customHeight="1">
      <x:c r="A36" s="26"/>
      <x:c r="B36" s="26"/>
      <x:c r="C36" s="26"/>
      <x:c r="D36" s="26"/>
      <x:c r="E36" s="26"/>
      <x:c r="F36" s="26"/>
      <x:c r="G36" s="26"/>
      <x:c r="H36" s="26"/>
      <x:c r="I36" s="26"/>
      <x:c r="J36" s="26"/>
      <x:c r="K36" s="26"/>
      <x:c r="L36" s="26"/>
      <x:c r="M36" s="26"/>
      <x:c r="N36" s="26"/>
      <x:c r="O36" s="26"/>
    </x:row>
    <x:row r="37" ht="19.5" customHeight="1">
      <x:c r="A37" s="26"/>
      <x:c r="B37" s="26"/>
      <x:c r="C37" s="26"/>
      <x:c r="D37" s="26"/>
      <x:c r="E37" s="26"/>
      <x:c r="F37" s="26"/>
      <x:c r="G37" s="26"/>
      <x:c r="H37" s="26"/>
      <x:c r="I37" s="26"/>
      <x:c r="J37" s="26"/>
      <x:c r="K37" s="26"/>
      <x:c r="L37" s="26"/>
      <x:c r="M37" s="26"/>
      <x:c r="N37" s="26"/>
      <x:c r="O37" s="26"/>
    </x:row>
    <x:row r="38" ht="19.5" customHeight="1">
      <x:c r="A38" s="26"/>
      <x:c r="B38" s="26"/>
      <x:c r="C38" s="26"/>
      <x:c r="D38" s="26"/>
      <x:c r="E38" s="26"/>
      <x:c r="F38" s="26"/>
      <x:c r="G38" s="26"/>
      <x:c r="H38" s="26"/>
      <x:c r="I38" s="26"/>
      <x:c r="J38" s="26"/>
      <x:c r="K38" s="26"/>
      <x:c r="L38" s="26"/>
      <x:c r="M38" s="26"/>
      <x:c r="N38" s="26"/>
      <x:c r="O38" s="26"/>
    </x:row>
    <x:row r="39" ht="19.5" customHeight="1">
      <x:c r="A39" s="26"/>
      <x:c r="B39" s="26"/>
      <x:c r="C39" s="26"/>
      <x:c r="D39" s="26"/>
      <x:c r="E39" s="26"/>
      <x:c r="F39" s="26"/>
      <x:c r="G39" s="26"/>
      <x:c r="H39" s="26"/>
      <x:c r="I39" s="26"/>
      <x:c r="J39" s="26"/>
      <x:c r="K39" s="26"/>
      <x:c r="L39" s="26"/>
      <x:c r="M39" s="26"/>
      <x:c r="N39" s="26"/>
      <x:c r="O39" s="26"/>
    </x:row>
    <x:row r="40" ht="19.5" customHeight="1">
      <x:c r="A40" s="26"/>
      <x:c r="B40" s="26"/>
      <x:c r="C40" s="26"/>
      <x:c r="D40" s="26"/>
      <x:c r="E40" s="26"/>
      <x:c r="F40" s="26"/>
      <x:c r="G40" s="26"/>
      <x:c r="H40" s="26"/>
      <x:c r="I40" s="26"/>
      <x:c r="J40" s="26"/>
      <x:c r="K40" s="26"/>
      <x:c r="L40" s="26"/>
      <x:c r="M40" s="26"/>
      <x:c r="N40" s="26"/>
      <x:c r="O40" s="26"/>
    </x:row>
    <x:row r="41" ht="19.5" customHeight="1">
      <x:c r="A41" s="26"/>
      <x:c r="B41" s="26"/>
      <x:c r="C41" s="26"/>
      <x:c r="D41" s="26"/>
      <x:c r="E41" s="26"/>
      <x:c r="F41" s="26"/>
      <x:c r="G41" s="26"/>
      <x:c r="H41" s="26"/>
      <x:c r="I41" s="26"/>
      <x:c r="J41" s="26"/>
      <x:c r="K41" s="26"/>
      <x:c r="L41" s="26"/>
      <x:c r="M41" s="26"/>
      <x:c r="N41" s="26"/>
      <x:c r="O41" s="26"/>
    </x:row>
    <x:row r="42" ht="15.75" customHeight="1">
      <x:c r="A42" s="26"/>
      <x:c r="B42" s="26"/>
      <x:c r="C42" s="26"/>
      <x:c r="D42" s="26"/>
      <x:c r="E42" s="26"/>
      <x:c r="F42" s="26"/>
      <x:c r="G42" s="26"/>
      <x:c r="H42" s="26"/>
      <x:c r="I42" s="26"/>
      <x:c r="J42" s="26"/>
      <x:c r="K42" s="26"/>
      <x:c r="L42" s="26"/>
      <x:c r="M42" s="26"/>
      <x:c r="N42" s="26"/>
      <x:c r="O42" s="26"/>
    </x:row>
    <x:row r="43" ht="15.75" customHeight="1">
      <x:c r="A43" s="26"/>
      <x:c r="B43" s="26"/>
      <x:c r="C43" s="26"/>
      <x:c r="D43" s="26"/>
      <x:c r="E43" s="26"/>
      <x:c r="F43" s="26"/>
      <x:c r="G43" s="26"/>
      <x:c r="H43" s="26"/>
      <x:c r="I43" s="26"/>
      <x:c r="J43" s="26"/>
      <x:c r="K43" s="26"/>
      <x:c r="L43" s="26"/>
      <x:c r="M43" s="26"/>
      <x:c r="N43" s="26"/>
      <x:c r="O43" s="26"/>
    </x:row>
    <x:row r="44" ht="15.75" customHeight="1">
      <x:c r="A44" s="26"/>
      <x:c r="B44" s="26"/>
      <x:c r="C44" s="26"/>
      <x:c r="D44" s="26"/>
      <x:c r="E44" s="26"/>
      <x:c r="F44" s="26"/>
      <x:c r="G44" s="26"/>
      <x:c r="H44" s="26"/>
      <x:c r="I44" s="26"/>
      <x:c r="J44" s="26"/>
      <x:c r="K44" s="26"/>
      <x:c r="L44" s="26"/>
      <x:c r="M44" s="26"/>
      <x:c r="N44" s="26"/>
      <x:c r="O44" s="26"/>
    </x:row>
    <x:row r="45" ht="15.75" customHeight="1">
      <x:c r="A45" s="26"/>
      <x:c r="B45" s="26"/>
      <x:c r="C45" s="26"/>
      <x:c r="D45" s="26"/>
      <x:c r="E45" s="26"/>
      <x:c r="F45" s="26"/>
      <x:c r="G45" s="26"/>
      <x:c r="H45" s="26"/>
      <x:c r="I45" s="26"/>
      <x:c r="J45" s="26"/>
      <x:c r="K45" s="26"/>
      <x:c r="L45" s="26"/>
      <x:c r="M45" s="26"/>
      <x:c r="N45" s="26"/>
      <x:c r="O45" s="26"/>
    </x:row>
    <x:row r="46" ht="15.75" customHeight="1">
      <x:c r="A46" s="26"/>
      <x:c r="B46" s="26"/>
      <x:c r="C46" s="26"/>
      <x:c r="D46" s="26"/>
      <x:c r="E46" s="26"/>
      <x:c r="F46" s="26"/>
      <x:c r="G46" s="26"/>
      <x:c r="H46" s="26"/>
      <x:c r="I46" s="26"/>
      <x:c r="J46" s="26"/>
      <x:c r="K46" s="26"/>
      <x:c r="L46" s="26"/>
      <x:c r="M46" s="26"/>
      <x:c r="N46" s="26"/>
      <x:c r="O46" s="26"/>
    </x:row>
    <x:row r="47" ht="15.75" customHeight="1">
      <x:c r="A47" s="26"/>
      <x:c r="B47" s="26"/>
      <x:c r="C47" s="26"/>
      <x:c r="D47" s="26"/>
      <x:c r="E47" s="26"/>
      <x:c r="F47" s="26"/>
      <x:c r="G47" s="26"/>
      <x:c r="H47" s="26"/>
      <x:c r="I47" s="26"/>
      <x:c r="J47" s="26"/>
      <x:c r="K47" s="26"/>
      <x:c r="L47" s="26"/>
      <x:c r="M47" s="26"/>
      <x:c r="N47" s="26"/>
      <x:c r="O47" s="26"/>
    </x:row>
    <x:row r="48" ht="15.75" customHeight="1">
      <x:c r="A48" s="26"/>
      <x:c r="B48" s="26"/>
      <x:c r="C48" s="26"/>
      <x:c r="D48" s="26"/>
      <x:c r="E48" s="26"/>
      <x:c r="F48" s="26"/>
      <x:c r="G48" s="26"/>
      <x:c r="H48" s="26"/>
      <x:c r="I48" s="26"/>
      <x:c r="J48" s="26"/>
      <x:c r="K48" s="26"/>
      <x:c r="L48" s="26"/>
      <x:c r="M48" s="26"/>
      <x:c r="N48" s="26"/>
      <x:c r="O48" s="26"/>
    </x:row>
    <x:row r="49" ht="15.75" customHeight="1">
      <x:c r="A49" s="26"/>
      <x:c r="B49" s="26"/>
      <x:c r="C49" s="26"/>
      <x:c r="D49" s="26"/>
      <x:c r="E49" s="26"/>
      <x:c r="F49" s="26"/>
      <x:c r="G49" s="26"/>
      <x:c r="H49" s="26"/>
      <x:c r="I49" s="26"/>
      <x:c r="J49" s="26"/>
      <x:c r="K49" s="26"/>
      <x:c r="L49" s="26"/>
      <x:c r="M49" s="26"/>
      <x:c r="N49" s="26"/>
      <x:c r="O49" s="26"/>
    </x:row>
    <x:row r="50" ht="15.75" customHeight="1">
      <x:c r="A50" s="26"/>
      <x:c r="B50" s="26"/>
      <x:c r="C50" s="26"/>
      <x:c r="D50" s="26"/>
      <x:c r="E50" s="26"/>
      <x:c r="F50" s="26"/>
      <x:c r="G50" s="26"/>
      <x:c r="H50" s="26"/>
      <x:c r="I50" s="26"/>
      <x:c r="J50" s="26"/>
      <x:c r="K50" s="26"/>
      <x:c r="L50" s="26"/>
      <x:c r="M50" s="26"/>
      <x:c r="N50" s="26"/>
      <x:c r="O50" s="26"/>
    </x:row>
    <x:row r="51" ht="15.75" customHeight="1">
      <x:c r="A51" s="26"/>
      <x:c r="B51" s="26"/>
      <x:c r="C51" s="26"/>
      <x:c r="D51" s="26"/>
      <x:c r="E51" s="26"/>
      <x:c r="F51" s="26"/>
      <x:c r="G51" s="26"/>
      <x:c r="H51" s="26"/>
      <x:c r="I51" s="26"/>
      <x:c r="J51" s="26"/>
      <x:c r="K51" s="26"/>
      <x:c r="L51" s="26"/>
      <x:c r="M51" s="26"/>
      <x:c r="N51" s="26"/>
      <x:c r="O51" s="26"/>
    </x:row>
    <x:row r="52" ht="15.75" customHeight="1">
      <x:c r="A52" s="26"/>
      <x:c r="B52" s="26"/>
      <x:c r="C52" s="26"/>
      <x:c r="D52" s="26"/>
      <x:c r="E52" s="26"/>
      <x:c r="F52" s="26"/>
      <x:c r="G52" s="26"/>
      <x:c r="H52" s="26"/>
      <x:c r="I52" s="26"/>
      <x:c r="J52" s="26"/>
      <x:c r="K52" s="26"/>
      <x:c r="L52" s="26"/>
      <x:c r="M52" s="26"/>
      <x:c r="N52" s="26"/>
      <x:c r="O52" s="26"/>
    </x:row>
    <x:row r="53" ht="15.75" customHeight="1">
      <x:c r="A53" s="26"/>
      <x:c r="B53" s="26"/>
      <x:c r="C53" s="26"/>
      <x:c r="D53" s="26"/>
      <x:c r="E53" s="26"/>
      <x:c r="F53" s="26"/>
      <x:c r="G53" s="26"/>
      <x:c r="H53" s="26"/>
      <x:c r="I53" s="26"/>
      <x:c r="J53" s="26"/>
      <x:c r="K53" s="26"/>
      <x:c r="L53" s="26"/>
      <x:c r="M53" s="26"/>
      <x:c r="N53" s="26"/>
      <x:c r="O53" s="26"/>
    </x:row>
    <x:row r="54" ht="15.75" customHeight="1">
      <x:c r="A54" s="26"/>
      <x:c r="B54" s="26"/>
      <x:c r="C54" s="26"/>
      <x:c r="D54" s="26"/>
      <x:c r="E54" s="26"/>
      <x:c r="F54" s="26"/>
      <x:c r="G54" s="26"/>
      <x:c r="H54" s="26"/>
      <x:c r="I54" s="26"/>
      <x:c r="J54" s="26"/>
      <x:c r="K54" s="26"/>
      <x:c r="L54" s="26"/>
      <x:c r="M54" s="26"/>
      <x:c r="N54" s="26"/>
      <x:c r="O54" s="26"/>
    </x:row>
    <x:row r="55" ht="15.75" customHeight="1">
      <x:c r="A55" s="26"/>
      <x:c r="B55" s="26"/>
      <x:c r="C55" s="26"/>
      <x:c r="D55" s="26"/>
      <x:c r="E55" s="26"/>
      <x:c r="F55" s="26"/>
      <x:c r="G55" s="26"/>
      <x:c r="H55" s="26"/>
      <x:c r="I55" s="26"/>
      <x:c r="J55" s="26"/>
      <x:c r="K55" s="26"/>
      <x:c r="L55" s="26"/>
      <x:c r="M55" s="26"/>
      <x:c r="N55" s="26"/>
      <x:c r="O55" s="26"/>
    </x:row>
    <x:row r="56" ht="15.75" customHeight="1">
      <x:c r="A56" s="26"/>
      <x:c r="B56" s="26"/>
      <x:c r="C56" s="26"/>
      <x:c r="D56" s="26"/>
      <x:c r="E56" s="26"/>
      <x:c r="F56" s="26"/>
      <x:c r="G56" s="26"/>
      <x:c r="H56" s="26"/>
      <x:c r="I56" s="26"/>
      <x:c r="J56" s="26"/>
      <x:c r="K56" s="26"/>
      <x:c r="L56" s="26"/>
      <x:c r="M56" s="26"/>
      <x:c r="N56" s="26"/>
      <x:c r="O56" s="26"/>
    </x:row>
    <x:row r="57" ht="15.75" customHeight="1">
      <x:c r="A57" s="26"/>
      <x:c r="B57" s="26"/>
      <x:c r="C57" s="26"/>
      <x:c r="D57" s="26"/>
      <x:c r="E57" s="26"/>
      <x:c r="F57" s="26"/>
      <x:c r="G57" s="26"/>
      <x:c r="H57" s="26"/>
      <x:c r="I57" s="26"/>
      <x:c r="J57" s="26"/>
      <x:c r="K57" s="26"/>
      <x:c r="L57" s="26"/>
      <x:c r="M57" s="26"/>
      <x:c r="N57" s="26"/>
      <x:c r="O57" s="26"/>
    </x:row>
    <x:row r="58" ht="15.75" customHeight="1">
      <x:c r="A58" s="26"/>
      <x:c r="B58" s="26"/>
      <x:c r="C58" s="26"/>
      <x:c r="D58" s="26"/>
      <x:c r="E58" s="26"/>
      <x:c r="F58" s="26"/>
      <x:c r="G58" s="26"/>
      <x:c r="H58" s="26"/>
      <x:c r="I58" s="26"/>
      <x:c r="J58" s="26"/>
      <x:c r="K58" s="26"/>
      <x:c r="L58" s="26"/>
      <x:c r="M58" s="26"/>
      <x:c r="N58" s="26"/>
      <x:c r="O58" s="26"/>
    </x:row>
    <x:row r="59" ht="15.75" customHeight="1">
      <x:c r="A59" s="26"/>
      <x:c r="B59" s="26"/>
      <x:c r="C59" s="26"/>
      <x:c r="D59" s="26"/>
      <x:c r="E59" s="26"/>
      <x:c r="F59" s="26"/>
      <x:c r="G59" s="26"/>
      <x:c r="H59" s="26"/>
      <x:c r="I59" s="26"/>
      <x:c r="J59" s="26"/>
      <x:c r="K59" s="26"/>
      <x:c r="L59" s="26"/>
      <x:c r="M59" s="26"/>
      <x:c r="N59" s="26"/>
      <x:c r="O59" s="26"/>
    </x:row>
    <x:row r="60" ht="15.75" customHeight="1">
      <x:c r="A60" s="26"/>
      <x:c r="B60" s="26"/>
      <x:c r="C60" s="26"/>
      <x:c r="D60" s="26"/>
      <x:c r="E60" s="26"/>
      <x:c r="F60" s="26"/>
      <x:c r="G60" s="26"/>
      <x:c r="H60" s="26"/>
      <x:c r="I60" s="26"/>
      <x:c r="J60" s="26"/>
      <x:c r="K60" s="26"/>
      <x:c r="L60" s="26"/>
      <x:c r="M60" s="26"/>
      <x:c r="N60" s="26"/>
      <x:c r="O60" s="26"/>
    </x:row>
    <x:row r="61" ht="15.75" customHeight="1">
      <x:c r="A61" s="26"/>
      <x:c r="B61" s="26"/>
      <x:c r="C61" s="26"/>
      <x:c r="D61" s="26"/>
      <x:c r="E61" s="26"/>
      <x:c r="F61" s="26"/>
      <x:c r="G61" s="26"/>
      <x:c r="H61" s="26"/>
      <x:c r="I61" s="26"/>
      <x:c r="J61" s="26"/>
      <x:c r="K61" s="26"/>
      <x:c r="L61" s="26"/>
      <x:c r="M61" s="26"/>
      <x:c r="N61" s="26"/>
      <x:c r="O61" s="26"/>
    </x:row>
    <x:row r="62" ht="15.75" customHeight="1">
      <x:c r="A62" s="26"/>
      <x:c r="B62" s="26"/>
      <x:c r="C62" s="26"/>
      <x:c r="D62" s="26"/>
      <x:c r="E62" s="26"/>
      <x:c r="F62" s="26"/>
      <x:c r="G62" s="26"/>
      <x:c r="H62" s="26"/>
      <x:c r="I62" s="26"/>
      <x:c r="J62" s="26"/>
      <x:c r="K62" s="26"/>
      <x:c r="L62" s="26"/>
      <x:c r="M62" s="26"/>
      <x:c r="N62" s="26"/>
      <x:c r="O62" s="26"/>
    </x:row>
    <x:row r="63" ht="15.75" customHeight="1">
      <x:c r="A63" s="26"/>
      <x:c r="B63" s="26"/>
      <x:c r="C63" s="26"/>
      <x:c r="D63" s="26"/>
      <x:c r="E63" s="26"/>
      <x:c r="F63" s="26"/>
      <x:c r="G63" s="26"/>
      <x:c r="H63" s="26"/>
      <x:c r="I63" s="26"/>
      <x:c r="J63" s="26"/>
      <x:c r="K63" s="26"/>
      <x:c r="L63" s="26"/>
      <x:c r="M63" s="26"/>
      <x:c r="N63" s="26"/>
      <x:c r="O63" s="26"/>
    </x:row>
    <x:row r="64" ht="15.75" customHeight="1">
      <x:c r="A64" s="26"/>
      <x:c r="B64" s="26"/>
      <x:c r="C64" s="26"/>
      <x:c r="D64" s="26"/>
      <x:c r="E64" s="26"/>
      <x:c r="F64" s="26"/>
      <x:c r="G64" s="26"/>
      <x:c r="H64" s="26"/>
      <x:c r="I64" s="26"/>
      <x:c r="J64" s="26"/>
      <x:c r="K64" s="26"/>
      <x:c r="L64" s="26"/>
      <x:c r="M64" s="26"/>
      <x:c r="N64" s="26"/>
      <x:c r="O64" s="26"/>
    </x:row>
    <x:row r="65" ht="15.75" customHeight="1">
      <x:c r="A65" s="26"/>
      <x:c r="B65" s="26"/>
      <x:c r="C65" s="26"/>
      <x:c r="D65" s="26"/>
      <x:c r="E65" s="26"/>
      <x:c r="F65" s="26"/>
      <x:c r="G65" s="26"/>
      <x:c r="H65" s="26"/>
      <x:c r="I65" s="26"/>
      <x:c r="J65" s="26"/>
      <x:c r="K65" s="26"/>
      <x:c r="L65" s="26"/>
      <x:c r="M65" s="26"/>
      <x:c r="N65" s="26"/>
      <x:c r="O65" s="26"/>
    </x:row>
    <x:row r="66" ht="15.75" customHeight="1">
      <x:c r="A66" s="26"/>
      <x:c r="B66" s="26"/>
      <x:c r="C66" s="26"/>
      <x:c r="D66" s="26"/>
      <x:c r="E66" s="26"/>
      <x:c r="F66" s="26"/>
      <x:c r="G66" s="26"/>
      <x:c r="H66" s="26"/>
      <x:c r="I66" s="26"/>
      <x:c r="J66" s="26"/>
      <x:c r="K66" s="26"/>
      <x:c r="L66" s="26"/>
      <x:c r="M66" s="26"/>
      <x:c r="N66" s="26"/>
      <x:c r="O66" s="26"/>
    </x:row>
    <x:row r="67" ht="15.75" customHeight="1">
      <x:c r="A67" s="26"/>
      <x:c r="B67" s="26"/>
      <x:c r="C67" s="26"/>
      <x:c r="D67" s="26"/>
      <x:c r="E67" s="26"/>
      <x:c r="F67" s="26"/>
      <x:c r="G67" s="26"/>
      <x:c r="H67" s="26"/>
      <x:c r="I67" s="26"/>
      <x:c r="J67" s="26"/>
      <x:c r="K67" s="26"/>
      <x:c r="L67" s="26"/>
      <x:c r="M67" s="26"/>
      <x:c r="N67" s="26"/>
      <x:c r="O67" s="26"/>
    </x:row>
    <x:row r="68" ht="15.75" customHeight="1">
      <x:c r="A68" s="26"/>
      <x:c r="B68" s="26"/>
      <x:c r="C68" s="26"/>
      <x:c r="D68" s="26"/>
      <x:c r="E68" s="26"/>
      <x:c r="F68" s="26"/>
      <x:c r="G68" s="26"/>
      <x:c r="H68" s="26"/>
      <x:c r="I68" s="26"/>
      <x:c r="J68" s="26"/>
      <x:c r="K68" s="26"/>
      <x:c r="L68" s="26"/>
      <x:c r="M68" s="26"/>
      <x:c r="N68" s="26"/>
      <x:c r="O68" s="26"/>
    </x:row>
    <x:row r="69" ht="15.75" customHeight="1">
      <x:c r="A69" s="26"/>
      <x:c r="B69" s="26"/>
      <x:c r="C69" s="26"/>
      <x:c r="D69" s="26"/>
      <x:c r="E69" s="26"/>
      <x:c r="F69" s="26"/>
      <x:c r="G69" s="26"/>
      <x:c r="H69" s="26"/>
      <x:c r="I69" s="26"/>
      <x:c r="J69" s="26"/>
      <x:c r="K69" s="26"/>
      <x:c r="L69" s="26"/>
      <x:c r="M69" s="26"/>
      <x:c r="N69" s="26"/>
      <x:c r="O69" s="26"/>
    </x:row>
    <x:row r="70" ht="15.75" customHeight="1">
      <x:c r="A70" s="26"/>
      <x:c r="B70" s="26"/>
      <x:c r="C70" s="26"/>
      <x:c r="D70" s="26"/>
      <x:c r="E70" s="26"/>
      <x:c r="F70" s="26"/>
      <x:c r="G70" s="26"/>
      <x:c r="H70" s="26"/>
      <x:c r="I70" s="26"/>
      <x:c r="J70" s="26"/>
      <x:c r="K70" s="26"/>
      <x:c r="L70" s="26"/>
      <x:c r="M70" s="26"/>
      <x:c r="N70" s="26"/>
      <x:c r="O70" s="26"/>
    </x:row>
    <x:row r="71" ht="15.75" customHeight="1">
      <x:c r="A71" s="26"/>
      <x:c r="B71" s="26"/>
      <x:c r="C71" s="26"/>
      <x:c r="D71" s="26"/>
      <x:c r="E71" s="26"/>
      <x:c r="F71" s="26"/>
      <x:c r="G71" s="26"/>
      <x:c r="H71" s="26"/>
      <x:c r="I71" s="26"/>
      <x:c r="J71" s="26"/>
      <x:c r="K71" s="26"/>
      <x:c r="L71" s="26"/>
      <x:c r="M71" s="26"/>
      <x:c r="N71" s="26"/>
      <x:c r="O71" s="26"/>
    </x:row>
    <x:row r="72" ht="15.75" customHeight="1">
      <x:c r="A72" s="26"/>
      <x:c r="B72" s="26"/>
      <x:c r="C72" s="26"/>
      <x:c r="D72" s="26"/>
      <x:c r="E72" s="26"/>
      <x:c r="F72" s="26"/>
      <x:c r="G72" s="26"/>
      <x:c r="H72" s="26"/>
      <x:c r="I72" s="26"/>
      <x:c r="J72" s="26"/>
      <x:c r="K72" s="26"/>
      <x:c r="L72" s="26"/>
      <x:c r="M72" s="26"/>
      <x:c r="N72" s="26"/>
      <x:c r="O72" s="26"/>
    </x:row>
    <x:row r="73" ht="15.75" customHeight="1">
      <x:c r="A73" s="26"/>
      <x:c r="B73" s="26"/>
      <x:c r="C73" s="26"/>
      <x:c r="D73" s="26"/>
      <x:c r="E73" s="26"/>
      <x:c r="F73" s="26"/>
      <x:c r="G73" s="26"/>
      <x:c r="H73" s="26"/>
      <x:c r="I73" s="26"/>
      <x:c r="J73" s="26"/>
      <x:c r="K73" s="26"/>
      <x:c r="L73" s="26"/>
      <x:c r="M73" s="26"/>
      <x:c r="N73" s="26"/>
      <x:c r="O73" s="26"/>
    </x:row>
    <x:row r="74" ht="15.75" customHeight="1">
      <x:c r="A74" s="26"/>
      <x:c r="B74" s="26"/>
      <x:c r="C74" s="26"/>
      <x:c r="D74" s="26"/>
      <x:c r="E74" s="26"/>
      <x:c r="F74" s="26"/>
      <x:c r="G74" s="26"/>
      <x:c r="H74" s="26"/>
      <x:c r="I74" s="26"/>
      <x:c r="J74" s="26"/>
      <x:c r="K74" s="26"/>
      <x:c r="L74" s="26"/>
      <x:c r="M74" s="26"/>
      <x:c r="N74" s="26"/>
      <x:c r="O74" s="26"/>
    </x:row>
    <x:row r="75" ht="15.75" customHeight="1">
      <x:c r="A75" s="26"/>
      <x:c r="B75" s="26"/>
      <x:c r="C75" s="26"/>
      <x:c r="D75" s="26"/>
      <x:c r="E75" s="26"/>
      <x:c r="F75" s="26"/>
      <x:c r="G75" s="26"/>
      <x:c r="H75" s="26"/>
      <x:c r="I75" s="26"/>
      <x:c r="J75" s="26"/>
      <x:c r="K75" s="26"/>
      <x:c r="L75" s="26"/>
      <x:c r="M75" s="26"/>
      <x:c r="N75" s="26"/>
      <x:c r="O75" s="26"/>
    </x:row>
    <x:row r="76" ht="15.75" customHeight="1">
      <x:c r="A76" s="26"/>
      <x:c r="B76" s="26"/>
      <x:c r="C76" s="26"/>
      <x:c r="D76" s="26"/>
      <x:c r="E76" s="26"/>
      <x:c r="F76" s="26"/>
      <x:c r="G76" s="26"/>
      <x:c r="H76" s="26"/>
      <x:c r="I76" s="26"/>
      <x:c r="J76" s="26"/>
      <x:c r="K76" s="26"/>
      <x:c r="L76" s="26"/>
      <x:c r="M76" s="26"/>
      <x:c r="N76" s="26"/>
      <x:c r="O76" s="26"/>
    </x:row>
    <x:row r="77" ht="15.75" customHeight="1">
      <x:c r="A77" s="26"/>
      <x:c r="B77" s="26"/>
      <x:c r="C77" s="26"/>
      <x:c r="D77" s="26"/>
      <x:c r="E77" s="26"/>
      <x:c r="F77" s="26"/>
      <x:c r="G77" s="26"/>
      <x:c r="H77" s="26"/>
      <x:c r="I77" s="26"/>
      <x:c r="J77" s="26"/>
      <x:c r="K77" s="26"/>
      <x:c r="L77" s="26"/>
      <x:c r="M77" s="26"/>
      <x:c r="N77" s="26"/>
      <x:c r="O77" s="26"/>
    </x:row>
    <x:row r="78" ht="15.75" customHeight="1">
      <x:c r="A78" s="26"/>
      <x:c r="B78" s="26"/>
      <x:c r="C78" s="26"/>
      <x:c r="D78" s="26"/>
      <x:c r="E78" s="26"/>
      <x:c r="F78" s="26"/>
      <x:c r="G78" s="26"/>
      <x:c r="H78" s="26"/>
      <x:c r="I78" s="26"/>
      <x:c r="J78" s="26"/>
      <x:c r="K78" s="26"/>
      <x:c r="L78" s="26"/>
      <x:c r="M78" s="26"/>
      <x:c r="N78" s="26"/>
      <x:c r="O78" s="26"/>
    </x:row>
    <x:row r="79" ht="15.75" customHeight="1">
      <x:c r="A79" s="26"/>
      <x:c r="B79" s="26"/>
      <x:c r="C79" s="26"/>
      <x:c r="D79" s="26"/>
      <x:c r="E79" s="26"/>
      <x:c r="F79" s="26"/>
      <x:c r="G79" s="26"/>
      <x:c r="H79" s="26"/>
      <x:c r="I79" s="26"/>
      <x:c r="J79" s="26"/>
      <x:c r="K79" s="26"/>
      <x:c r="L79" s="26"/>
      <x:c r="M79" s="26"/>
      <x:c r="N79" s="26"/>
      <x:c r="O79" s="26"/>
    </x:row>
    <x:row r="80" ht="15.75" customHeight="1">
      <x:c r="A80" s="26"/>
      <x:c r="B80" s="26"/>
      <x:c r="C80" s="26"/>
      <x:c r="D80" s="26"/>
      <x:c r="E80" s="26"/>
      <x:c r="F80" s="26"/>
      <x:c r="G80" s="26"/>
      <x:c r="H80" s="26"/>
      <x:c r="I80" s="26"/>
      <x:c r="J80" s="26"/>
      <x:c r="K80" s="26"/>
      <x:c r="L80" s="26"/>
      <x:c r="M80" s="26"/>
      <x:c r="N80" s="26"/>
      <x:c r="O80" s="26"/>
    </x:row>
    <x:row r="81" ht="15.75" customHeight="1">
      <x:c r="A81" s="26"/>
      <x:c r="B81" s="26"/>
      <x:c r="C81" s="26"/>
      <x:c r="D81" s="26"/>
      <x:c r="E81" s="26"/>
      <x:c r="F81" s="26"/>
      <x:c r="G81" s="26"/>
      <x:c r="H81" s="26"/>
      <x:c r="I81" s="26"/>
      <x:c r="J81" s="26"/>
      <x:c r="K81" s="26"/>
      <x:c r="L81" s="26"/>
      <x:c r="M81" s="26"/>
      <x:c r="N81" s="26"/>
      <x:c r="O81" s="26"/>
    </x:row>
    <x:row r="82" ht="15.75" customHeight="1">
      <x:c r="A82" s="26"/>
      <x:c r="B82" s="26"/>
      <x:c r="C82" s="26"/>
      <x:c r="D82" s="26"/>
      <x:c r="E82" s="26"/>
      <x:c r="F82" s="26"/>
      <x:c r="G82" s="26"/>
      <x:c r="H82" s="26"/>
      <x:c r="I82" s="26"/>
      <x:c r="J82" s="26"/>
      <x:c r="K82" s="26"/>
      <x:c r="L82" s="26"/>
      <x:c r="M82" s="26"/>
      <x:c r="N82" s="26"/>
      <x:c r="O82" s="26"/>
    </x:row>
    <x:row r="83" ht="15.75" customHeight="1">
      <x:c r="A83" s="26"/>
      <x:c r="B83" s="26"/>
      <x:c r="C83" s="26"/>
      <x:c r="D83" s="26"/>
      <x:c r="E83" s="26"/>
      <x:c r="F83" s="26"/>
      <x:c r="G83" s="26"/>
      <x:c r="H83" s="26"/>
      <x:c r="I83" s="26"/>
      <x:c r="J83" s="26"/>
      <x:c r="K83" s="26"/>
      <x:c r="L83" s="26"/>
      <x:c r="M83" s="26"/>
      <x:c r="N83" s="26"/>
      <x:c r="O83" s="26"/>
    </x:row>
    <x:row r="84" ht="15.75" customHeight="1">
      <x:c r="A84" s="26"/>
      <x:c r="B84" s="26"/>
      <x:c r="C84" s="26"/>
      <x:c r="D84" s="26"/>
      <x:c r="E84" s="26"/>
      <x:c r="F84" s="26"/>
      <x:c r="G84" s="26"/>
      <x:c r="H84" s="26"/>
      <x:c r="I84" s="26"/>
      <x:c r="J84" s="26"/>
      <x:c r="K84" s="26"/>
      <x:c r="L84" s="26"/>
      <x:c r="M84" s="26"/>
      <x:c r="N84" s="26"/>
      <x:c r="O84" s="26"/>
    </x:row>
    <x:row r="85" ht="15.75" customHeight="1">
      <x:c r="A85" s="26"/>
      <x:c r="B85" s="26"/>
      <x:c r="C85" s="26"/>
      <x:c r="D85" s="26"/>
      <x:c r="E85" s="26"/>
      <x:c r="F85" s="26"/>
      <x:c r="G85" s="26"/>
      <x:c r="H85" s="26"/>
      <x:c r="I85" s="26"/>
      <x:c r="J85" s="26"/>
      <x:c r="K85" s="26"/>
      <x:c r="L85" s="26"/>
      <x:c r="M85" s="26"/>
      <x:c r="N85" s="26"/>
      <x:c r="O85" s="26"/>
    </x:row>
    <x:row r="86" ht="15.75" customHeight="1">
      <x:c r="A86" s="26"/>
      <x:c r="B86" s="26"/>
      <x:c r="C86" s="26"/>
      <x:c r="D86" s="26"/>
      <x:c r="E86" s="26"/>
      <x:c r="F86" s="26"/>
      <x:c r="G86" s="26"/>
      <x:c r="H86" s="26"/>
      <x:c r="I86" s="26"/>
      <x:c r="J86" s="26"/>
      <x:c r="K86" s="26"/>
      <x:c r="L86" s="26"/>
      <x:c r="M86" s="26"/>
      <x:c r="N86" s="26"/>
      <x:c r="O86" s="26"/>
    </x:row>
    <x:row r="87" ht="15.75" customHeight="1">
      <x:c r="A87" s="26"/>
      <x:c r="B87" s="26"/>
      <x:c r="C87" s="26"/>
      <x:c r="D87" s="26"/>
      <x:c r="E87" s="26"/>
      <x:c r="F87" s="26"/>
      <x:c r="G87" s="26"/>
      <x:c r="H87" s="26"/>
      <x:c r="I87" s="26"/>
      <x:c r="J87" s="26"/>
      <x:c r="K87" s="26"/>
      <x:c r="L87" s="26"/>
      <x:c r="M87" s="26"/>
      <x:c r="N87" s="26"/>
      <x:c r="O87" s="26"/>
    </x:row>
    <x:row r="88" ht="15.75" customHeight="1">
      <x:c r="A88" s="26"/>
      <x:c r="B88" s="26"/>
      <x:c r="C88" s="26"/>
      <x:c r="D88" s="26"/>
      <x:c r="E88" s="26"/>
      <x:c r="F88" s="26"/>
      <x:c r="G88" s="26"/>
      <x:c r="H88" s="26"/>
      <x:c r="I88" s="26"/>
      <x:c r="J88" s="26"/>
      <x:c r="K88" s="26"/>
      <x:c r="L88" s="26"/>
      <x:c r="M88" s="26"/>
      <x:c r="N88" s="26"/>
      <x:c r="O88" s="26"/>
    </x:row>
    <x:row r="89" ht="15.75" customHeight="1">
      <x:c r="A89" s="26"/>
      <x:c r="B89" s="26"/>
      <x:c r="C89" s="26"/>
      <x:c r="D89" s="26"/>
      <x:c r="E89" s="26"/>
      <x:c r="F89" s="26"/>
      <x:c r="G89" s="26"/>
      <x:c r="H89" s="26"/>
      <x:c r="I89" s="26"/>
      <x:c r="J89" s="26"/>
      <x:c r="K89" s="26"/>
      <x:c r="L89" s="26"/>
      <x:c r="M89" s="26"/>
      <x:c r="N89" s="26"/>
      <x:c r="O89" s="26"/>
    </x:row>
    <x:row r="90" ht="15.75" customHeight="1">
      <x:c r="A90" s="26"/>
      <x:c r="B90" s="26"/>
      <x:c r="C90" s="26"/>
      <x:c r="D90" s="26"/>
      <x:c r="E90" s="26"/>
      <x:c r="F90" s="26"/>
      <x:c r="G90" s="26"/>
      <x:c r="H90" s="26"/>
      <x:c r="I90" s="26"/>
      <x:c r="J90" s="26"/>
      <x:c r="K90" s="26"/>
      <x:c r="L90" s="26"/>
      <x:c r="M90" s="26"/>
      <x:c r="N90" s="26"/>
      <x:c r="O90" s="26"/>
    </x:row>
    <x:row r="91" ht="15.75" customHeight="1">
      <x:c r="A91" s="26"/>
      <x:c r="B91" s="26"/>
      <x:c r="C91" s="26"/>
      <x:c r="D91" s="26"/>
      <x:c r="E91" s="26"/>
      <x:c r="F91" s="26"/>
      <x:c r="G91" s="26"/>
      <x:c r="H91" s="26"/>
      <x:c r="I91" s="26"/>
      <x:c r="J91" s="26"/>
      <x:c r="K91" s="26"/>
      <x:c r="L91" s="26"/>
      <x:c r="M91" s="26"/>
      <x:c r="N91" s="26"/>
      <x:c r="O91" s="26"/>
    </x:row>
    <x:row r="92" ht="15.75" customHeight="1">
      <x:c r="A92" s="26"/>
      <x:c r="B92" s="26"/>
      <x:c r="C92" s="26"/>
      <x:c r="D92" s="26"/>
      <x:c r="E92" s="26"/>
      <x:c r="F92" s="26"/>
      <x:c r="G92" s="26"/>
      <x:c r="H92" s="26"/>
      <x:c r="I92" s="26"/>
      <x:c r="J92" s="26"/>
      <x:c r="K92" s="26"/>
      <x:c r="L92" s="26"/>
      <x:c r="M92" s="26"/>
      <x:c r="N92" s="26"/>
      <x:c r="O92" s="26"/>
    </x:row>
    <x:row r="93" ht="15.75" customHeight="1">
      <x:c r="A93" s="26"/>
      <x:c r="B93" s="26"/>
      <x:c r="C93" s="26"/>
      <x:c r="D93" s="26"/>
      <x:c r="E93" s="26"/>
      <x:c r="F93" s="26"/>
      <x:c r="G93" s="26"/>
      <x:c r="H93" s="26"/>
      <x:c r="I93" s="26"/>
      <x:c r="J93" s="26"/>
      <x:c r="K93" s="26"/>
      <x:c r="L93" s="26"/>
      <x:c r="M93" s="26"/>
      <x:c r="N93" s="26"/>
      <x:c r="O93" s="26"/>
    </x:row>
    <x:row r="94" ht="15.75" customHeight="1">
      <x:c r="A94" s="26"/>
      <x:c r="B94" s="26"/>
      <x:c r="C94" s="26"/>
      <x:c r="D94" s="26"/>
      <x:c r="E94" s="26"/>
      <x:c r="F94" s="26"/>
      <x:c r="G94" s="26"/>
      <x:c r="H94" s="26"/>
      <x:c r="I94" s="26"/>
      <x:c r="J94" s="26"/>
      <x:c r="K94" s="26"/>
      <x:c r="L94" s="26"/>
      <x:c r="M94" s="26"/>
      <x:c r="N94" s="26"/>
      <x:c r="O94" s="26"/>
    </x:row>
    <x:row r="95" ht="15.75" customHeight="1">
      <x:c r="A95" s="26"/>
      <x:c r="B95" s="26"/>
      <x:c r="C95" s="26"/>
      <x:c r="D95" s="26"/>
      <x:c r="E95" s="26"/>
      <x:c r="F95" s="26"/>
      <x:c r="G95" s="26"/>
      <x:c r="H95" s="26"/>
      <x:c r="I95" s="26"/>
      <x:c r="J95" s="26"/>
      <x:c r="K95" s="26"/>
      <x:c r="L95" s="26"/>
      <x:c r="M95" s="26"/>
      <x:c r="N95" s="26"/>
      <x:c r="O95" s="26"/>
    </x:row>
    <x:row r="96" ht="15.75" customHeight="1">
      <x:c r="A96" s="26"/>
      <x:c r="B96" s="26"/>
      <x:c r="C96" s="26"/>
      <x:c r="D96" s="26"/>
      <x:c r="E96" s="26"/>
      <x:c r="F96" s="26"/>
      <x:c r="G96" s="26"/>
      <x:c r="H96" s="26"/>
      <x:c r="I96" s="26"/>
      <x:c r="J96" s="26"/>
      <x:c r="K96" s="26"/>
      <x:c r="L96" s="26"/>
      <x:c r="M96" s="26"/>
      <x:c r="N96" s="26"/>
      <x:c r="O96" s="26"/>
    </x:row>
    <x:row r="97" ht="15.75" customHeight="1">
      <x:c r="A97" s="26"/>
      <x:c r="B97" s="26"/>
      <x:c r="C97" s="26"/>
      <x:c r="D97" s="26"/>
      <x:c r="E97" s="26"/>
      <x:c r="F97" s="26"/>
      <x:c r="G97" s="26"/>
      <x:c r="H97" s="26"/>
      <x:c r="I97" s="26"/>
      <x:c r="J97" s="26"/>
      <x:c r="K97" s="26"/>
      <x:c r="L97" s="26"/>
      <x:c r="M97" s="26"/>
      <x:c r="N97" s="26"/>
      <x:c r="O97" s="26"/>
    </x:row>
    <x:row r="98" ht="15.75" customHeight="1">
      <x:c r="A98" s="26"/>
      <x:c r="B98" s="26"/>
      <x:c r="C98" s="26"/>
      <x:c r="D98" s="26"/>
      <x:c r="E98" s="26"/>
      <x:c r="F98" s="26"/>
      <x:c r="G98" s="26"/>
      <x:c r="H98" s="26"/>
      <x:c r="I98" s="26"/>
      <x:c r="J98" s="26"/>
      <x:c r="K98" s="26"/>
      <x:c r="L98" s="26"/>
      <x:c r="M98" s="26"/>
      <x:c r="N98" s="26"/>
      <x:c r="O98" s="26"/>
    </x:row>
    <x:row r="99" ht="15.75" customHeight="1">
      <x:c r="A99" s="26"/>
      <x:c r="B99" s="26"/>
      <x:c r="C99" s="26"/>
      <x:c r="D99" s="26"/>
      <x:c r="E99" s="26"/>
      <x:c r="F99" s="26"/>
      <x:c r="G99" s="26"/>
      <x:c r="H99" s="26"/>
      <x:c r="I99" s="26"/>
      <x:c r="J99" s="26"/>
      <x:c r="K99" s="26"/>
      <x:c r="L99" s="26"/>
      <x:c r="M99" s="26"/>
      <x:c r="N99" s="26"/>
      <x:c r="O99" s="26"/>
    </x:row>
    <x:row r="100" ht="15.75" customHeight="1">
      <x:c r="A100" s="26"/>
      <x:c r="B100" s="26"/>
      <x:c r="C100" s="26"/>
      <x:c r="D100" s="26"/>
      <x:c r="E100" s="26"/>
      <x:c r="F100" s="26"/>
      <x:c r="G100" s="26"/>
      <x:c r="H100" s="26"/>
      <x:c r="I100" s="26"/>
      <x:c r="J100" s="26"/>
      <x:c r="K100" s="26"/>
      <x:c r="L100" s="26"/>
      <x:c r="M100" s="26"/>
      <x:c r="N100" s="26"/>
      <x:c r="O100" s="26"/>
    </x:row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D2:G24">
    <x:cfRule type="cellIs" dxfId="4" priority="1" stopIfTrue="1" operator="greaterThan">
      <x:formula>0</x:formula>
    </x:cfRule>
  </x:conditionalFormatting>
  <x:conditionalFormatting sqref="D2:G24">
    <x:cfRule type="cellIs" dxfId="5" priority="2" stopIfTrue="1" operator="lessThan">
      <x:formula>0</x:formula>
    </x:cfRule>
  </x:conditionalFormatting>
  <x:pageMargins left="0.7" right="0.7" top="0.75" bottom="0.75" header="0.3" footer="0.3"/>
  <x:drawing xmlns:r="http://schemas.openxmlformats.org/officeDocument/2006/relationships" r:id="R6109bebf4da144d9"/>
</x:worksheet>
</file>

<file path=xl/worksheets/sheet4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ColWidth="12.630000114440918" defaultRowHeight="15"/>
  <x:cols>
    <x:col min="1" max="7" width="9.880000114440918" customWidth="1"/>
    <x:col min="8" max="8" width="2.380000114440918" customWidth="1"/>
    <x:col min="9" max="15" width="9.880000114440918" customWidth="1"/>
    <x:col min="16" max="16" width="2.380000114440918" customWidth="1"/>
    <x:col min="17" max="23" width="9.880000114440918" customWidth="1"/>
  </x:cols>
  <x:sheetData>
    <x:row r="1" ht="28.5" customHeight="1">
      <x:c r="A1" s="1" t="s">
        <x:v>42</x:v>
      </x:c>
    </x:row>
    <x:row r="2" ht="41.25" customHeight="1">
      <x:c r="A2" s="2" t="s">
        <x:v>43</x:v>
      </x:c>
      <x:c r="B2" s="3"/>
      <x:c r="C2" s="3"/>
      <x:c r="D2" s="3"/>
      <x:c r="E2" s="3"/>
      <x:c r="F2" s="3"/>
      <x:c r="G2" s="4"/>
      <x:c r="H2" s="5"/>
      <x:c r="I2" s="6" t="s">
        <x:v>44</x:v>
      </x:c>
      <x:c r="J2" s="7"/>
      <x:c r="K2" s="7"/>
      <x:c r="L2" s="7"/>
      <x:c r="M2" s="8" t="str">
        <x:f>IF(COUNT('Datos diarios'!D2:D366)&gt;=2,TRUNC(STDEV('Datos diarios'!D2:D366)*SQRT(252),2),"—")</x:f>
        <x:v>—</x:v>
      </x:c>
      <x:c r="N2" s="7"/>
      <x:c r="O2" s="7"/>
      <x:c r="P2" s="9"/>
      <x:c r="Q2" s="6" t="s">
        <x:v>45</x:v>
      </x:c>
      <x:c r="R2" s="7"/>
      <x:c r="S2" s="7"/>
      <x:c r="T2" s="7"/>
      <x:c r="U2" s="10" t="str">
        <x:f>IF(COUNT('Datos diarios'!D2:D366)&gt;=2,"Diario (√252)","Mensual histórico")</x:f>
        <x:v>Mensual histórico</x:v>
      </x:c>
      <x:c r="V2" s="7"/>
      <x:c r="W2" s="7"/>
    </x:row>
    <x:row r="3" ht="21" customHeight="1">
      <x:c r="A3" s="11"/>
      <x:c r="G3" s="12"/>
      <x:c r="H3" s="5"/>
      <x:c r="I3" s="6" t="s">
        <x:v>46</x:v>
      </x:c>
      <x:c r="J3" s="7"/>
      <x:c r="K3" s="7"/>
      <x:c r="L3" s="7"/>
      <x:c r="M3" s="13" t="n">
        <x:f>COUNT('Datos diarios'!D2:D366)</x:f>
        <x:v>0</x:v>
      </x:c>
      <x:c r="N3" s="7"/>
      <x:c r="O3" s="7"/>
      <x:c r="P3" s="9"/>
      <x:c r="Q3" s="6" t="s">
        <x:v>47</x:v>
      </x:c>
      <x:c r="R3" s="7"/>
      <x:c r="S3" s="7"/>
      <x:c r="T3" s="7"/>
      <x:c r="U3" s="14" t="e">
        <x:f>IFERROR(__xludf.DUMMYFUNCTION("IFERROR(MAX(FILTER('Datos diarios'!A2:A366,'Datos diarios'!B2:B366&lt;&gt;"""")),""—"")"),46248.0)</x:f>
        <x:v>#NAME?</x:v>
      </x:c>
      <x:c r="V3" s="7"/>
      <x:c r="W3" s="7"/>
    </x:row>
    <x:row r="4" ht="21" customHeight="1">
      <x:c r="A4" s="15"/>
      <x:c r="B4" s="7"/>
      <x:c r="C4" s="7"/>
      <x:c r="D4" s="7"/>
      <x:c r="E4" s="7"/>
      <x:c r="F4" s="7"/>
      <x:c r="G4" s="16"/>
      <x:c r="H4" s="5"/>
      <x:c r="I4" s="17" t="s">
        <x:v>48</x:v>
      </x:c>
    </x:row>
    <x:row r="5" ht="7.5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</x:row>
    <x:row r="6" ht="16.5" customHeight="1">
      <x:c r="A6" s="18" t="s">
        <x:v>49</x:v>
      </x:c>
      <x:c r="H6" s="5"/>
      <x:c r="I6" s="18" t="s">
        <x:v>50</x:v>
      </x:c>
      <x:c r="P6" s="5"/>
      <x:c r="Q6" s="18" t="s">
        <x:v>51</x:v>
      </x:c>
    </x:row>
    <x:row r="7" ht="16.5" customHeight="1">
      <x:c r="A7" s="19" t="s">
        <x:v>52</x:v>
      </x:c>
      <x:c r="B7" s="19" t="s">
        <x:v>53</x:v>
      </x:c>
      <x:c r="C7" s="19" t="s">
        <x:v>54</x:v>
      </x:c>
      <x:c r="D7" s="19" t="s">
        <x:v>55</x:v>
      </x:c>
      <x:c r="E7" s="19" t="s">
        <x:v>56</x:v>
      </x:c>
      <x:c r="F7" s="20" t="s">
        <x:v>57</x:v>
      </x:c>
      <x:c r="G7" s="20" t="s">
        <x:v>58</x:v>
      </x:c>
      <x:c r="H7" s="5"/>
      <x:c r="I7" s="19" t="s">
        <x:v>52</x:v>
      </x:c>
      <x:c r="J7" s="19" t="s">
        <x:v>53</x:v>
      </x:c>
      <x:c r="K7" s="19" t="s">
        <x:v>54</x:v>
      </x:c>
      <x:c r="L7" s="19" t="s">
        <x:v>55</x:v>
      </x:c>
      <x:c r="M7" s="19" t="s">
        <x:v>56</x:v>
      </x:c>
      <x:c r="N7" s="20" t="s">
        <x:v>57</x:v>
      </x:c>
      <x:c r="O7" s="20" t="s">
        <x:v>58</x:v>
      </x:c>
      <x:c r="P7" s="5"/>
      <x:c r="Q7" s="19" t="s">
        <x:v>52</x:v>
      </x:c>
      <x:c r="R7" s="19" t="s">
        <x:v>53</x:v>
      </x:c>
      <x:c r="S7" s="19" t="s">
        <x:v>54</x:v>
      </x:c>
      <x:c r="T7" s="19" t="s">
        <x:v>55</x:v>
      </x:c>
      <x:c r="U7" s="19" t="s">
        <x:v>56</x:v>
      </x:c>
      <x:c r="V7" s="20" t="s">
        <x:v>57</x:v>
      </x:c>
      <x:c r="W7" s="20" t="s">
        <x:v>58</x:v>
      </x:c>
    </x:row>
    <x:row r="8" ht="16.5" customHeight="1">
      <x:c r="A8" s="5"/>
      <x:c r="B8" s="5"/>
      <x:c r="C8" s="5"/>
      <x:c r="D8" s="21">
        <x:v>1.0</x:v>
      </x:c>
      <x:c r="E8" s="21">
        <x:v>2.0</x:v>
      </x:c>
      <x:c r="F8" s="22">
        <x:v>3.0</x:v>
      </x:c>
      <x:c r="G8" s="22">
        <x:v>4.0</x:v>
      </x:c>
      <x:c r="H8" s="5"/>
      <x:c r="I8" s="5"/>
      <x:c r="J8" s="5"/>
      <x:c r="K8" s="5"/>
      <x:c r="L8" s="5"/>
      <x:c r="M8" s="5"/>
      <x:c r="N8" s="5"/>
      <x:c r="O8" s="22">
        <x:v>1.0</x:v>
      </x:c>
      <x:c r="P8" s="5"/>
      <x:c r="Q8" s="5"/>
      <x:c r="R8" s="5"/>
      <x:c r="S8" s="5"/>
      <x:c r="T8" s="5"/>
      <x:c r="U8" s="5"/>
      <x:c r="V8" s="5"/>
      <x:c r="W8" s="22">
        <x:v>1.0</x:v>
      </x:c>
    </x:row>
    <x:row r="9" ht="16.5" customHeight="1">
      <x:c r="A9" s="5"/>
      <x:c r="B9" s="5"/>
      <x:c r="C9" s="5"/>
      <x:c r="D9" s="23"/>
      <x:c r="E9" s="23"/>
      <x:c r="F9" s="24"/>
      <x:c r="G9" s="24"/>
      <x:c r="H9" s="5"/>
      <x:c r="I9" s="5"/>
      <x:c r="J9" s="5"/>
      <x:c r="K9" s="5"/>
      <x:c r="L9" s="5"/>
      <x:c r="M9" s="5"/>
      <x:c r="N9" s="5"/>
      <x:c r="O9" s="24"/>
      <x:c r="P9" s="5"/>
      <x:c r="Q9" s="5"/>
      <x:c r="R9" s="5"/>
      <x:c r="S9" s="5"/>
      <x:c r="T9" s="5"/>
      <x:c r="U9" s="5"/>
      <x:c r="V9" s="5"/>
      <x:c r="W9" s="24"/>
    </x:row>
    <x:row r="10" ht="16.5" customHeight="1">
      <x:c r="A10" s="21">
        <x:v>5.0</x:v>
      </x:c>
      <x:c r="B10" s="21">
        <x:v>6.0</x:v>
      </x:c>
      <x:c r="C10" s="21">
        <x:v>7.0</x:v>
      </x:c>
      <x:c r="D10" s="21">
        <x:v>8.0</x:v>
      </x:c>
      <x:c r="E10" s="21">
        <x:v>9.0</x:v>
      </x:c>
      <x:c r="F10" s="22">
        <x:v>10.0</x:v>
      </x:c>
      <x:c r="G10" s="22">
        <x:v>11.0</x:v>
      </x:c>
      <x:c r="H10" s="5"/>
      <x:c r="I10" s="21">
        <x:v>2.0</x:v>
      </x:c>
      <x:c r="J10" s="21">
        <x:v>3.0</x:v>
      </x:c>
      <x:c r="K10" s="21">
        <x:v>4.0</x:v>
      </x:c>
      <x:c r="L10" s="21">
        <x:v>5.0</x:v>
      </x:c>
      <x:c r="M10" s="21">
        <x:v>6.0</x:v>
      </x:c>
      <x:c r="N10" s="22">
        <x:v>7.0</x:v>
      </x:c>
      <x:c r="O10" s="22">
        <x:v>8.0</x:v>
      </x:c>
      <x:c r="P10" s="5"/>
      <x:c r="Q10" s="21">
        <x:v>2.0</x:v>
      </x:c>
      <x:c r="R10" s="21">
        <x:v>3.0</x:v>
      </x:c>
      <x:c r="S10" s="21">
        <x:v>4.0</x:v>
      </x:c>
      <x:c r="T10" s="21">
        <x:v>5.0</x:v>
      </x:c>
      <x:c r="U10" s="21">
        <x:v>6.0</x:v>
      </x:c>
      <x:c r="V10" s="22">
        <x:v>7.0</x:v>
      </x:c>
      <x:c r="W10" s="22">
        <x:v>8.0</x:v>
      </x:c>
    </x:row>
    <x:row r="11" ht="16.5" customHeight="1">
      <x:c r="A11" s="23"/>
      <x:c r="B11" s="23"/>
      <x:c r="C11" s="23"/>
      <x:c r="D11" s="23"/>
      <x:c r="E11" s="23"/>
      <x:c r="F11" s="24"/>
      <x:c r="G11" s="24"/>
      <x:c r="H11" s="5"/>
      <x:c r="I11" s="23"/>
      <x:c r="J11" s="23"/>
      <x:c r="K11" s="23"/>
      <x:c r="L11" s="23"/>
      <x:c r="M11" s="23"/>
      <x:c r="N11" s="24"/>
      <x:c r="O11" s="24"/>
      <x:c r="P11" s="5"/>
      <x:c r="Q11" s="23"/>
      <x:c r="R11" s="23"/>
      <x:c r="S11" s="23"/>
      <x:c r="T11" s="23"/>
      <x:c r="U11" s="23"/>
      <x:c r="V11" s="24"/>
      <x:c r="W11" s="24"/>
    </x:row>
    <x:row r="12" ht="16.5" customHeight="1">
      <x:c r="A12" s="21">
        <x:v>12.0</x:v>
      </x:c>
      <x:c r="B12" s="21">
        <x:v>13.0</x:v>
      </x:c>
      <x:c r="C12" s="21">
        <x:v>14.0</x:v>
      </x:c>
      <x:c r="D12" s="21">
        <x:v>15.0</x:v>
      </x:c>
      <x:c r="E12" s="21">
        <x:v>16.0</x:v>
      </x:c>
      <x:c r="F12" s="22">
        <x:v>17.0</x:v>
      </x:c>
      <x:c r="G12" s="22">
        <x:v>18.0</x:v>
      </x:c>
      <x:c r="H12" s="5"/>
      <x:c r="I12" s="21">
        <x:v>9.0</x:v>
      </x:c>
      <x:c r="J12" s="21">
        <x:v>10.0</x:v>
      </x:c>
      <x:c r="K12" s="21">
        <x:v>11.0</x:v>
      </x:c>
      <x:c r="L12" s="21">
        <x:v>12.0</x:v>
      </x:c>
      <x:c r="M12" s="21">
        <x:v>13.0</x:v>
      </x:c>
      <x:c r="N12" s="22">
        <x:v>14.0</x:v>
      </x:c>
      <x:c r="O12" s="22">
        <x:v>15.0</x:v>
      </x:c>
      <x:c r="P12" s="5"/>
      <x:c r="Q12" s="21">
        <x:v>9.0</x:v>
      </x:c>
      <x:c r="R12" s="21">
        <x:v>10.0</x:v>
      </x:c>
      <x:c r="S12" s="21">
        <x:v>11.0</x:v>
      </x:c>
      <x:c r="T12" s="21">
        <x:v>12.0</x:v>
      </x:c>
      <x:c r="U12" s="21">
        <x:v>13.0</x:v>
      </x:c>
      <x:c r="V12" s="22">
        <x:v>14.0</x:v>
      </x:c>
      <x:c r="W12" s="22">
        <x:v>15.0</x:v>
      </x:c>
    </x:row>
    <x:row r="13" ht="16.5" customHeight="1">
      <x:c r="A13" s="23"/>
      <x:c r="B13" s="23"/>
      <x:c r="C13" s="23"/>
      <x:c r="D13" s="23"/>
      <x:c r="E13" s="23"/>
      <x:c r="F13" s="24"/>
      <x:c r="G13" s="24"/>
      <x:c r="H13" s="5"/>
      <x:c r="I13" s="23"/>
      <x:c r="J13" s="23"/>
      <x:c r="K13" s="23"/>
      <x:c r="L13" s="23"/>
      <x:c r="M13" s="23"/>
      <x:c r="N13" s="24"/>
      <x:c r="O13" s="24"/>
      <x:c r="P13" s="5"/>
      <x:c r="Q13" s="23"/>
      <x:c r="R13" s="23"/>
      <x:c r="S13" s="23"/>
      <x:c r="T13" s="23"/>
      <x:c r="U13" s="23"/>
      <x:c r="V13" s="24"/>
      <x:c r="W13" s="24"/>
    </x:row>
    <x:row r="14" ht="16.5" customHeight="1">
      <x:c r="A14" s="21">
        <x:v>19.0</x:v>
      </x:c>
      <x:c r="B14" s="21">
        <x:v>20.0</x:v>
      </x:c>
      <x:c r="C14" s="21">
        <x:v>21.0</x:v>
      </x:c>
      <x:c r="D14" s="21">
        <x:v>22.0</x:v>
      </x:c>
      <x:c r="E14" s="21">
        <x:v>23.0</x:v>
      </x:c>
      <x:c r="F14" s="22">
        <x:v>24.0</x:v>
      </x:c>
      <x:c r="G14" s="22">
        <x:v>25.0</x:v>
      </x:c>
      <x:c r="H14" s="5"/>
      <x:c r="I14" s="21">
        <x:v>16.0</x:v>
      </x:c>
      <x:c r="J14" s="21">
        <x:v>17.0</x:v>
      </x:c>
      <x:c r="K14" s="21">
        <x:v>18.0</x:v>
      </x:c>
      <x:c r="L14" s="21">
        <x:v>19.0</x:v>
      </x:c>
      <x:c r="M14" s="21">
        <x:v>20.0</x:v>
      </x:c>
      <x:c r="N14" s="22">
        <x:v>21.0</x:v>
      </x:c>
      <x:c r="O14" s="22">
        <x:v>22.0</x:v>
      </x:c>
      <x:c r="P14" s="5"/>
      <x:c r="Q14" s="21">
        <x:v>16.0</x:v>
      </x:c>
      <x:c r="R14" s="21">
        <x:v>17.0</x:v>
      </x:c>
      <x:c r="S14" s="21">
        <x:v>18.0</x:v>
      </x:c>
      <x:c r="T14" s="21">
        <x:v>19.0</x:v>
      </x:c>
      <x:c r="U14" s="21">
        <x:v>20.0</x:v>
      </x:c>
      <x:c r="V14" s="22">
        <x:v>21.0</x:v>
      </x:c>
      <x:c r="W14" s="22">
        <x:v>22.0</x:v>
      </x:c>
    </x:row>
    <x:row r="15" ht="16.5" customHeight="1">
      <x:c r="A15" s="23"/>
      <x:c r="B15" s="23"/>
      <x:c r="C15" s="23"/>
      <x:c r="D15" s="23"/>
      <x:c r="E15" s="23"/>
      <x:c r="F15" s="24"/>
      <x:c r="G15" s="24"/>
      <x:c r="H15" s="5"/>
      <x:c r="I15" s="23"/>
      <x:c r="J15" s="23"/>
      <x:c r="K15" s="23"/>
      <x:c r="L15" s="23"/>
      <x:c r="M15" s="23"/>
      <x:c r="N15" s="24"/>
      <x:c r="O15" s="24"/>
      <x:c r="P15" s="5"/>
      <x:c r="Q15" s="23"/>
      <x:c r="R15" s="23"/>
      <x:c r="S15" s="23"/>
      <x:c r="T15" s="23"/>
      <x:c r="U15" s="23"/>
      <x:c r="V15" s="24"/>
      <x:c r="W15" s="24"/>
    </x:row>
    <x:row r="16" ht="16.5" customHeight="1">
      <x:c r="A16" s="21">
        <x:v>26.0</x:v>
      </x:c>
      <x:c r="B16" s="21">
        <x:v>27.0</x:v>
      </x:c>
      <x:c r="C16" s="21">
        <x:v>28.0</x:v>
      </x:c>
      <x:c r="D16" s="21">
        <x:v>29.0</x:v>
      </x:c>
      <x:c r="E16" s="21">
        <x:v>30.0</x:v>
      </x:c>
      <x:c r="F16" s="22">
        <x:v>31.0</x:v>
      </x:c>
      <x:c r="G16" s="5"/>
      <x:c r="H16" s="5"/>
      <x:c r="I16" s="21">
        <x:v>23.0</x:v>
      </x:c>
      <x:c r="J16" s="21">
        <x:v>24.0</x:v>
      </x:c>
      <x:c r="K16" s="21">
        <x:v>25.0</x:v>
      </x:c>
      <x:c r="L16" s="21">
        <x:v>26.0</x:v>
      </x:c>
      <x:c r="M16" s="21">
        <x:v>27.0</x:v>
      </x:c>
      <x:c r="N16" s="22">
        <x:v>28.0</x:v>
      </x:c>
      <x:c r="O16" s="5"/>
      <x:c r="P16" s="5"/>
      <x:c r="Q16" s="21">
        <x:v>23.0</x:v>
      </x:c>
      <x:c r="R16" s="21">
        <x:v>24.0</x:v>
      </x:c>
      <x:c r="S16" s="21">
        <x:v>25.0</x:v>
      </x:c>
      <x:c r="T16" s="21">
        <x:v>26.0</x:v>
      </x:c>
      <x:c r="U16" s="21">
        <x:v>27.0</x:v>
      </x:c>
      <x:c r="V16" s="22">
        <x:v>28.0</x:v>
      </x:c>
      <x:c r="W16" s="22">
        <x:v>29.0</x:v>
      </x:c>
    </x:row>
    <x:row r="17" ht="16.5" customHeight="1">
      <x:c r="A17" s="23"/>
      <x:c r="B17" s="23"/>
      <x:c r="C17" s="23"/>
      <x:c r="D17" s="23"/>
      <x:c r="E17" s="34" t="n">
        <x:f>Evolucion!B19</x:f>
        <x:v>29604.76</x:v>
      </x:c>
      <x:c r="F17" s="24"/>
      <x:c r="G17" s="5"/>
      <x:c r="H17" s="5"/>
      <x:c r="I17" s="23"/>
      <x:c r="J17" s="23"/>
      <x:c r="K17" s="23"/>
      <x:c r="L17" s="23"/>
      <x:c r="M17" s="34" t="n">
        <x:f>Evolucion!B20</x:f>
        <x:v>30196.86</x:v>
      </x:c>
      <x:c r="N17" s="24"/>
      <x:c r="O17" s="5"/>
      <x:c r="P17" s="5"/>
      <x:c r="Q17" s="23"/>
      <x:c r="R17" s="23"/>
      <x:c r="S17" s="23"/>
      <x:c r="T17" s="23"/>
      <x:c r="U17" s="23"/>
      <x:c r="V17" s="24"/>
      <x:c r="W17" s="24"/>
    </x:row>
    <x:row r="18" ht="16.5" customHeight="1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21">
        <x:v>30.0</x:v>
      </x:c>
      <x:c r="R18" s="21">
        <x:v>31.0</x:v>
      </x:c>
      <x:c r="S18" s="5"/>
      <x:c r="T18" s="5"/>
      <x:c r="U18" s="5"/>
      <x:c r="V18" s="5"/>
      <x:c r="W18" s="5"/>
    </x:row>
    <x:row r="19" ht="16.5" customHeight="1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23"/>
      <x:c r="R19" s="34" t="n">
        <x:f>Evolucion!B21</x:f>
        <x:v>30015.68</x:v>
      </x:c>
      <x:c r="S19" s="5"/>
      <x:c r="T19" s="5"/>
      <x:c r="U19" s="5"/>
      <x:c r="V19" s="5"/>
      <x:c r="W19" s="5"/>
    </x:row>
    <x:row r="20" ht="16.5" customHeight="1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</x:row>
    <x:row r="21" ht="16.5" customHeight="1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</x:row>
    <x:row r="22" ht="16.5" customHeight="1">
      <x:c r="A22" s="18" t="s">
        <x:v>59</x:v>
      </x:c>
      <x:c r="H22" s="5"/>
      <x:c r="I22" s="18" t="s">
        <x:v>60</x:v>
      </x:c>
      <x:c r="P22" s="5"/>
      <x:c r="Q22" s="18" t="s">
        <x:v>61</x:v>
      </x:c>
    </x:row>
    <x:row r="23" ht="16.5" customHeight="1">
      <x:c r="A23" s="19" t="s">
        <x:v>52</x:v>
      </x:c>
      <x:c r="B23" s="19" t="s">
        <x:v>53</x:v>
      </x:c>
      <x:c r="C23" s="19" t="s">
        <x:v>54</x:v>
      </x:c>
      <x:c r="D23" s="19" t="s">
        <x:v>55</x:v>
      </x:c>
      <x:c r="E23" s="19" t="s">
        <x:v>56</x:v>
      </x:c>
      <x:c r="F23" s="20" t="s">
        <x:v>57</x:v>
      </x:c>
      <x:c r="G23" s="20" t="s">
        <x:v>58</x:v>
      </x:c>
      <x:c r="H23" s="5"/>
      <x:c r="I23" s="19" t="s">
        <x:v>52</x:v>
      </x:c>
      <x:c r="J23" s="19" t="s">
        <x:v>53</x:v>
      </x:c>
      <x:c r="K23" s="19" t="s">
        <x:v>54</x:v>
      </x:c>
      <x:c r="L23" s="19" t="s">
        <x:v>55</x:v>
      </x:c>
      <x:c r="M23" s="19" t="s">
        <x:v>56</x:v>
      </x:c>
      <x:c r="N23" s="20" t="s">
        <x:v>57</x:v>
      </x:c>
      <x:c r="O23" s="20" t="s">
        <x:v>58</x:v>
      </x:c>
      <x:c r="P23" s="5"/>
      <x:c r="Q23" s="19" t="s">
        <x:v>52</x:v>
      </x:c>
      <x:c r="R23" s="19" t="s">
        <x:v>53</x:v>
      </x:c>
      <x:c r="S23" s="19" t="s">
        <x:v>54</x:v>
      </x:c>
      <x:c r="T23" s="19" t="s">
        <x:v>55</x:v>
      </x:c>
      <x:c r="U23" s="19" t="s">
        <x:v>56</x:v>
      </x:c>
      <x:c r="V23" s="20" t="s">
        <x:v>57</x:v>
      </x:c>
      <x:c r="W23" s="20" t="s">
        <x:v>58</x:v>
      </x:c>
    </x:row>
    <x:row r="24" ht="16.5" customHeight="1">
      <x:c r="A24" s="5"/>
      <x:c r="B24" s="5"/>
      <x:c r="C24" s="21">
        <x:v>1.0</x:v>
      </x:c>
      <x:c r="D24" s="21">
        <x:v>2.0</x:v>
      </x:c>
      <x:c r="E24" s="21">
        <x:v>3.0</x:v>
      </x:c>
      <x:c r="F24" s="22">
        <x:v>4.0</x:v>
      </x:c>
      <x:c r="G24" s="22">
        <x:v>5.0</x:v>
      </x:c>
      <x:c r="H24" s="5"/>
      <x:c r="I24" s="5"/>
      <x:c r="J24" s="5"/>
      <x:c r="K24" s="5"/>
      <x:c r="L24" s="5"/>
      <x:c r="M24" s="21">
        <x:v>1.0</x:v>
      </x:c>
      <x:c r="N24" s="22">
        <x:v>2.0</x:v>
      </x:c>
      <x:c r="O24" s="22">
        <x:v>3.0</x:v>
      </x:c>
      <x:c r="P24" s="5"/>
      <x:c r="Q24" s="21">
        <x:v>1.0</x:v>
      </x:c>
      <x:c r="R24" s="21">
        <x:v>2.0</x:v>
      </x:c>
      <x:c r="S24" s="21">
        <x:v>3.0</x:v>
      </x:c>
      <x:c r="T24" s="21">
        <x:v>4.0</x:v>
      </x:c>
      <x:c r="U24" s="21">
        <x:v>5.0</x:v>
      </x:c>
      <x:c r="V24" s="22">
        <x:v>6.0</x:v>
      </x:c>
      <x:c r="W24" s="22">
        <x:v>7.0</x:v>
      </x:c>
    </x:row>
    <x:row r="25" ht="16.5" customHeight="1">
      <x:c r="A25" s="5"/>
      <x:c r="B25" s="5"/>
      <x:c r="C25" s="23"/>
      <x:c r="D25" s="23"/>
      <x:c r="E25" s="23"/>
      <x:c r="F25" s="24"/>
      <x:c r="G25" s="24"/>
      <x:c r="H25" s="5"/>
      <x:c r="I25" s="5"/>
      <x:c r="J25" s="5"/>
      <x:c r="K25" s="5"/>
      <x:c r="L25" s="5"/>
      <x:c r="M25" s="23"/>
      <x:c r="N25" s="24"/>
      <x:c r="O25" s="24"/>
      <x:c r="P25" s="5"/>
      <x:c r="Q25" s="23"/>
      <x:c r="R25" s="23"/>
      <x:c r="S25" s="23"/>
      <x:c r="T25" s="23"/>
      <x:c r="U25" s="23"/>
      <x:c r="V25" s="24"/>
      <x:c r="W25" s="24"/>
    </x:row>
    <x:row r="26" ht="16.5" customHeight="1">
      <x:c r="A26" s="21">
        <x:v>6.0</x:v>
      </x:c>
      <x:c r="B26" s="21">
        <x:v>7.0</x:v>
      </x:c>
      <x:c r="C26" s="21">
        <x:v>8.0</x:v>
      </x:c>
      <x:c r="D26" s="21">
        <x:v>9.0</x:v>
      </x:c>
      <x:c r="E26" s="21">
        <x:v>10.0</x:v>
      </x:c>
      <x:c r="F26" s="22">
        <x:v>11.0</x:v>
      </x:c>
      <x:c r="G26" s="22">
        <x:v>12.0</x:v>
      </x:c>
      <x:c r="H26" s="5"/>
      <x:c r="I26" s="21">
        <x:v>4.0</x:v>
      </x:c>
      <x:c r="J26" s="21">
        <x:v>5.0</x:v>
      </x:c>
      <x:c r="K26" s="21">
        <x:v>6.0</x:v>
      </x:c>
      <x:c r="L26" s="21">
        <x:v>7.0</x:v>
      </x:c>
      <x:c r="M26" s="21">
        <x:v>8.0</x:v>
      </x:c>
      <x:c r="N26" s="22">
        <x:v>9.0</x:v>
      </x:c>
      <x:c r="O26" s="22">
        <x:v>10.0</x:v>
      </x:c>
      <x:c r="P26" s="5"/>
      <x:c r="Q26" s="21">
        <x:v>8.0</x:v>
      </x:c>
      <x:c r="R26" s="21">
        <x:v>9.0</x:v>
      </x:c>
      <x:c r="S26" s="21">
        <x:v>10.0</x:v>
      </x:c>
      <x:c r="T26" s="21">
        <x:v>11.0</x:v>
      </x:c>
      <x:c r="U26" s="21">
        <x:v>12.0</x:v>
      </x:c>
      <x:c r="V26" s="22">
        <x:v>13.0</x:v>
      </x:c>
      <x:c r="W26" s="22">
        <x:v>14.0</x:v>
      </x:c>
    </x:row>
    <x:row r="27" ht="16.5" customHeight="1">
      <x:c r="A27" s="23"/>
      <x:c r="B27" s="23"/>
      <x:c r="C27" s="23"/>
      <x:c r="D27" s="23"/>
      <x:c r="E27" s="23"/>
      <x:c r="F27" s="24"/>
      <x:c r="G27" s="24"/>
      <x:c r="H27" s="5"/>
      <x:c r="I27" s="23"/>
      <x:c r="J27" s="23"/>
      <x:c r="K27" s="23"/>
      <x:c r="L27" s="23"/>
      <x:c r="M27" s="23"/>
      <x:c r="N27" s="24"/>
      <x:c r="O27" s="24"/>
      <x:c r="P27" s="5"/>
      <x:c r="Q27" s="23"/>
      <x:c r="R27" s="23"/>
      <x:c r="S27" s="23"/>
      <x:c r="T27" s="23"/>
      <x:c r="U27" s="23"/>
      <x:c r="V27" s="24"/>
      <x:c r="W27" s="24"/>
    </x:row>
    <x:row r="28" ht="16.5" customHeight="1">
      <x:c r="A28" s="21">
        <x:v>13.0</x:v>
      </x:c>
      <x:c r="B28" s="21">
        <x:v>14.0</x:v>
      </x:c>
      <x:c r="C28" s="21">
        <x:v>15.0</x:v>
      </x:c>
      <x:c r="D28" s="21">
        <x:v>16.0</x:v>
      </x:c>
      <x:c r="E28" s="21">
        <x:v>17.0</x:v>
      </x:c>
      <x:c r="F28" s="22">
        <x:v>18.0</x:v>
      </x:c>
      <x:c r="G28" s="22">
        <x:v>19.0</x:v>
      </x:c>
      <x:c r="H28" s="5"/>
      <x:c r="I28" s="21">
        <x:v>11.0</x:v>
      </x:c>
      <x:c r="J28" s="21">
        <x:v>12.0</x:v>
      </x:c>
      <x:c r="K28" s="21">
        <x:v>13.0</x:v>
      </x:c>
      <x:c r="L28" s="21">
        <x:v>14.0</x:v>
      </x:c>
      <x:c r="M28" s="21">
        <x:v>15.0</x:v>
      </x:c>
      <x:c r="N28" s="22">
        <x:v>16.0</x:v>
      </x:c>
      <x:c r="O28" s="22">
        <x:v>17.0</x:v>
      </x:c>
      <x:c r="P28" s="5"/>
      <x:c r="Q28" s="21">
        <x:v>15.0</x:v>
      </x:c>
      <x:c r="R28" s="21">
        <x:v>16.0</x:v>
      </x:c>
      <x:c r="S28" s="21">
        <x:v>17.0</x:v>
      </x:c>
      <x:c r="T28" s="21">
        <x:v>18.0</x:v>
      </x:c>
      <x:c r="U28" s="21">
        <x:v>19.0</x:v>
      </x:c>
      <x:c r="V28" s="22">
        <x:v>20.0</x:v>
      </x:c>
      <x:c r="W28" s="22">
        <x:v>21.0</x:v>
      </x:c>
    </x:row>
    <x:row r="29" ht="16.5" customHeight="1">
      <x:c r="A29" s="23"/>
      <x:c r="B29" s="23"/>
      <x:c r="C29" s="23"/>
      <x:c r="D29" s="23"/>
      <x:c r="E29" s="23"/>
      <x:c r="F29" s="24"/>
      <x:c r="G29" s="24"/>
      <x:c r="H29" s="5"/>
      <x:c r="I29" s="23"/>
      <x:c r="J29" s="23"/>
      <x:c r="K29" s="23"/>
      <x:c r="L29" s="23"/>
      <x:c r="M29" s="23"/>
      <x:c r="N29" s="24"/>
      <x:c r="O29" s="24"/>
      <x:c r="P29" s="5"/>
      <x:c r="Q29" s="23"/>
      <x:c r="R29" s="23"/>
      <x:c r="S29" s="23"/>
      <x:c r="T29" s="23"/>
      <x:c r="U29" s="23"/>
      <x:c r="V29" s="24"/>
      <x:c r="W29" s="24"/>
    </x:row>
    <x:row r="30" ht="16.5" customHeight="1">
      <x:c r="A30" s="21">
        <x:v>20.0</x:v>
      </x:c>
      <x:c r="B30" s="21">
        <x:v>21.0</x:v>
      </x:c>
      <x:c r="C30" s="21">
        <x:v>22.0</x:v>
      </x:c>
      <x:c r="D30" s="21">
        <x:v>23.0</x:v>
      </x:c>
      <x:c r="E30" s="21">
        <x:v>24.0</x:v>
      </x:c>
      <x:c r="F30" s="22">
        <x:v>25.0</x:v>
      </x:c>
      <x:c r="G30" s="22">
        <x:v>26.0</x:v>
      </x:c>
      <x:c r="H30" s="5"/>
      <x:c r="I30" s="21">
        <x:v>18.0</x:v>
      </x:c>
      <x:c r="J30" s="21">
        <x:v>19.0</x:v>
      </x:c>
      <x:c r="K30" s="21">
        <x:v>20.0</x:v>
      </x:c>
      <x:c r="L30" s="21">
        <x:v>21.0</x:v>
      </x:c>
      <x:c r="M30" s="21">
        <x:v>22.0</x:v>
      </x:c>
      <x:c r="N30" s="22">
        <x:v>23.0</x:v>
      </x:c>
      <x:c r="O30" s="22">
        <x:v>24.0</x:v>
      </x:c>
      <x:c r="P30" s="5"/>
      <x:c r="Q30" s="21">
        <x:v>22.0</x:v>
      </x:c>
      <x:c r="R30" s="21">
        <x:v>23.0</x:v>
      </x:c>
      <x:c r="S30" s="21">
        <x:v>24.0</x:v>
      </x:c>
      <x:c r="T30" s="21">
        <x:v>25.0</x:v>
      </x:c>
      <x:c r="U30" s="21">
        <x:v>26.0</x:v>
      </x:c>
      <x:c r="V30" s="22">
        <x:v>27.0</x:v>
      </x:c>
      <x:c r="W30" s="22">
        <x:v>28.0</x:v>
      </x:c>
    </x:row>
    <x:row r="31" ht="16.5" customHeight="1">
      <x:c r="A31" s="23"/>
      <x:c r="B31" s="23"/>
      <x:c r="C31" s="23"/>
      <x:c r="D31" s="23"/>
      <x:c r="E31" s="23"/>
      <x:c r="F31" s="24"/>
      <x:c r="G31" s="24"/>
      <x:c r="H31" s="5"/>
      <x:c r="I31" s="23"/>
      <x:c r="J31" s="23"/>
      <x:c r="K31" s="23"/>
      <x:c r="L31" s="23"/>
      <x:c r="M31" s="23"/>
      <x:c r="N31" s="24"/>
      <x:c r="O31" s="24"/>
      <x:c r="P31" s="5"/>
      <x:c r="Q31" s="23"/>
      <x:c r="R31" s="23"/>
      <x:c r="S31" s="23"/>
      <x:c r="T31" s="23"/>
      <x:c r="U31" s="23"/>
      <x:c r="V31" s="24"/>
      <x:c r="W31" s="24"/>
    </x:row>
    <x:row r="32" ht="16.5" customHeight="1">
      <x:c r="A32" s="21">
        <x:v>27.0</x:v>
      </x:c>
      <x:c r="B32" s="21">
        <x:v>28.0</x:v>
      </x:c>
      <x:c r="C32" s="21">
        <x:v>29.0</x:v>
      </x:c>
      <x:c r="D32" s="21">
        <x:v>30.0</x:v>
      </x:c>
      <x:c r="E32" s="5"/>
      <x:c r="F32" s="5"/>
      <x:c r="G32" s="5"/>
      <x:c r="H32" s="5"/>
      <x:c r="I32" s="21">
        <x:v>25.0</x:v>
      </x:c>
      <x:c r="J32" s="21">
        <x:v>26.0</x:v>
      </x:c>
      <x:c r="K32" s="21">
        <x:v>27.0</x:v>
      </x:c>
      <x:c r="L32" s="21">
        <x:v>28.0</x:v>
      </x:c>
      <x:c r="M32" s="21">
        <x:v>29.0</x:v>
      </x:c>
      <x:c r="N32" s="22">
        <x:v>30.0</x:v>
      </x:c>
      <x:c r="O32" s="22">
        <x:v>31.0</x:v>
      </x:c>
      <x:c r="P32" s="5"/>
      <x:c r="Q32" s="21">
        <x:v>29.0</x:v>
      </x:c>
      <x:c r="R32" s="21">
        <x:v>30.0</x:v>
      </x:c>
      <x:c r="S32" s="5"/>
      <x:c r="T32" s="5"/>
      <x:c r="U32" s="5"/>
      <x:c r="V32" s="5"/>
      <x:c r="W32" s="5"/>
    </x:row>
    <x:row r="33" ht="16.5" customHeight="1">
      <x:c r="A33" s="23"/>
      <x:c r="B33" s="23"/>
      <x:c r="C33" s="23"/>
      <x:c r="D33" s="34" t="n">
        <x:f>Evolucion!B22</x:f>
        <x:v>30027.3</x:v>
      </x:c>
      <x:c r="E33" s="5"/>
      <x:c r="F33" s="5"/>
      <x:c r="G33" s="5"/>
      <x:c r="H33" s="5"/>
      <x:c r="I33" s="23"/>
      <x:c r="J33" s="23"/>
      <x:c r="K33" s="23"/>
      <x:c r="L33" s="23"/>
      <x:c r="M33" s="34" t="n">
        <x:f>Evolucion!B23</x:f>
        <x:v>30958.15</x:v>
      </x:c>
      <x:c r="N33" s="24"/>
      <x:c r="O33" s="24"/>
      <x:c r="P33" s="5"/>
      <x:c r="Q33" s="23"/>
      <x:c r="R33" s="34" t="n">
        <x:f>Evolucion!B24</x:f>
        <x:v>31329.65</x:v>
      </x:c>
      <x:c r="S33" s="5"/>
      <x:c r="T33" s="5"/>
      <x:c r="U33" s="5"/>
      <x:c r="V33" s="5"/>
      <x:c r="W33" s="5"/>
    </x:row>
    <x:row r="34" ht="16.5" customHeight="1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</x:row>
    <x:row r="35" ht="16.5" customHeight="1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</x:row>
    <x:row r="36" ht="16.5" customHeight="1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</x:row>
    <x:row r="37" ht="16.5" customHeight="1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</x:row>
    <x:row r="38" ht="16.5" customHeight="1">
      <x:c r="A38" s="18" t="s">
        <x:v>62</x:v>
      </x:c>
      <x:c r="H38" s="5"/>
      <x:c r="I38" s="18" t="s">
        <x:v>63</x:v>
      </x:c>
      <x:c r="P38" s="5"/>
      <x:c r="Q38" s="18" t="s">
        <x:v>64</x:v>
      </x:c>
    </x:row>
    <x:row r="39" ht="16.5" customHeight="1">
      <x:c r="A39" s="19" t="s">
        <x:v>52</x:v>
      </x:c>
      <x:c r="B39" s="19" t="s">
        <x:v>53</x:v>
      </x:c>
      <x:c r="C39" s="19" t="s">
        <x:v>54</x:v>
      </x:c>
      <x:c r="D39" s="19" t="s">
        <x:v>55</x:v>
      </x:c>
      <x:c r="E39" s="19" t="s">
        <x:v>56</x:v>
      </x:c>
      <x:c r="F39" s="20" t="s">
        <x:v>57</x:v>
      </x:c>
      <x:c r="G39" s="20" t="s">
        <x:v>58</x:v>
      </x:c>
      <x:c r="H39" s="5"/>
      <x:c r="I39" s="19" t="s">
        <x:v>52</x:v>
      </x:c>
      <x:c r="J39" s="19" t="s">
        <x:v>53</x:v>
      </x:c>
      <x:c r="K39" s="19" t="s">
        <x:v>54</x:v>
      </x:c>
      <x:c r="L39" s="19" t="s">
        <x:v>55</x:v>
      </x:c>
      <x:c r="M39" s="19" t="s">
        <x:v>56</x:v>
      </x:c>
      <x:c r="N39" s="20" t="s">
        <x:v>57</x:v>
      </x:c>
      <x:c r="O39" s="20" t="s">
        <x:v>58</x:v>
      </x:c>
      <x:c r="P39" s="5"/>
      <x:c r="Q39" s="19" t="s">
        <x:v>52</x:v>
      </x:c>
      <x:c r="R39" s="19" t="s">
        <x:v>53</x:v>
      </x:c>
      <x:c r="S39" s="19" t="s">
        <x:v>54</x:v>
      </x:c>
      <x:c r="T39" s="19" t="s">
        <x:v>55</x:v>
      </x:c>
      <x:c r="U39" s="19" t="s">
        <x:v>56</x:v>
      </x:c>
      <x:c r="V39" s="20" t="s">
        <x:v>57</x:v>
      </x:c>
      <x:c r="W39" s="20" t="s">
        <x:v>58</x:v>
      </x:c>
    </x:row>
    <x:row r="40" ht="16.5" customHeight="1">
      <x:c r="A40" s="5"/>
      <x:c r="B40" s="5"/>
      <x:c r="C40" s="21">
        <x:v>1.0</x:v>
      </x:c>
      <x:c r="D40" s="21">
        <x:v>2.0</x:v>
      </x:c>
      <x:c r="E40" s="21">
        <x:v>3.0</x:v>
      </x:c>
      <x:c r="F40" s="22">
        <x:v>4.0</x:v>
      </x:c>
      <x:c r="G40" s="22">
        <x:v>5.0</x:v>
      </x:c>
      <x:c r="H40" s="5"/>
      <x:c r="I40" s="5"/>
      <x:c r="J40" s="5"/>
      <x:c r="K40" s="5"/>
      <x:c r="L40" s="5"/>
      <x:c r="M40" s="5"/>
      <x:c r="N40" s="22">
        <x:v>1.0</x:v>
      </x:c>
      <x:c r="O40" s="22">
        <x:v>2.0</x:v>
      </x:c>
      <x:c r="P40" s="5"/>
      <x:c r="Q40" s="5"/>
      <x:c r="R40" s="21">
        <x:v>1.0</x:v>
      </x:c>
      <x:c r="S40" s="21">
        <x:v>2.0</x:v>
      </x:c>
      <x:c r="T40" s="21">
        <x:v>3.0</x:v>
      </x:c>
      <x:c r="U40" s="21">
        <x:v>4.0</x:v>
      </x:c>
      <x:c r="V40" s="22">
        <x:v>5.0</x:v>
      </x:c>
      <x:c r="W40" s="22">
        <x:v>6.0</x:v>
      </x:c>
    </x:row>
    <x:row r="41" ht="16.5" customHeight="1">
      <x:c r="A41" s="5"/>
      <x:c r="B41" s="5"/>
      <x:c r="C41" s="23"/>
      <x:c r="D41" s="23"/>
      <x:c r="E41" s="23"/>
      <x:c r="F41" s="24"/>
      <x:c r="G41" s="24"/>
      <x:c r="H41" s="5"/>
      <x:c r="I41" s="5"/>
      <x:c r="J41" s="5"/>
      <x:c r="K41" s="5"/>
      <x:c r="L41" s="5"/>
      <x:c r="M41" s="5"/>
      <x:c r="N41" s="58" t="n">
        <x:v>25000</x:v>
      </x:c>
      <x:c r="O41" s="24"/>
      <x:c r="P41" s="5"/>
      <x:c r="Q41" s="5"/>
      <x:c r="R41" s="60"/>
      <x:c r="S41" s="60"/>
      <x:c r="T41" s="60"/>
      <x:c r="U41" s="60"/>
      <x:c r="V41" s="24"/>
      <x:c r="W41" s="24"/>
    </x:row>
    <x:row r="42" ht="16.5" customHeight="1">
      <x:c r="A42" s="21">
        <x:v>6.0</x:v>
      </x:c>
      <x:c r="B42" s="21">
        <x:v>7.0</x:v>
      </x:c>
      <x:c r="C42" s="21">
        <x:v>8.0</x:v>
      </x:c>
      <x:c r="D42" s="21">
        <x:v>9.0</x:v>
      </x:c>
      <x:c r="E42" s="21">
        <x:v>10.0</x:v>
      </x:c>
      <x:c r="F42" s="22">
        <x:v>11.0</x:v>
      </x:c>
      <x:c r="G42" s="22">
        <x:v>12.0</x:v>
      </x:c>
      <x:c r="H42" s="5"/>
      <x:c r="I42" s="21">
        <x:v>3.0</x:v>
      </x:c>
      <x:c r="J42" s="21">
        <x:v>4.0</x:v>
      </x:c>
      <x:c r="K42" s="21">
        <x:v>5.0</x:v>
      </x:c>
      <x:c r="L42" s="21">
        <x:v>6.0</x:v>
      </x:c>
      <x:c r="M42" s="21">
        <x:v>7.0</x:v>
      </x:c>
      <x:c r="N42" s="22">
        <x:v>8.0</x:v>
      </x:c>
      <x:c r="O42" s="22">
        <x:v>9.0</x:v>
      </x:c>
      <x:c r="P42" s="5"/>
      <x:c r="Q42" s="21">
        <x:v>7.0</x:v>
      </x:c>
      <x:c r="R42" s="21">
        <x:v>8.0</x:v>
      </x:c>
      <x:c r="S42" s="21">
        <x:v>9.0</x:v>
      </x:c>
      <x:c r="T42" s="21">
        <x:v>10.0</x:v>
      </x:c>
      <x:c r="U42" s="21">
        <x:v>11.0</x:v>
      </x:c>
      <x:c r="V42" s="22">
        <x:v>12.0</x:v>
      </x:c>
      <x:c r="W42" s="22">
        <x:v>13.0</x:v>
      </x:c>
    </x:row>
    <x:row r="43" ht="16.5" customHeight="1">
      <x:c r="A43" s="23"/>
      <x:c r="B43" s="23"/>
      <x:c r="C43" s="23"/>
      <x:c r="D43" s="62" t="n">
        <x:v>25070</x:v>
      </x:c>
      <x:c r="E43" s="63" t="n">
        <x:v>25140</x:v>
      </x:c>
      <x:c r="F43" s="58" t="n">
        <x:v>25210</x:v>
      </x:c>
      <x:c r="G43" s="24"/>
      <x:c r="H43" s="5"/>
      <x:c r="I43" s="64" t="n">
        <x:v>25460</x:v>
      </x:c>
      <x:c r="J43" s="64" t="n">
        <x:v>25530</x:v>
      </x:c>
      <x:c r="K43" s="64" t="n">
        <x:v>25600</x:v>
      </x:c>
      <x:c r="L43" s="64" t="n">
        <x:v>25670</x:v>
      </x:c>
      <x:c r="M43" s="64" t="n">
        <x:v>25920</x:v>
      </x:c>
      <x:c r="N43" s="58" t="n">
        <x:v>24955</x:v>
      </x:c>
      <x:c r="O43" s="24"/>
      <x:c r="P43" s="5"/>
      <x:c r="Q43" s="60"/>
      <x:c r="R43" s="60"/>
      <x:c r="S43" s="60"/>
      <x:c r="T43" s="60"/>
      <x:c r="U43" s="60"/>
      <x:c r="V43" s="24"/>
      <x:c r="W43" s="24"/>
    </x:row>
    <x:row r="44" ht="16.5" customHeight="1">
      <x:c r="A44" s="21">
        <x:v>13.0</x:v>
      </x:c>
      <x:c r="B44" s="21">
        <x:v>14.0</x:v>
      </x:c>
      <x:c r="C44" s="21">
        <x:v>15.0</x:v>
      </x:c>
      <x:c r="D44" s="21">
        <x:v>16.0</x:v>
      </x:c>
      <x:c r="E44" s="21">
        <x:v>17.0</x:v>
      </x:c>
      <x:c r="F44" s="22">
        <x:v>18.0</x:v>
      </x:c>
      <x:c r="G44" s="22">
        <x:v>19.0</x:v>
      </x:c>
      <x:c r="H44" s="5"/>
      <x:c r="I44" s="21">
        <x:v>10.0</x:v>
      </x:c>
      <x:c r="J44" s="21">
        <x:v>11.0</x:v>
      </x:c>
      <x:c r="K44" s="21">
        <x:v>12.0</x:v>
      </x:c>
      <x:c r="L44" s="21">
        <x:v>13.0</x:v>
      </x:c>
      <x:c r="M44" s="21">
        <x:v>14.0</x:v>
      </x:c>
      <x:c r="N44" s="22">
        <x:v>15.0</x:v>
      </x:c>
      <x:c r="O44" s="22">
        <x:v>16.0</x:v>
      </x:c>
      <x:c r="P44" s="5"/>
      <x:c r="Q44" s="21">
        <x:v>14.0</x:v>
      </x:c>
      <x:c r="R44" s="21">
        <x:v>15.0</x:v>
      </x:c>
      <x:c r="S44" s="21">
        <x:v>16.0</x:v>
      </x:c>
      <x:c r="T44" s="21">
        <x:v>17.0</x:v>
      </x:c>
      <x:c r="U44" s="21">
        <x:v>18.0</x:v>
      </x:c>
      <x:c r="V44" s="22">
        <x:v>19.0</x:v>
      </x:c>
      <x:c r="W44" s="22">
        <x:v>20.0</x:v>
      </x:c>
    </x:row>
    <x:row r="45" ht="16.5" customHeight="1">
      <x:c r="A45" s="64" t="n">
        <x:v>25025</x:v>
      </x:c>
      <x:c r="B45" s="64" t="n">
        <x:v>25095</x:v>
      </x:c>
      <x:c r="C45" s="64" t="n">
        <x:v>25345</x:v>
      </x:c>
      <x:c r="D45" s="64" t="n">
        <x:v>25415</x:v>
      </x:c>
      <x:c r="E45" s="64" t="n">
        <x:v>25485</x:v>
      </x:c>
      <x:c r="F45" s="58" t="n">
        <x:v>25555</x:v>
      </x:c>
      <x:c r="G45" s="24"/>
      <x:c r="H45" s="5"/>
      <x:c r="I45" s="64" t="n">
        <x:v>25805</x:v>
      </x:c>
      <x:c r="J45" s="64" t="n">
        <x:v>25875</x:v>
      </x:c>
      <x:c r="K45" s="64" t="n">
        <x:v>24910</x:v>
      </x:c>
      <x:c r="L45" s="64" t="n">
        <x:v>24980</x:v>
      </x:c>
      <x:c r="M45" s="64" t="n">
        <x:v>25230</x:v>
      </x:c>
      <x:c r="N45" s="24"/>
      <x:c r="O45" s="24"/>
      <x:c r="P45" s="5"/>
      <x:c r="Q45" s="60"/>
      <x:c r="R45" s="60"/>
      <x:c r="S45" s="60"/>
      <x:c r="T45" s="60"/>
      <x:c r="U45" s="60"/>
      <x:c r="V45" s="24"/>
      <x:c r="W45" s="24"/>
    </x:row>
    <x:row r="46" ht="16.5" customHeight="1">
      <x:c r="A46" s="21">
        <x:v>20.0</x:v>
      </x:c>
      <x:c r="B46" s="21">
        <x:v>21.0</x:v>
      </x:c>
      <x:c r="C46" s="21">
        <x:v>22.0</x:v>
      </x:c>
      <x:c r="D46" s="21">
        <x:v>23.0</x:v>
      </x:c>
      <x:c r="E46" s="21">
        <x:v>24.0</x:v>
      </x:c>
      <x:c r="F46" s="22">
        <x:v>25.0</x:v>
      </x:c>
      <x:c r="G46" s="22">
        <x:v>26.0</x:v>
      </x:c>
      <x:c r="H46" s="5"/>
      <x:c r="I46" s="21">
        <x:v>17.0</x:v>
      </x:c>
      <x:c r="J46" s="21">
        <x:v>18.0</x:v>
      </x:c>
      <x:c r="K46" s="21">
        <x:v>19.0</x:v>
      </x:c>
      <x:c r="L46" s="21">
        <x:v>20.0</x:v>
      </x:c>
      <x:c r="M46" s="21">
        <x:v>21.0</x:v>
      </x:c>
      <x:c r="N46" s="22">
        <x:v>22.0</x:v>
      </x:c>
      <x:c r="O46" s="22">
        <x:v>23.0</x:v>
      </x:c>
      <x:c r="P46" s="5"/>
      <x:c r="Q46" s="21">
        <x:v>21.0</x:v>
      </x:c>
      <x:c r="R46" s="21">
        <x:v>22.0</x:v>
      </x:c>
      <x:c r="S46" s="21">
        <x:v>23.0</x:v>
      </x:c>
      <x:c r="T46" s="21">
        <x:v>24.0</x:v>
      </x:c>
      <x:c r="U46" s="21">
        <x:v>25.0</x:v>
      </x:c>
      <x:c r="V46" s="22">
        <x:v>26.0</x:v>
      </x:c>
      <x:c r="W46" s="22">
        <x:v>27.0</x:v>
      </x:c>
    </x:row>
    <x:row r="47" ht="16.5" customHeight="1">
      <x:c r="A47" s="64" t="n">
        <x:v>25300</x:v>
      </x:c>
      <x:c r="B47" s="64" t="n">
        <x:v>25370</x:v>
      </x:c>
      <x:c r="C47" s="64" t="n">
        <x:v>25440</x:v>
      </x:c>
      <x:c r="D47" s="64" t="n">
        <x:v>25690</x:v>
      </x:c>
      <x:c r="E47" s="64" t="n">
        <x:v>25760</x:v>
      </x:c>
      <x:c r="F47" s="24"/>
      <x:c r="G47" s="24"/>
      <x:c r="H47" s="5"/>
      <x:c r="I47" s="60"/>
      <x:c r="J47" s="60"/>
      <x:c r="K47" s="60"/>
      <x:c r="L47" s="60"/>
      <x:c r="M47" s="60"/>
      <x:c r="N47" s="24"/>
      <x:c r="O47" s="24"/>
      <x:c r="P47" s="5"/>
      <x:c r="Q47" s="60"/>
      <x:c r="R47" s="60"/>
      <x:c r="S47" s="60"/>
      <x:c r="T47" s="60"/>
      <x:c r="U47" s="60"/>
      <x:c r="V47" s="24"/>
      <x:c r="W47" s="24"/>
    </x:row>
    <x:row r="48" ht="16.5" customHeight="1">
      <x:c r="A48" s="21">
        <x:v>27.0</x:v>
      </x:c>
      <x:c r="B48" s="21">
        <x:v>28.0</x:v>
      </x:c>
      <x:c r="C48" s="21">
        <x:v>29.0</x:v>
      </x:c>
      <x:c r="D48" s="21">
        <x:v>30.0</x:v>
      </x:c>
      <x:c r="E48" s="21">
        <x:v>31.0</x:v>
      </x:c>
      <x:c r="F48" s="5"/>
      <x:c r="G48" s="5"/>
      <x:c r="H48" s="5"/>
      <x:c r="I48" s="21">
        <x:v>24.0</x:v>
      </x:c>
      <x:c r="J48" s="21">
        <x:v>25.0</x:v>
      </x:c>
      <x:c r="K48" s="21">
        <x:v>26.0</x:v>
      </x:c>
      <x:c r="L48" s="21">
        <x:v>27.0</x:v>
      </x:c>
      <x:c r="M48" s="21">
        <x:v>28.0</x:v>
      </x:c>
      <x:c r="N48" s="22">
        <x:v>29.0</x:v>
      </x:c>
      <x:c r="O48" s="22">
        <x:v>30.0</x:v>
      </x:c>
      <x:c r="P48" s="5"/>
      <x:c r="Q48" s="21">
        <x:v>28.0</x:v>
      </x:c>
      <x:c r="R48" s="21">
        <x:v>29.0</x:v>
      </x:c>
      <x:c r="S48" s="21">
        <x:v>30.0</x:v>
      </x:c>
      <x:c r="T48" s="5"/>
      <x:c r="U48" s="5"/>
      <x:c r="V48" s="5"/>
      <x:c r="W48" s="5"/>
    </x:row>
    <x:row r="49" ht="16.5" customHeight="1">
      <x:c r="A49" s="64" t="n">
        <x:v>25830</x:v>
      </x:c>
      <x:c r="B49" s="64" t="n">
        <x:v>24865</x:v>
      </x:c>
      <x:c r="C49" s="64" t="n">
        <x:v>25115</x:v>
      </x:c>
      <x:c r="D49" s="64" t="n">
        <x:v>25185</x:v>
      </x:c>
      <x:c r="E49" s="64" t="n">
        <x:v>25255</x:v>
      </x:c>
      <x:c r="F49" s="5"/>
      <x:c r="G49" s="5"/>
      <x:c r="H49" s="5"/>
      <x:c r="I49" s="60"/>
      <x:c r="J49" s="60"/>
      <x:c r="K49" s="60"/>
      <x:c r="L49" s="60"/>
      <x:c r="M49" s="60"/>
      <x:c r="N49" s="24"/>
      <x:c r="O49" s="24"/>
      <x:c r="P49" s="5"/>
      <x:c r="Q49" s="60"/>
      <x:c r="R49" s="60"/>
      <x:c r="S49" s="60"/>
      <x:c r="T49" s="5"/>
      <x:c r="U49" s="5"/>
      <x:c r="V49" s="5"/>
      <x:c r="W49" s="5"/>
    </x:row>
    <x:row r="50" ht="16.5" customHeight="1">
      <x:c r="A50" s="5"/>
      <x:c r="B50" s="5"/>
      <x:c r="C50" s="5"/>
      <x:c r="D50" s="5"/>
      <x:c r="E50" s="5"/>
      <x:c r="F50" s="5"/>
      <x:c r="G50" s="5"/>
      <x:c r="H50" s="5"/>
      <x:c r="I50" s="21">
        <x:v>31.0</x:v>
      </x:c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</x:row>
    <x:row r="51" ht="16.5" customHeight="1">
      <x:c r="A51" s="5"/>
      <x:c r="B51" s="5"/>
      <x:c r="C51" s="5"/>
      <x:c r="D51" s="5"/>
      <x:c r="E51" s="5"/>
      <x:c r="F51" s="5"/>
      <x:c r="G51" s="5"/>
      <x:c r="H51" s="5"/>
      <x:c r="I51" s="60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</x:row>
    <x:row r="52" ht="16.5" customHeight="1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</x:row>
    <x:row r="53" ht="16.5" customHeight="1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</x:row>
    <x:row r="54" ht="16.5" customHeight="1">
      <x:c r="A54" s="18" t="s">
        <x:v>65</x:v>
      </x:c>
      <x:c r="H54" s="5"/>
      <x:c r="I54" s="18" t="s">
        <x:v>66</x:v>
      </x:c>
      <x:c r="P54" s="5"/>
      <x:c r="Q54" s="18" t="s">
        <x:v>67</x:v>
      </x:c>
    </x:row>
    <x:row r="55" ht="16.5" customHeight="1">
      <x:c r="A55" s="19" t="s">
        <x:v>52</x:v>
      </x:c>
      <x:c r="B55" s="19" t="s">
        <x:v>53</x:v>
      </x:c>
      <x:c r="C55" s="19" t="s">
        <x:v>54</x:v>
      </x:c>
      <x:c r="D55" s="19" t="s">
        <x:v>55</x:v>
      </x:c>
      <x:c r="E55" s="19" t="s">
        <x:v>56</x:v>
      </x:c>
      <x:c r="F55" s="20" t="s">
        <x:v>57</x:v>
      </x:c>
      <x:c r="G55" s="20" t="s">
        <x:v>58</x:v>
      </x:c>
      <x:c r="H55" s="5"/>
      <x:c r="I55" s="19" t="s">
        <x:v>52</x:v>
      </x:c>
      <x:c r="J55" s="19" t="s">
        <x:v>53</x:v>
      </x:c>
      <x:c r="K55" s="19" t="s">
        <x:v>54</x:v>
      </x:c>
      <x:c r="L55" s="19" t="s">
        <x:v>55</x:v>
      </x:c>
      <x:c r="M55" s="19" t="s">
        <x:v>56</x:v>
      </x:c>
      <x:c r="N55" s="20" t="s">
        <x:v>57</x:v>
      </x:c>
      <x:c r="O55" s="20" t="s">
        <x:v>58</x:v>
      </x:c>
      <x:c r="P55" s="5"/>
      <x:c r="Q55" s="19" t="s">
        <x:v>52</x:v>
      </x:c>
      <x:c r="R55" s="19" t="s">
        <x:v>53</x:v>
      </x:c>
      <x:c r="S55" s="19" t="s">
        <x:v>54</x:v>
      </x:c>
      <x:c r="T55" s="19" t="s">
        <x:v>55</x:v>
      </x:c>
      <x:c r="U55" s="19" t="s">
        <x:v>56</x:v>
      </x:c>
      <x:c r="V55" s="20" t="s">
        <x:v>57</x:v>
      </x:c>
      <x:c r="W55" s="20" t="s">
        <x:v>58</x:v>
      </x:c>
    </x:row>
    <x:row r="56" ht="16.5" customHeight="1">
      <x:c r="A56" s="5"/>
      <x:c r="B56" s="5"/>
      <x:c r="C56" s="5"/>
      <x:c r="D56" s="21">
        <x:v>1.0</x:v>
      </x:c>
      <x:c r="E56" s="21">
        <x:v>2.0</x:v>
      </x:c>
      <x:c r="F56" s="22">
        <x:v>3.0</x:v>
      </x:c>
      <x:c r="G56" s="22">
        <x:v>4.0</x:v>
      </x:c>
      <x:c r="H56" s="5"/>
      <x:c r="I56" s="5"/>
      <x:c r="J56" s="5"/>
      <x:c r="K56" s="5"/>
      <x:c r="L56" s="5"/>
      <x:c r="M56" s="5"/>
      <x:c r="N56" s="5"/>
      <x:c r="O56" s="22">
        <x:v>1.0</x:v>
      </x:c>
      <x:c r="P56" s="5"/>
      <x:c r="Q56" s="5"/>
      <x:c r="R56" s="21">
        <x:v>1.0</x:v>
      </x:c>
      <x:c r="S56" s="21">
        <x:v>2.0</x:v>
      </x:c>
      <x:c r="T56" s="21">
        <x:v>3.0</x:v>
      </x:c>
      <x:c r="U56" s="21">
        <x:v>4.0</x:v>
      </x:c>
      <x:c r="V56" s="22">
        <x:v>5.0</x:v>
      </x:c>
      <x:c r="W56" s="22">
        <x:v>6.0</x:v>
      </x:c>
    </x:row>
    <x:row r="57" ht="16.5" customHeight="1">
      <x:c r="A57" s="5"/>
      <x:c r="B57" s="5"/>
      <x:c r="C57" s="5"/>
      <x:c r="D57" s="64"/>
      <x:c r="E57" s="60"/>
      <x:c r="F57" s="24"/>
      <x:c r="G57" s="24"/>
      <x:c r="H57" s="5"/>
      <x:c r="I57" s="5"/>
      <x:c r="J57" s="5"/>
      <x:c r="K57" s="5"/>
      <x:c r="L57" s="5"/>
      <x:c r="M57" s="5"/>
      <x:c r="N57" s="5"/>
      <x:c r="O57" s="24"/>
      <x:c r="P57" s="5"/>
      <x:c r="Q57" s="5"/>
      <x:c r="R57" s="60"/>
      <x:c r="S57" s="60"/>
      <x:c r="T57" s="60"/>
      <x:c r="U57" s="60"/>
      <x:c r="V57" s="24"/>
      <x:c r="W57" s="24"/>
    </x:row>
    <x:row r="58" ht="16.5" customHeight="1">
      <x:c r="A58" s="21">
        <x:v>5.0</x:v>
      </x:c>
      <x:c r="B58" s="21">
        <x:v>6.0</x:v>
      </x:c>
      <x:c r="C58" s="21">
        <x:v>7.0</x:v>
      </x:c>
      <x:c r="D58" s="21">
        <x:v>8.0</x:v>
      </x:c>
      <x:c r="E58" s="21">
        <x:v>9.0</x:v>
      </x:c>
      <x:c r="F58" s="22">
        <x:v>10.0</x:v>
      </x:c>
      <x:c r="G58" s="22">
        <x:v>11.0</x:v>
      </x:c>
      <x:c r="H58" s="5"/>
      <x:c r="I58" s="21">
        <x:v>2.0</x:v>
      </x:c>
      <x:c r="J58" s="21">
        <x:v>3.0</x:v>
      </x:c>
      <x:c r="K58" s="21">
        <x:v>4.0</x:v>
      </x:c>
      <x:c r="L58" s="21">
        <x:v>5.0</x:v>
      </x:c>
      <x:c r="M58" s="21">
        <x:v>6.0</x:v>
      </x:c>
      <x:c r="N58" s="22">
        <x:v>7.0</x:v>
      </x:c>
      <x:c r="O58" s="22">
        <x:v>8.0</x:v>
      </x:c>
      <x:c r="P58" s="5"/>
      <x:c r="Q58" s="21">
        <x:v>7.0</x:v>
      </x:c>
      <x:c r="R58" s="21">
        <x:v>8.0</x:v>
      </x:c>
      <x:c r="S58" s="21">
        <x:v>9.0</x:v>
      </x:c>
      <x:c r="T58" s="21">
        <x:v>10.0</x:v>
      </x:c>
      <x:c r="U58" s="21">
        <x:v>11.0</x:v>
      </x:c>
      <x:c r="V58" s="22">
        <x:v>12.0</x:v>
      </x:c>
      <x:c r="W58" s="22">
        <x:v>13.0</x:v>
      </x:c>
    </x:row>
    <x:row r="59" ht="16.5" customHeight="1">
      <x:c r="A59" s="60"/>
      <x:c r="B59" s="60"/>
      <x:c r="C59" s="60"/>
      <x:c r="D59" s="60"/>
      <x:c r="E59" s="60"/>
      <x:c r="F59" s="24"/>
      <x:c r="G59" s="24"/>
      <x:c r="H59" s="5"/>
      <x:c r="I59" s="60"/>
      <x:c r="J59" s="60"/>
      <x:c r="K59" s="60"/>
      <x:c r="L59" s="60"/>
      <x:c r="M59" s="60"/>
      <x:c r="N59" s="24"/>
      <x:c r="O59" s="24"/>
      <x:c r="P59" s="5"/>
      <x:c r="Q59" s="60"/>
      <x:c r="R59" s="60"/>
      <x:c r="S59" s="60"/>
      <x:c r="T59" s="60"/>
      <x:c r="U59" s="60"/>
      <x:c r="V59" s="24"/>
      <x:c r="W59" s="24"/>
    </x:row>
    <x:row r="60" ht="16.5" customHeight="1">
      <x:c r="A60" s="21">
        <x:v>12.0</x:v>
      </x:c>
      <x:c r="B60" s="21">
        <x:v>13.0</x:v>
      </x:c>
      <x:c r="C60" s="21">
        <x:v>14.0</x:v>
      </x:c>
      <x:c r="D60" s="21">
        <x:v>15.0</x:v>
      </x:c>
      <x:c r="E60" s="21">
        <x:v>16.0</x:v>
      </x:c>
      <x:c r="F60" s="22">
        <x:v>17.0</x:v>
      </x:c>
      <x:c r="G60" s="22">
        <x:v>18.0</x:v>
      </x:c>
      <x:c r="H60" s="5"/>
      <x:c r="I60" s="21">
        <x:v>9.0</x:v>
      </x:c>
      <x:c r="J60" s="21">
        <x:v>10.0</x:v>
      </x:c>
      <x:c r="K60" s="21">
        <x:v>11.0</x:v>
      </x:c>
      <x:c r="L60" s="21">
        <x:v>12.0</x:v>
      </x:c>
      <x:c r="M60" s="21">
        <x:v>13.0</x:v>
      </x:c>
      <x:c r="N60" s="22">
        <x:v>14.0</x:v>
      </x:c>
      <x:c r="O60" s="22">
        <x:v>15.0</x:v>
      </x:c>
      <x:c r="P60" s="5"/>
      <x:c r="Q60" s="21">
        <x:v>14.0</x:v>
      </x:c>
      <x:c r="R60" s="21">
        <x:v>15.0</x:v>
      </x:c>
      <x:c r="S60" s="21">
        <x:v>16.0</x:v>
      </x:c>
      <x:c r="T60" s="21">
        <x:v>17.0</x:v>
      </x:c>
      <x:c r="U60" s="21">
        <x:v>18.0</x:v>
      </x:c>
      <x:c r="V60" s="22">
        <x:v>19.0</x:v>
      </x:c>
      <x:c r="W60" s="22">
        <x:v>20.0</x:v>
      </x:c>
    </x:row>
    <x:row r="61" ht="16.5" customHeight="1">
      <x:c r="A61" s="60"/>
      <x:c r="B61" s="60"/>
      <x:c r="C61" s="60"/>
      <x:c r="D61" s="60"/>
      <x:c r="E61" s="60"/>
      <x:c r="F61" s="24"/>
      <x:c r="G61" s="24"/>
      <x:c r="H61" s="5"/>
      <x:c r="I61" s="60"/>
      <x:c r="J61" s="60"/>
      <x:c r="K61" s="60"/>
      <x:c r="L61" s="60"/>
      <x:c r="M61" s="60"/>
      <x:c r="N61" s="24"/>
      <x:c r="O61" s="24"/>
      <x:c r="P61" s="5"/>
      <x:c r="Q61" s="60"/>
      <x:c r="R61" s="60"/>
      <x:c r="S61" s="60"/>
      <x:c r="T61" s="60"/>
      <x:c r="U61" s="60"/>
      <x:c r="V61" s="24"/>
      <x:c r="W61" s="24"/>
    </x:row>
    <x:row r="62" ht="16.5" customHeight="1">
      <x:c r="A62" s="21">
        <x:v>19.0</x:v>
      </x:c>
      <x:c r="B62" s="21">
        <x:v>20.0</x:v>
      </x:c>
      <x:c r="C62" s="21">
        <x:v>21.0</x:v>
      </x:c>
      <x:c r="D62" s="21">
        <x:v>22.0</x:v>
      </x:c>
      <x:c r="E62" s="21">
        <x:v>23.0</x:v>
      </x:c>
      <x:c r="F62" s="22">
        <x:v>24.0</x:v>
      </x:c>
      <x:c r="G62" s="22">
        <x:v>25.0</x:v>
      </x:c>
      <x:c r="H62" s="5"/>
      <x:c r="I62" s="21">
        <x:v>16.0</x:v>
      </x:c>
      <x:c r="J62" s="21">
        <x:v>17.0</x:v>
      </x:c>
      <x:c r="K62" s="21">
        <x:v>18.0</x:v>
      </x:c>
      <x:c r="L62" s="21">
        <x:v>19.0</x:v>
      </x:c>
      <x:c r="M62" s="21">
        <x:v>20.0</x:v>
      </x:c>
      <x:c r="N62" s="22">
        <x:v>21.0</x:v>
      </x:c>
      <x:c r="O62" s="22">
        <x:v>22.0</x:v>
      </x:c>
      <x:c r="P62" s="5"/>
      <x:c r="Q62" s="21">
        <x:v>21.0</x:v>
      </x:c>
      <x:c r="R62" s="21">
        <x:v>22.0</x:v>
      </x:c>
      <x:c r="S62" s="21">
        <x:v>23.0</x:v>
      </x:c>
      <x:c r="T62" s="21">
        <x:v>24.0</x:v>
      </x:c>
      <x:c r="U62" s="21">
        <x:v>25.0</x:v>
      </x:c>
      <x:c r="V62" s="22">
        <x:v>26.0</x:v>
      </x:c>
      <x:c r="W62" s="22">
        <x:v>27.0</x:v>
      </x:c>
    </x:row>
    <x:row r="63" ht="16.5" customHeight="1">
      <x:c r="A63" s="60"/>
      <x:c r="B63" s="60"/>
      <x:c r="C63" s="60"/>
      <x:c r="D63" s="60"/>
      <x:c r="E63" s="60"/>
      <x:c r="F63" s="24"/>
      <x:c r="G63" s="24"/>
      <x:c r="H63" s="5"/>
      <x:c r="I63" s="60"/>
      <x:c r="J63" s="60"/>
      <x:c r="K63" s="60"/>
      <x:c r="L63" s="60"/>
      <x:c r="M63" s="60"/>
      <x:c r="N63" s="24"/>
      <x:c r="O63" s="24"/>
      <x:c r="P63" s="5"/>
      <x:c r="Q63" s="60"/>
      <x:c r="R63" s="60"/>
      <x:c r="S63" s="60"/>
      <x:c r="T63" s="60"/>
      <x:c r="U63" s="60"/>
      <x:c r="V63" s="24"/>
      <x:c r="W63" s="24"/>
    </x:row>
    <x:row r="64" ht="16.5" customHeight="1">
      <x:c r="A64" s="21">
        <x:v>26.0</x:v>
      </x:c>
      <x:c r="B64" s="21">
        <x:v>27.0</x:v>
      </x:c>
      <x:c r="C64" s="21">
        <x:v>28.0</x:v>
      </x:c>
      <x:c r="D64" s="21">
        <x:v>29.0</x:v>
      </x:c>
      <x:c r="E64" s="21">
        <x:v>30.0</x:v>
      </x:c>
      <x:c r="F64" s="22">
        <x:v>31.0</x:v>
      </x:c>
      <x:c r="G64" s="5"/>
      <x:c r="H64" s="5"/>
      <x:c r="I64" s="21">
        <x:v>23.0</x:v>
      </x:c>
      <x:c r="J64" s="21">
        <x:v>24.0</x:v>
      </x:c>
      <x:c r="K64" s="21">
        <x:v>25.0</x:v>
      </x:c>
      <x:c r="L64" s="21">
        <x:v>26.0</x:v>
      </x:c>
      <x:c r="M64" s="21">
        <x:v>27.0</x:v>
      </x:c>
      <x:c r="N64" s="22">
        <x:v>28.0</x:v>
      </x:c>
      <x:c r="O64" s="22">
        <x:v>29.0</x:v>
      </x:c>
      <x:c r="P64" s="5"/>
      <x:c r="Q64" s="21">
        <x:v>28.0</x:v>
      </x:c>
      <x:c r="R64" s="21">
        <x:v>29.0</x:v>
      </x:c>
      <x:c r="S64" s="21">
        <x:v>30.0</x:v>
      </x:c>
      <x:c r="T64" s="21">
        <x:v>31.0</x:v>
      </x:c>
      <x:c r="U64" s="5"/>
      <x:c r="V64" s="5"/>
      <x:c r="W64" s="5"/>
    </x:row>
    <x:row r="65" ht="16.5" customHeight="1">
      <x:c r="A65" s="60"/>
      <x:c r="B65" s="60"/>
      <x:c r="C65" s="60"/>
      <x:c r="D65" s="60"/>
      <x:c r="E65" s="60"/>
      <x:c r="F65" s="24"/>
      <x:c r="G65" s="5"/>
      <x:c r="H65" s="5"/>
      <x:c r="I65" s="60"/>
      <x:c r="J65" s="60"/>
      <x:c r="K65" s="60"/>
      <x:c r="L65" s="60"/>
      <x:c r="M65" s="60"/>
      <x:c r="N65" s="24"/>
      <x:c r="O65" s="24"/>
      <x:c r="P65" s="5"/>
      <x:c r="Q65" s="60"/>
      <x:c r="R65" s="60"/>
      <x:c r="S65" s="60"/>
      <x:c r="T65" s="60"/>
      <x:c r="U65" s="5"/>
      <x:c r="V65" s="5"/>
      <x:c r="W65" s="5"/>
    </x:row>
    <x:row r="66" ht="16.5" customHeight="1">
      <x:c r="A66" s="5"/>
      <x:c r="B66" s="5"/>
      <x:c r="C66" s="5"/>
      <x:c r="D66" s="5"/>
      <x:c r="E66" s="5"/>
      <x:c r="F66" s="5"/>
      <x:c r="G66" s="5"/>
      <x:c r="H66" s="5"/>
      <x:c r="I66" s="21">
        <x:v>30.0</x:v>
      </x:c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</x:row>
    <x:row r="67" ht="16.5" customHeight="1">
      <x:c r="A67" s="5"/>
      <x:c r="B67" s="5"/>
      <x:c r="C67" s="5"/>
      <x:c r="D67" s="5"/>
      <x:c r="E67" s="5"/>
      <x:c r="F67" s="5"/>
      <x:c r="G67" s="5"/>
      <x:c r="H67" s="5"/>
      <x:c r="I67" s="60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</x:row>
    <x:row r="68" ht="16.5" customHeight="1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</x:row>
    <x:row r="69" ht="16.5" customHeight="1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</x:row>
    <x:row r="70" ht="16.5" customHeight="1">
      <x:c r="A70" s="92" t="s">
        <x:v>68</x:v>
      </x:c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</x:row>
    <x:row r="71" ht="16.5" customHeight="1">
      <x:c r="A71" s="19" t="s">
        <x:v>69</x:v>
      </x:c>
      <x:c r="B71" s="19" t="s">
        <x:v>1</x:v>
      </x:c>
      <x:c r="C71" s="19" t="s">
        <x:v>70</x:v>
      </x:c>
      <x:c r="D71" s="7"/>
      <x:c r="E71" s="7"/>
      <x:c r="F71" s="7"/>
      <x:c r="G71" s="7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</x:row>
    <x:row r="72" ht="16.5" customHeight="1">
      <x:c r="A72" s="94" t="n">
        <x:v>46050</x:v>
      </x:c>
      <x:c r="B72" s="95" t="n">
        <x:v>750</x:v>
      </x:c>
      <x:c r="C72" s="96" t="str">
        <x:v>Aportacion demo</x:v>
      </x:c>
      <x:c r="D72" s="7"/>
      <x:c r="E72" s="7"/>
      <x:c r="F72" s="7"/>
      <x:c r="G72" s="7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</x:row>
    <x:row r="73" ht="16.5" customHeight="1">
      <x:c r="A73" s="94" t="n">
        <x:v>46090</x:v>
      </x:c>
      <x:c r="B73" s="95" t="n">
        <x:v>-300</x:v>
      </x:c>
      <x:c r="C73" s="96" t="str">
        <x:v>Reintegro demo</x:v>
      </x:c>
      <x:c r="D73" s="7"/>
      <x:c r="E73" s="7"/>
      <x:c r="F73" s="7"/>
      <x:c r="G73" s="7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</x:row>
    <x:row r="74" ht="16.5" customHeight="1">
      <x:c r="A74" s="94" t="n">
        <x:v>46120</x:v>
      </x:c>
      <x:c r="B74" s="95" t="n">
        <x:v>1200</x:v>
      </x:c>
      <x:c r="C74" s="96" t="str">
        <x:v>Aportacion demo</x:v>
      </x:c>
      <x:c r="D74" s="7"/>
      <x:c r="E74" s="7"/>
      <x:c r="F74" s="7"/>
      <x:c r="G74" s="7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</x:row>
    <x:row r="75" ht="16.5" customHeight="1">
      <x:c r="A75" s="94"/>
      <x:c r="B75" s="95"/>
      <x:c r="C75" s="96"/>
      <x:c r="D75" s="7"/>
      <x:c r="E75" s="7"/>
      <x:c r="F75" s="7"/>
      <x:c r="G75" s="7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</x:row>
    <x:row r="76" ht="16.5" customHeight="1">
      <x:c r="A76" s="94"/>
      <x:c r="B76" s="95"/>
      <x:c r="C76" s="96"/>
      <x:c r="D76" s="7"/>
      <x:c r="E76" s="7"/>
      <x:c r="F76" s="7"/>
      <x:c r="G76" s="7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</x:row>
    <x:row r="77" ht="16.5" customHeight="1">
      <x:c r="A77" s="94"/>
      <x:c r="B77" s="95"/>
      <x:c r="C77" s="96"/>
      <x:c r="D77" s="7"/>
      <x:c r="E77" s="7"/>
      <x:c r="F77" s="7"/>
      <x:c r="G77" s="7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</x:row>
    <x:row r="78" ht="16.5" customHeight="1">
      <x:c r="A78" s="94"/>
      <x:c r="B78" s="95"/>
      <x:c r="C78" s="96"/>
      <x:c r="D78" s="7"/>
      <x:c r="E78" s="7"/>
      <x:c r="F78" s="7"/>
      <x:c r="G78" s="7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</x:row>
    <x:row r="79" ht="16.5" customHeight="1">
      <x:c r="A79" s="94"/>
      <x:c r="B79" s="95"/>
      <x:c r="C79" s="96"/>
      <x:c r="D79" s="7"/>
      <x:c r="E79" s="7"/>
      <x:c r="F79" s="7"/>
      <x:c r="G79" s="7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</x:row>
    <x:row r="80" ht="16.5" customHeight="1">
      <x:c r="A80" s="94"/>
      <x:c r="B80" s="95"/>
      <x:c r="C80" s="96"/>
      <x:c r="D80" s="7"/>
      <x:c r="E80" s="7"/>
      <x:c r="F80" s="7"/>
      <x:c r="G80" s="7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</x:row>
    <x:row r="81" ht="16.5" customHeight="1">
      <x:c r="A81" s="94"/>
      <x:c r="B81" s="95"/>
      <x:c r="C81" s="96"/>
      <x:c r="D81" s="7"/>
      <x:c r="E81" s="7"/>
      <x:c r="F81" s="7"/>
      <x:c r="G81" s="7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</x:row>
    <x:row r="82" ht="16.5" customHeight="1">
      <x:c r="A82" s="94"/>
      <x:c r="B82" s="95"/>
      <x:c r="C82" s="96"/>
      <x:c r="D82" s="7"/>
      <x:c r="E82" s="7"/>
      <x:c r="F82" s="7"/>
      <x:c r="G82" s="7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</x:row>
    <x:row r="83" ht="16.5" customHeight="1">
      <x:c r="A83" s="94"/>
      <x:c r="B83" s="95"/>
      <x:c r="C83" s="96"/>
      <x:c r="D83" s="7"/>
      <x:c r="E83" s="7"/>
      <x:c r="F83" s="7"/>
      <x:c r="G83" s="7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</x:row>
    <x:row r="84" ht="16.5" customHeight="1">
      <x:c r="A84" s="94"/>
      <x:c r="B84" s="95"/>
      <x:c r="C84" s="96"/>
      <x:c r="D84" s="7"/>
      <x:c r="E84" s="7"/>
      <x:c r="F84" s="7"/>
      <x:c r="G84" s="7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</x:row>
    <x:row r="85" ht="16.5" customHeight="1">
      <x:c r="A85" s="94"/>
      <x:c r="B85" s="95"/>
      <x:c r="C85" s="96"/>
      <x:c r="D85" s="7"/>
      <x:c r="E85" s="7"/>
      <x:c r="F85" s="7"/>
      <x:c r="G85" s="7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</x:row>
    <x:row r="86" ht="16.5" customHeight="1">
      <x:c r="A86" s="94"/>
      <x:c r="B86" s="95"/>
      <x:c r="C86" s="96"/>
      <x:c r="D86" s="7"/>
      <x:c r="E86" s="7"/>
      <x:c r="F86" s="7"/>
      <x:c r="G86" s="7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</x:row>
    <x:row r="87" ht="16.5" customHeight="1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</x:row>
    <x:row r="88" ht="16.5" customHeight="1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</x:row>
    <x:row r="89" ht="16.5" customHeight="1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</x:row>
    <x:row r="90" ht="16.5" customHeight="1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</x:row>
    <x:row r="91" ht="16.5" customHeight="1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</x:row>
    <x:row r="92" ht="16.5" customHeight="1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</x:row>
    <x:row r="93" ht="16.5" customHeight="1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</x:row>
    <x:row r="94" ht="16.5" customHeight="1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</x:row>
    <x:row r="95" ht="16.5" customHeight="1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</x:row>
    <x:row r="96" ht="16.5" customHeight="1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</x:row>
    <x:row r="97" ht="16.5" customHeight="1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</x:row>
    <x:row r="98" ht="16.5" customHeight="1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</x:row>
    <x:row r="99" ht="16.5" customHeight="1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</x:row>
    <x:row r="100" ht="16.5" customHeight="1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</x:row>
    <x:row r="101" ht="16.5" customHeight="1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</x:row>
    <x:row r="102" ht="16.5" customHeight="1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</x:row>
    <x:row r="103" ht="16.5" customHeight="1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</x:row>
    <x:row r="104" ht="16.5" customHeight="1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</x:row>
    <x:row r="105" ht="16.5" customHeight="1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</x:row>
    <x:row r="106" ht="16.5" customHeight="1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</x:row>
    <x:row r="107" ht="16.5" customHeight="1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</x:row>
    <x:row r="108" ht="16.5" customHeight="1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</x:row>
    <x:row r="109" ht="16.5" customHeight="1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</x:row>
    <x:row r="110" ht="16.5" customHeight="1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</x:row>
    <x:row r="111" ht="16.5" customHeight="1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</x:row>
    <x:row r="112" ht="16.5" customHeight="1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</x:row>
    <x:row r="113" ht="16.5" customHeight="1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</x:row>
    <x:row r="114" ht="16.5" customHeight="1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</x:row>
    <x:row r="115" ht="16.5" customHeight="1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</x:row>
    <x:row r="116" ht="16.5" customHeight="1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</x:row>
    <x:row r="117" ht="16.5" customHeight="1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</x:row>
    <x:row r="118" ht="16.5" customHeight="1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</x:row>
    <x:row r="119" ht="16.5" customHeight="1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</x:row>
    <x:row r="120" ht="16.5" customHeight="1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</x:row>
    <x:row r="121" ht="16.5" customHeight="1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</x:row>
    <x:row r="122" ht="16.5" customHeight="1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</x:row>
    <x:row r="123" ht="16.5" customHeight="1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</x:row>
    <x:row r="124" ht="16.5" customHeight="1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</x:row>
    <x:row r="125" ht="16.5" customHeight="1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</x:row>
  </x:sheetData>
  <x:mergeCells>
    <x:mergeCell ref="Q2:T2"/>
    <x:mergeCell ref="Q3:T3"/>
    <x:mergeCell ref="I3:L3"/>
    <x:mergeCell ref="I4:W4"/>
    <x:mergeCell ref="A1:W1"/>
    <x:mergeCell ref="A2:G4"/>
    <x:mergeCell ref="I2:L2"/>
    <x:mergeCell ref="M2:O2"/>
    <x:mergeCell ref="U2:W2"/>
    <x:mergeCell ref="M3:O3"/>
    <x:mergeCell ref="U3:W3"/>
    <x:mergeCell ref="I38:O38"/>
    <x:mergeCell ref="Q38:W38"/>
    <x:mergeCell ref="A6:G6"/>
    <x:mergeCell ref="I6:O6"/>
    <x:mergeCell ref="Q6:W6"/>
    <x:mergeCell ref="A22:G22"/>
    <x:mergeCell ref="I22:O22"/>
    <x:mergeCell ref="Q22:W22"/>
    <x:mergeCell ref="A38:G38"/>
    <x:mergeCell ref="A54:G54"/>
    <x:mergeCell ref="I54:O54"/>
    <x:mergeCell ref="Q54:W54"/>
    <x:mergeCell ref="A70:G70"/>
    <x:mergeCell ref="C71:G71"/>
    <x:mergeCell ref="C72:G72"/>
    <x:mergeCell ref="C73:G73"/>
    <x:mergeCell ref="C81:G81"/>
    <x:mergeCell ref="C82:G82"/>
    <x:mergeCell ref="C83:G83"/>
    <x:mergeCell ref="C84:G84"/>
    <x:mergeCell ref="C85:G85"/>
    <x:mergeCell ref="C86:G86"/>
    <x:mergeCell ref="C74:G74"/>
    <x:mergeCell ref="C75:G75"/>
    <x:mergeCell ref="C76:G76"/>
    <x:mergeCell ref="C77:G77"/>
    <x:mergeCell ref="C78:G78"/>
    <x:mergeCell ref="C79:G79"/>
    <x:mergeCell ref="C80:G80"/>
  </x:mergeCells>
  <x:dataValidations count="3">
    <x:dataValidation type="custom" allowBlank="1" showErrorMessage="1" sqref="A72:A86">
      <x:formula1>OR(NOT(ISERROR(DATEVALUE(A72))), AND(ISNUMBER(A72), LEFT(CELL("format", A72))="D"))</x:formula1>
    </x:dataValidation>
    <x:dataValidation type="decimal" operator="greaterThan" allowBlank="1" showErrorMessage="1" sqref="R41:U41 E43 I43:M43 Q43:U43 A45:E45 I45:M45 Q45:U45 A47:E47 I47:M47 Q47:U47 A49:E49 I49:M49 Q49:S49 I51 D57:E57 R57:U57 A59:E59 I59:M59 Q59:U59 A61:E61 I61:M61 Q61:U61 A63:E63 I63:M63 Q63:U63 A65:E65 I65:M65 Q65:T65 I67">
      <x:formula1>0.0</x:formula1>
    </x:dataValidation>
    <x:dataValidation type="decimal" allowBlank="1" showErrorMessage="1" sqref="B72:B86">
      <x:formula1>-1.0E9</x:formula1>
      <x:formula2>1.0E9</x:formula2>
    </x:dataValidation>
  </x:dataValidations>
  <x:pageMargins left="0.7" right="0.7" top="0.75" bottom="0.75" header="0.3" footer="0.3"/>
  <x:legacyDrawing xmlns:r="http://schemas.openxmlformats.org/officeDocument/2006/relationships" r:id="R39236ded5cab4cca"/>
</x:worksheet>
</file>

<file path=xl/worksheets/sheet5.xml><?xml version="1.0" encoding="utf-8"?>
<x:worksheet xmlns:x="http://schemas.openxmlformats.org/spreadsheetml/2006/main">
  <x:sheetPr>
    <x:tabColor rgb="FF727F8C"/>
  </x:sheetPr>
  <x:sheetViews>
    <x:sheetView showGridLines="0" workbookViewId="0"/>
  </x:sheetViews>
  <x:sheetFormatPr defaultColWidth="12.630000114440918" defaultRowHeight="15"/>
  <x:cols>
    <x:col min="1" max="1" width="12.630000114440918" customWidth="1"/>
    <x:col min="2" max="4" width="15.75" customWidth="1"/>
    <x:col min="5" max="5" width="18.25" customWidth="1"/>
  </x:cols>
  <x:sheetData>
    <x:row r="1">
      <x:c r="A1" s="114" t="s">
        <x:v>69</x:v>
      </x:c>
      <x:c r="B1" s="114" t="s">
        <x:v>71</x:v>
      </x:c>
      <x:c r="C1" s="114" t="s">
        <x:v>72</x:v>
      </x:c>
      <x:c r="D1" s="114" t="s">
        <x:v>73</x:v>
      </x:c>
      <x:c r="E1" s="114" t="s">
        <x:v>74</x:v>
      </x:c>
    </x:row>
    <x:row r="2">
      <x:c r="A2" s="115">
        <x:v>46023.0</x:v>
      </x:c>
      <x:c r="B2" s="116" t="str">
        <x:f>IF(Calendario!D9="","",Calendario!D9)</x:f>
      </x:c>
      <x:c r="C2" s="116" t="n">
        <x:f>SUMIF(Calendario!$A$72:$A$86,A2,Calendario!$B$72:$B$86)</x:f>
        <x:v>0</x:v>
      </x:c>
      <x:c r="D2" s="117" t="str">
        <x:f t="shared" ref="D2:D366" si="1">IF(OR(E2&lt;&gt;"Diario",B2=""),"",IFERROR(TRUNC(((B2-C2)/LOOKUP(2,1/(B1:B$2&lt;&gt;""),B1:B$2)-1)*100,4),""))</x:f>
      </x:c>
      <x:c r="E2" s="118" t="str">
        <x:f t="shared" ref="E2:E366" si="2">IF(B2="","",IF(OR(A2=DATE(2026,1,30),A2=DATE(2026,2,27),A2=DATE(2026,3,31),A2=DATE(2026,4,30),A2=DATE(2026,5,29),A2=DATE(2026,6,30)),"Histórico mensual",IF(A2=DATE(2026,7,9),"Base diaria",IF(WEEKDAY(A2,2)&gt;5,"Fin de semana","Diario"))))</x:f>
      </x:c>
    </x:row>
    <x:row r="3">
      <x:c r="A3" s="115">
        <x:v>46024.0</x:v>
      </x:c>
      <x:c r="B3" s="116" t="str">
        <x:f>IF(Calendario!E9="","",Calendario!E9)</x:f>
      </x:c>
      <x:c r="C3" s="116" t="n">
        <x:f>SUMIF(Calendario!$A$72:$A$86,A3,Calendario!$B$72:$B$86)</x:f>
        <x:v>0</x:v>
      </x:c>
      <x:c r="D3" s="117" t="str">
        <x:f t="shared" si="1"/>
      </x:c>
      <x:c r="E3" s="118" t="str">
        <x:f t="shared" si="2"/>
      </x:c>
    </x:row>
    <x:row r="4">
      <x:c r="A4" s="115">
        <x:v>46025.0</x:v>
      </x:c>
      <x:c r="B4" s="116" t="str">
        <x:f>IF(Calendario!F9="","",Calendario!F9)</x:f>
      </x:c>
      <x:c r="C4" s="116" t="n">
        <x:f>SUMIF(Calendario!$A$72:$A$86,A4,Calendario!$B$72:$B$86)</x:f>
        <x:v>0</x:v>
      </x:c>
      <x:c r="D4" s="117" t="str">
        <x:f t="shared" si="1"/>
      </x:c>
      <x:c r="E4" s="118" t="str">
        <x:f t="shared" si="2"/>
      </x:c>
    </x:row>
    <x:row r="5">
      <x:c r="A5" s="115">
        <x:v>46026.0</x:v>
      </x:c>
      <x:c r="B5" s="116" t="str">
        <x:f>IF(Calendario!G9="","",Calendario!G9)</x:f>
      </x:c>
      <x:c r="C5" s="116" t="n">
        <x:f>SUMIF(Calendario!$A$72:$A$86,A5,Calendario!$B$72:$B$86)</x:f>
        <x:v>0</x:v>
      </x:c>
      <x:c r="D5" s="117" t="str">
        <x:f t="shared" si="1"/>
      </x:c>
      <x:c r="E5" s="118" t="str">
        <x:f t="shared" si="2"/>
      </x:c>
    </x:row>
    <x:row r="6">
      <x:c r="A6" s="115">
        <x:v>46027.0</x:v>
      </x:c>
      <x:c r="B6" s="116" t="str">
        <x:f>IF(Calendario!A11="","",Calendario!A11)</x:f>
      </x:c>
      <x:c r="C6" s="116" t="n">
        <x:f>SUMIF(Calendario!$A$72:$A$86,A6,Calendario!$B$72:$B$86)</x:f>
        <x:v>0</x:v>
      </x:c>
      <x:c r="D6" s="117" t="str">
        <x:f t="shared" si="1"/>
      </x:c>
      <x:c r="E6" s="118" t="str">
        <x:f t="shared" si="2"/>
      </x:c>
    </x:row>
    <x:row r="7">
      <x:c r="A7" s="115">
        <x:v>46028.0</x:v>
      </x:c>
      <x:c r="B7" s="116" t="str">
        <x:f>IF(Calendario!B11="","",Calendario!B11)</x:f>
      </x:c>
      <x:c r="C7" s="116" t="n">
        <x:f>SUMIF(Calendario!$A$72:$A$86,A7,Calendario!$B$72:$B$86)</x:f>
        <x:v>0</x:v>
      </x:c>
      <x:c r="D7" s="117" t="str">
        <x:f t="shared" si="1"/>
      </x:c>
      <x:c r="E7" s="118" t="str">
        <x:f t="shared" si="2"/>
      </x:c>
    </x:row>
    <x:row r="8">
      <x:c r="A8" s="115">
        <x:v>46029.0</x:v>
      </x:c>
      <x:c r="B8" s="116" t="str">
        <x:f>IF(Calendario!C11="","",Calendario!C11)</x:f>
      </x:c>
      <x:c r="C8" s="116" t="n">
        <x:f>SUMIF(Calendario!$A$72:$A$86,A8,Calendario!$B$72:$B$86)</x:f>
        <x:v>0</x:v>
      </x:c>
      <x:c r="D8" s="117" t="str">
        <x:f t="shared" si="1"/>
      </x:c>
      <x:c r="E8" s="118" t="str">
        <x:f t="shared" si="2"/>
      </x:c>
    </x:row>
    <x:row r="9">
      <x:c r="A9" s="115">
        <x:v>46030.0</x:v>
      </x:c>
      <x:c r="B9" s="116" t="str">
        <x:f>IF(Calendario!D11="","",Calendario!D11)</x:f>
      </x:c>
      <x:c r="C9" s="116" t="n">
        <x:f>SUMIF(Calendario!$A$72:$A$86,A9,Calendario!$B$72:$B$86)</x:f>
        <x:v>0</x:v>
      </x:c>
      <x:c r="D9" s="117" t="str">
        <x:f t="shared" si="1"/>
      </x:c>
      <x:c r="E9" s="118" t="str">
        <x:f t="shared" si="2"/>
      </x:c>
    </x:row>
    <x:row r="10">
      <x:c r="A10" s="115">
        <x:v>46031.0</x:v>
      </x:c>
      <x:c r="B10" s="116" t="str">
        <x:f>IF(Calendario!E11="","",Calendario!E11)</x:f>
      </x:c>
      <x:c r="C10" s="116" t="n">
        <x:f>SUMIF(Calendario!$A$72:$A$86,A10,Calendario!$B$72:$B$86)</x:f>
        <x:v>0</x:v>
      </x:c>
      <x:c r="D10" s="117" t="str">
        <x:f t="shared" si="1"/>
      </x:c>
      <x:c r="E10" s="118" t="str">
        <x:f t="shared" si="2"/>
      </x:c>
    </x:row>
    <x:row r="11">
      <x:c r="A11" s="115">
        <x:v>46032.0</x:v>
      </x:c>
      <x:c r="B11" s="116" t="str">
        <x:f>IF(Calendario!F11="","",Calendario!F11)</x:f>
      </x:c>
      <x:c r="C11" s="116" t="n">
        <x:f>SUMIF(Calendario!$A$72:$A$86,A11,Calendario!$B$72:$B$86)</x:f>
        <x:v>0</x:v>
      </x:c>
      <x:c r="D11" s="117" t="str">
        <x:f t="shared" si="1"/>
      </x:c>
      <x:c r="E11" s="118" t="str">
        <x:f t="shared" si="2"/>
      </x:c>
    </x:row>
    <x:row r="12">
      <x:c r="A12" s="115">
        <x:v>46033.0</x:v>
      </x:c>
      <x:c r="B12" s="116" t="str">
        <x:f>IF(Calendario!G11="","",Calendario!G11)</x:f>
      </x:c>
      <x:c r="C12" s="116" t="n">
        <x:f>SUMIF(Calendario!$A$72:$A$86,A12,Calendario!$B$72:$B$86)</x:f>
        <x:v>0</x:v>
      </x:c>
      <x:c r="D12" s="117" t="str">
        <x:f t="shared" si="1"/>
      </x:c>
      <x:c r="E12" s="118" t="str">
        <x:f t="shared" si="2"/>
      </x:c>
    </x:row>
    <x:row r="13">
      <x:c r="A13" s="115">
        <x:v>46034.0</x:v>
      </x:c>
      <x:c r="B13" s="116" t="str">
        <x:f>IF(Calendario!A13="","",Calendario!A13)</x:f>
      </x:c>
      <x:c r="C13" s="116" t="n">
        <x:f>SUMIF(Calendario!$A$72:$A$86,A13,Calendario!$B$72:$B$86)</x:f>
        <x:v>0</x:v>
      </x:c>
      <x:c r="D13" s="117" t="str">
        <x:f t="shared" si="1"/>
      </x:c>
      <x:c r="E13" s="118" t="str">
        <x:f t="shared" si="2"/>
      </x:c>
    </x:row>
    <x:row r="14">
      <x:c r="A14" s="115">
        <x:v>46035.0</x:v>
      </x:c>
      <x:c r="B14" s="116" t="str">
        <x:f>IF(Calendario!B13="","",Calendario!B13)</x:f>
      </x:c>
      <x:c r="C14" s="116" t="n">
        <x:f>SUMIF(Calendario!$A$72:$A$86,A14,Calendario!$B$72:$B$86)</x:f>
        <x:v>0</x:v>
      </x:c>
      <x:c r="D14" s="117" t="str">
        <x:f t="shared" si="1"/>
      </x:c>
      <x:c r="E14" s="118" t="str">
        <x:f t="shared" si="2"/>
      </x:c>
    </x:row>
    <x:row r="15">
      <x:c r="A15" s="115">
        <x:v>46036.0</x:v>
      </x:c>
      <x:c r="B15" s="116" t="str">
        <x:f>IF(Calendario!C13="","",Calendario!C13)</x:f>
      </x:c>
      <x:c r="C15" s="116" t="n">
        <x:f>SUMIF(Calendario!$A$72:$A$86,A15,Calendario!$B$72:$B$86)</x:f>
        <x:v>0</x:v>
      </x:c>
      <x:c r="D15" s="117" t="str">
        <x:f t="shared" si="1"/>
      </x:c>
      <x:c r="E15" s="118" t="str">
        <x:f t="shared" si="2"/>
      </x:c>
    </x:row>
    <x:row r="16">
      <x:c r="A16" s="115">
        <x:v>46037.0</x:v>
      </x:c>
      <x:c r="B16" s="116" t="str">
        <x:f>IF(Calendario!D13="","",Calendario!D13)</x:f>
      </x:c>
      <x:c r="C16" s="116" t="n">
        <x:f>SUMIF(Calendario!$A$72:$A$86,A16,Calendario!$B$72:$B$86)</x:f>
        <x:v>0</x:v>
      </x:c>
      <x:c r="D16" s="117" t="str">
        <x:f t="shared" si="1"/>
      </x:c>
      <x:c r="E16" s="118" t="str">
        <x:f t="shared" si="2"/>
      </x:c>
    </x:row>
    <x:row r="17">
      <x:c r="A17" s="115">
        <x:v>46038.0</x:v>
      </x:c>
      <x:c r="B17" s="116" t="str">
        <x:f>IF(Calendario!E13="","",Calendario!E13)</x:f>
      </x:c>
      <x:c r="C17" s="116" t="n">
        <x:f>SUMIF(Calendario!$A$72:$A$86,A17,Calendario!$B$72:$B$86)</x:f>
        <x:v>0</x:v>
      </x:c>
      <x:c r="D17" s="117" t="str">
        <x:f t="shared" si="1"/>
      </x:c>
      <x:c r="E17" s="118" t="str">
        <x:f t="shared" si="2"/>
      </x:c>
    </x:row>
    <x:row r="18">
      <x:c r="A18" s="115">
        <x:v>46039.0</x:v>
      </x:c>
      <x:c r="B18" s="116" t="str">
        <x:f>IF(Calendario!F13="","",Calendario!F13)</x:f>
      </x:c>
      <x:c r="C18" s="116" t="n">
        <x:f>SUMIF(Calendario!$A$72:$A$86,A18,Calendario!$B$72:$B$86)</x:f>
        <x:v>0</x:v>
      </x:c>
      <x:c r="D18" s="117" t="str">
        <x:f t="shared" si="1"/>
      </x:c>
      <x:c r="E18" s="118" t="str">
        <x:f t="shared" si="2"/>
      </x:c>
    </x:row>
    <x:row r="19">
      <x:c r="A19" s="115">
        <x:v>46040.0</x:v>
      </x:c>
      <x:c r="B19" s="116" t="str">
        <x:f>IF(Calendario!G13="","",Calendario!G13)</x:f>
      </x:c>
      <x:c r="C19" s="116" t="n">
        <x:f>SUMIF(Calendario!$A$72:$A$86,A19,Calendario!$B$72:$B$86)</x:f>
        <x:v>0</x:v>
      </x:c>
      <x:c r="D19" s="117" t="str">
        <x:f t="shared" si="1"/>
      </x:c>
      <x:c r="E19" s="118" t="str">
        <x:f t="shared" si="2"/>
      </x:c>
    </x:row>
    <x:row r="20">
      <x:c r="A20" s="115">
        <x:v>46041.0</x:v>
      </x:c>
      <x:c r="B20" s="116" t="str">
        <x:f>IF(Calendario!A15="","",Calendario!A15)</x:f>
      </x:c>
      <x:c r="C20" s="116" t="n">
        <x:f>SUMIF(Calendario!$A$72:$A$86,A20,Calendario!$B$72:$B$86)</x:f>
        <x:v>0</x:v>
      </x:c>
      <x:c r="D20" s="117" t="str">
        <x:f t="shared" si="1"/>
      </x:c>
      <x:c r="E20" s="118" t="str">
        <x:f t="shared" si="2"/>
      </x:c>
    </x:row>
    <x:row r="21">
      <x:c r="A21" s="115">
        <x:v>46042.0</x:v>
      </x:c>
      <x:c r="B21" s="116" t="str">
        <x:f>IF(Calendario!B15="","",Calendario!B15)</x:f>
      </x:c>
      <x:c r="C21" s="116" t="n">
        <x:f>SUMIF(Calendario!$A$72:$A$86,A21,Calendario!$B$72:$B$86)</x:f>
        <x:v>0</x:v>
      </x:c>
      <x:c r="D21" s="117" t="str">
        <x:f t="shared" si="1"/>
      </x:c>
      <x:c r="E21" s="118" t="str">
        <x:f t="shared" si="2"/>
      </x:c>
    </x:row>
    <x:row r="22">
      <x:c r="A22" s="115">
        <x:v>46043.0</x:v>
      </x:c>
      <x:c r="B22" s="116" t="str">
        <x:f>IF(Calendario!C15="","",Calendario!C15)</x:f>
      </x:c>
      <x:c r="C22" s="116" t="n">
        <x:f>SUMIF(Calendario!$A$72:$A$86,A22,Calendario!$B$72:$B$86)</x:f>
        <x:v>0</x:v>
      </x:c>
      <x:c r="D22" s="117" t="str">
        <x:f t="shared" si="1"/>
      </x:c>
      <x:c r="E22" s="118" t="str">
        <x:f t="shared" si="2"/>
      </x:c>
    </x:row>
    <x:row r="23">
      <x:c r="A23" s="115">
        <x:v>46044.0</x:v>
      </x:c>
      <x:c r="B23" s="116" t="str">
        <x:f>IF(Calendario!D15="","",Calendario!D15)</x:f>
      </x:c>
      <x:c r="C23" s="116" t="n">
        <x:f>SUMIF(Calendario!$A$72:$A$86,A23,Calendario!$B$72:$B$86)</x:f>
        <x:v>0</x:v>
      </x:c>
      <x:c r="D23" s="117" t="str">
        <x:f t="shared" si="1"/>
      </x:c>
      <x:c r="E23" s="118" t="str">
        <x:f t="shared" si="2"/>
      </x:c>
    </x:row>
    <x:row r="24">
      <x:c r="A24" s="115">
        <x:v>46045.0</x:v>
      </x:c>
      <x:c r="B24" s="116" t="str">
        <x:f>IF(Calendario!E15="","",Calendario!E15)</x:f>
      </x:c>
      <x:c r="C24" s="116" t="n">
        <x:f>SUMIF(Calendario!$A$72:$A$86,A24,Calendario!$B$72:$B$86)</x:f>
        <x:v>0</x:v>
      </x:c>
      <x:c r="D24" s="117" t="str">
        <x:f t="shared" si="1"/>
      </x:c>
      <x:c r="E24" s="118" t="str">
        <x:f t="shared" si="2"/>
      </x:c>
    </x:row>
    <x:row r="25">
      <x:c r="A25" s="115">
        <x:v>46046.0</x:v>
      </x:c>
      <x:c r="B25" s="116" t="str">
        <x:f>IF(Calendario!F15="","",Calendario!F15)</x:f>
      </x:c>
      <x:c r="C25" s="116" t="n">
        <x:f>SUMIF(Calendario!$A$72:$A$86,A25,Calendario!$B$72:$B$86)</x:f>
        <x:v>0</x:v>
      </x:c>
      <x:c r="D25" s="117" t="str">
        <x:f t="shared" si="1"/>
      </x:c>
      <x:c r="E25" s="118" t="str">
        <x:f t="shared" si="2"/>
      </x:c>
    </x:row>
    <x:row r="26">
      <x:c r="A26" s="115">
        <x:v>46047.0</x:v>
      </x:c>
      <x:c r="B26" s="116" t="str">
        <x:f>IF(Calendario!G15="","",Calendario!G15)</x:f>
      </x:c>
      <x:c r="C26" s="116" t="n">
        <x:f>SUMIF(Calendario!$A$72:$A$86,A26,Calendario!$B$72:$B$86)</x:f>
        <x:v>0</x:v>
      </x:c>
      <x:c r="D26" s="117" t="str">
        <x:f t="shared" si="1"/>
      </x:c>
      <x:c r="E26" s="118" t="str">
        <x:f t="shared" si="2"/>
      </x:c>
    </x:row>
    <x:row r="27">
      <x:c r="A27" s="115">
        <x:v>46048.0</x:v>
      </x:c>
      <x:c r="B27" s="116" t="str">
        <x:f>IF(Calendario!A17="","",Calendario!A17)</x:f>
      </x:c>
      <x:c r="C27" s="116" t="n">
        <x:f>SUMIF(Calendario!$A$72:$A$86,A27,Calendario!$B$72:$B$86)</x:f>
        <x:v>0</x:v>
      </x:c>
      <x:c r="D27" s="117" t="str">
        <x:f t="shared" si="1"/>
      </x:c>
      <x:c r="E27" s="118" t="str">
        <x:f t="shared" si="2"/>
      </x:c>
    </x:row>
    <x:row r="28">
      <x:c r="A28" s="115">
        <x:v>46049.0</x:v>
      </x:c>
      <x:c r="B28" s="116" t="str">
        <x:f>IF(Calendario!B17="","",Calendario!B17)</x:f>
      </x:c>
      <x:c r="C28" s="116" t="n">
        <x:f>SUMIF(Calendario!$A$72:$A$86,A28,Calendario!$B$72:$B$86)</x:f>
        <x:v>0</x:v>
      </x:c>
      <x:c r="D28" s="117" t="str">
        <x:f t="shared" si="1"/>
      </x:c>
      <x:c r="E28" s="118" t="str">
        <x:f t="shared" si="2"/>
      </x:c>
    </x:row>
    <x:row r="29">
      <x:c r="A29" s="115">
        <x:v>46050.0</x:v>
      </x:c>
      <x:c r="B29" s="116" t="str">
        <x:f>IF(Calendario!C17="","",Calendario!C17)</x:f>
      </x:c>
      <x:c r="C29" s="116" t="n">
        <x:f>SUMIF(Calendario!$A$72:$A$86,A29,Calendario!$B$72:$B$86)</x:f>
        <x:v>750</x:v>
      </x:c>
      <x:c r="D29" s="117" t="str">
        <x:f t="shared" si="1"/>
      </x:c>
      <x:c r="E29" s="118" t="str">
        <x:f t="shared" si="2"/>
      </x:c>
    </x:row>
    <x:row r="30">
      <x:c r="A30" s="115">
        <x:v>46051.0</x:v>
      </x:c>
      <x:c r="B30" s="116" t="str">
        <x:f>IF(Calendario!D17="","",Calendario!D17)</x:f>
      </x:c>
      <x:c r="C30" s="116" t="n">
        <x:f>SUMIF(Calendario!$A$72:$A$86,A30,Calendario!$B$72:$B$86)</x:f>
        <x:v>0</x:v>
      </x:c>
      <x:c r="D30" s="117" t="str">
        <x:f t="shared" si="1"/>
      </x:c>
      <x:c r="E30" s="118" t="str">
        <x:f t="shared" si="2"/>
      </x:c>
    </x:row>
    <x:row r="31">
      <x:c r="A31" s="115">
        <x:v>46052.0</x:v>
      </x:c>
      <x:c r="B31" s="116" t="n">
        <x:f>IF(Calendario!E17="","",Calendario!E17)</x:f>
        <x:v>29604.76</x:v>
      </x:c>
      <x:c r="C31" s="116" t="n">
        <x:f>SUMIF(Calendario!$A$72:$A$86,A31,Calendario!$B$72:$B$86)</x:f>
        <x:v>0</x:v>
      </x:c>
      <x:c r="D31" s="117" t="str">
        <x:f t="shared" si="1"/>
      </x:c>
      <x:c r="E31" s="118" t="str">
        <x:f t="shared" si="2"/>
        <x:v>Histórico mensual</x:v>
      </x:c>
    </x:row>
    <x:row r="32">
      <x:c r="A32" s="115">
        <x:v>46053.0</x:v>
      </x:c>
      <x:c r="B32" s="116" t="str">
        <x:f>IF(Calendario!F17="","",Calendario!F17)</x:f>
      </x:c>
      <x:c r="C32" s="116" t="n">
        <x:f>SUMIF(Calendario!$A$72:$A$86,A32,Calendario!$B$72:$B$86)</x:f>
        <x:v>0</x:v>
      </x:c>
      <x:c r="D32" s="117" t="str">
        <x:f t="shared" si="1"/>
      </x:c>
      <x:c r="E32" s="118" t="str">
        <x:f t="shared" si="2"/>
      </x:c>
    </x:row>
    <x:row r="33">
      <x:c r="A33" s="115">
        <x:v>46054.0</x:v>
      </x:c>
      <x:c r="B33" s="116" t="str">
        <x:f>IF(Calendario!O9="","",Calendario!O9)</x:f>
      </x:c>
      <x:c r="C33" s="116" t="n">
        <x:f>SUMIF(Calendario!$A$72:$A$86,A33,Calendario!$B$72:$B$86)</x:f>
        <x:v>0</x:v>
      </x:c>
      <x:c r="D33" s="117" t="str">
        <x:f t="shared" si="1"/>
      </x:c>
      <x:c r="E33" s="118" t="str">
        <x:f t="shared" si="2"/>
      </x:c>
    </x:row>
    <x:row r="34">
      <x:c r="A34" s="115">
        <x:v>46055.0</x:v>
      </x:c>
      <x:c r="B34" s="116" t="str">
        <x:f>IF(Calendario!I11="","",Calendario!I11)</x:f>
      </x:c>
      <x:c r="C34" s="116" t="n">
        <x:f>SUMIF(Calendario!$A$72:$A$86,A34,Calendario!$B$72:$B$86)</x:f>
        <x:v>0</x:v>
      </x:c>
      <x:c r="D34" s="117" t="str">
        <x:f t="shared" si="1"/>
      </x:c>
      <x:c r="E34" s="118" t="str">
        <x:f t="shared" si="2"/>
      </x:c>
    </x:row>
    <x:row r="35">
      <x:c r="A35" s="115">
        <x:v>46056.0</x:v>
      </x:c>
      <x:c r="B35" s="116" t="str">
        <x:f>IF(Calendario!J11="","",Calendario!J11)</x:f>
      </x:c>
      <x:c r="C35" s="116" t="n">
        <x:f>SUMIF(Calendario!$A$72:$A$86,A35,Calendario!$B$72:$B$86)</x:f>
        <x:v>0</x:v>
      </x:c>
      <x:c r="D35" s="117" t="str">
        <x:f t="shared" si="1"/>
      </x:c>
      <x:c r="E35" s="118" t="str">
        <x:f t="shared" si="2"/>
      </x:c>
    </x:row>
    <x:row r="36">
      <x:c r="A36" s="115">
        <x:v>46057.0</x:v>
      </x:c>
      <x:c r="B36" s="116" t="str">
        <x:f>IF(Calendario!K11="","",Calendario!K11)</x:f>
      </x:c>
      <x:c r="C36" s="116" t="n">
        <x:f>SUMIF(Calendario!$A$72:$A$86,A36,Calendario!$B$72:$B$86)</x:f>
        <x:v>0</x:v>
      </x:c>
      <x:c r="D36" s="117" t="str">
        <x:f t="shared" si="1"/>
      </x:c>
      <x:c r="E36" s="118" t="str">
        <x:f t="shared" si="2"/>
      </x:c>
    </x:row>
    <x:row r="37">
      <x:c r="A37" s="115">
        <x:v>46058.0</x:v>
      </x:c>
      <x:c r="B37" s="116" t="str">
        <x:f>IF(Calendario!L11="","",Calendario!L11)</x:f>
      </x:c>
      <x:c r="C37" s="116" t="n">
        <x:f>SUMIF(Calendario!$A$72:$A$86,A37,Calendario!$B$72:$B$86)</x:f>
        <x:v>0</x:v>
      </x:c>
      <x:c r="D37" s="117" t="str">
        <x:f t="shared" si="1"/>
      </x:c>
      <x:c r="E37" s="118" t="str">
        <x:f t="shared" si="2"/>
      </x:c>
    </x:row>
    <x:row r="38">
      <x:c r="A38" s="115">
        <x:v>46059.0</x:v>
      </x:c>
      <x:c r="B38" s="116" t="str">
        <x:f>IF(Calendario!M11="","",Calendario!M11)</x:f>
      </x:c>
      <x:c r="C38" s="116" t="n">
        <x:f>SUMIF(Calendario!$A$72:$A$86,A38,Calendario!$B$72:$B$86)</x:f>
        <x:v>0</x:v>
      </x:c>
      <x:c r="D38" s="117" t="str">
        <x:f t="shared" si="1"/>
      </x:c>
      <x:c r="E38" s="118" t="str">
        <x:f t="shared" si="2"/>
      </x:c>
    </x:row>
    <x:row r="39">
      <x:c r="A39" s="115">
        <x:v>46060.0</x:v>
      </x:c>
      <x:c r="B39" s="116" t="str">
        <x:f>IF(Calendario!N11="","",Calendario!N11)</x:f>
      </x:c>
      <x:c r="C39" s="116" t="n">
        <x:f>SUMIF(Calendario!$A$72:$A$86,A39,Calendario!$B$72:$B$86)</x:f>
        <x:v>0</x:v>
      </x:c>
      <x:c r="D39" s="117" t="str">
        <x:f t="shared" si="1"/>
      </x:c>
      <x:c r="E39" s="118" t="str">
        <x:f t="shared" si="2"/>
      </x:c>
    </x:row>
    <x:row r="40">
      <x:c r="A40" s="115">
        <x:v>46061.0</x:v>
      </x:c>
      <x:c r="B40" s="116" t="str">
        <x:f>IF(Calendario!O11="","",Calendario!O11)</x:f>
      </x:c>
      <x:c r="C40" s="116" t="n">
        <x:f>SUMIF(Calendario!$A$72:$A$86,A40,Calendario!$B$72:$B$86)</x:f>
        <x:v>0</x:v>
      </x:c>
      <x:c r="D40" s="117" t="str">
        <x:f t="shared" si="1"/>
      </x:c>
      <x:c r="E40" s="118" t="str">
        <x:f t="shared" si="2"/>
      </x:c>
    </x:row>
    <x:row r="41">
      <x:c r="A41" s="115">
        <x:v>46062.0</x:v>
      </x:c>
      <x:c r="B41" s="116" t="str">
        <x:f>IF(Calendario!I13="","",Calendario!I13)</x:f>
      </x:c>
      <x:c r="C41" s="116" t="n">
        <x:f>SUMIF(Calendario!$A$72:$A$86,A41,Calendario!$B$72:$B$86)</x:f>
        <x:v>0</x:v>
      </x:c>
      <x:c r="D41" s="117" t="str">
        <x:f t="shared" si="1"/>
      </x:c>
      <x:c r="E41" s="118" t="str">
        <x:f t="shared" si="2"/>
      </x:c>
    </x:row>
    <x:row r="42">
      <x:c r="A42" s="115">
        <x:v>46063.0</x:v>
      </x:c>
      <x:c r="B42" s="116" t="str">
        <x:f>IF(Calendario!J13="","",Calendario!J13)</x:f>
      </x:c>
      <x:c r="C42" s="116" t="n">
        <x:f>SUMIF(Calendario!$A$72:$A$86,A42,Calendario!$B$72:$B$86)</x:f>
        <x:v>0</x:v>
      </x:c>
      <x:c r="D42" s="117" t="str">
        <x:f t="shared" si="1"/>
      </x:c>
      <x:c r="E42" s="118" t="str">
        <x:f t="shared" si="2"/>
      </x:c>
    </x:row>
    <x:row r="43">
      <x:c r="A43" s="115">
        <x:v>46064.0</x:v>
      </x:c>
      <x:c r="B43" s="116" t="str">
        <x:f>IF(Calendario!K13="","",Calendario!K13)</x:f>
      </x:c>
      <x:c r="C43" s="116" t="n">
        <x:f>SUMIF(Calendario!$A$72:$A$86,A43,Calendario!$B$72:$B$86)</x:f>
        <x:v>0</x:v>
      </x:c>
      <x:c r="D43" s="117" t="str">
        <x:f t="shared" si="1"/>
      </x:c>
      <x:c r="E43" s="118" t="str">
        <x:f t="shared" si="2"/>
      </x:c>
    </x:row>
    <x:row r="44">
      <x:c r="A44" s="115">
        <x:v>46065.0</x:v>
      </x:c>
      <x:c r="B44" s="116" t="str">
        <x:f>IF(Calendario!L13="","",Calendario!L13)</x:f>
      </x:c>
      <x:c r="C44" s="116" t="n">
        <x:f>SUMIF(Calendario!$A$72:$A$86,A44,Calendario!$B$72:$B$86)</x:f>
        <x:v>0</x:v>
      </x:c>
      <x:c r="D44" s="117" t="str">
        <x:f t="shared" si="1"/>
      </x:c>
      <x:c r="E44" s="118" t="str">
        <x:f t="shared" si="2"/>
      </x:c>
    </x:row>
    <x:row r="45">
      <x:c r="A45" s="115">
        <x:v>46066.0</x:v>
      </x:c>
      <x:c r="B45" s="116" t="str">
        <x:f>IF(Calendario!M13="","",Calendario!M13)</x:f>
      </x:c>
      <x:c r="C45" s="116" t="n">
        <x:f>SUMIF(Calendario!$A$72:$A$86,A45,Calendario!$B$72:$B$86)</x:f>
        <x:v>0</x:v>
      </x:c>
      <x:c r="D45" s="117" t="str">
        <x:f t="shared" si="1"/>
      </x:c>
      <x:c r="E45" s="118" t="str">
        <x:f t="shared" si="2"/>
      </x:c>
    </x:row>
    <x:row r="46">
      <x:c r="A46" s="115">
        <x:v>46067.0</x:v>
      </x:c>
      <x:c r="B46" s="116" t="str">
        <x:f>IF(Calendario!N13="","",Calendario!N13)</x:f>
      </x:c>
      <x:c r="C46" s="116" t="n">
        <x:f>SUMIF(Calendario!$A$72:$A$86,A46,Calendario!$B$72:$B$86)</x:f>
        <x:v>0</x:v>
      </x:c>
      <x:c r="D46" s="117" t="str">
        <x:f t="shared" si="1"/>
      </x:c>
      <x:c r="E46" s="118" t="str">
        <x:f t="shared" si="2"/>
      </x:c>
    </x:row>
    <x:row r="47">
      <x:c r="A47" s="115">
        <x:v>46068.0</x:v>
      </x:c>
      <x:c r="B47" s="116" t="str">
        <x:f>IF(Calendario!O13="","",Calendario!O13)</x:f>
      </x:c>
      <x:c r="C47" s="116" t="n">
        <x:f>SUMIF(Calendario!$A$72:$A$86,A47,Calendario!$B$72:$B$86)</x:f>
        <x:v>0</x:v>
      </x:c>
      <x:c r="D47" s="117" t="str">
        <x:f t="shared" si="1"/>
      </x:c>
      <x:c r="E47" s="118" t="str">
        <x:f t="shared" si="2"/>
      </x:c>
    </x:row>
    <x:row r="48">
      <x:c r="A48" s="115">
        <x:v>46069.0</x:v>
      </x:c>
      <x:c r="B48" s="116" t="str">
        <x:f>IF(Calendario!I15="","",Calendario!I15)</x:f>
      </x:c>
      <x:c r="C48" s="116" t="n">
        <x:f>SUMIF(Calendario!$A$72:$A$86,A48,Calendario!$B$72:$B$86)</x:f>
        <x:v>0</x:v>
      </x:c>
      <x:c r="D48" s="117" t="str">
        <x:f t="shared" si="1"/>
      </x:c>
      <x:c r="E48" s="118" t="str">
        <x:f t="shared" si="2"/>
      </x:c>
    </x:row>
    <x:row r="49">
      <x:c r="A49" s="115">
        <x:v>46070.0</x:v>
      </x:c>
      <x:c r="B49" s="116" t="str">
        <x:f>IF(Calendario!J15="","",Calendario!J15)</x:f>
      </x:c>
      <x:c r="C49" s="116" t="n">
        <x:f>SUMIF(Calendario!$A$72:$A$86,A49,Calendario!$B$72:$B$86)</x:f>
        <x:v>0</x:v>
      </x:c>
      <x:c r="D49" s="117" t="str">
        <x:f t="shared" si="1"/>
      </x:c>
      <x:c r="E49" s="118" t="str">
        <x:f t="shared" si="2"/>
      </x:c>
    </x:row>
    <x:row r="50">
      <x:c r="A50" s="115">
        <x:v>46071.0</x:v>
      </x:c>
      <x:c r="B50" s="116" t="str">
        <x:f>IF(Calendario!K15="","",Calendario!K15)</x:f>
      </x:c>
      <x:c r="C50" s="116" t="n">
        <x:f>SUMIF(Calendario!$A$72:$A$86,A50,Calendario!$B$72:$B$86)</x:f>
        <x:v>0</x:v>
      </x:c>
      <x:c r="D50" s="117" t="str">
        <x:f t="shared" si="1"/>
      </x:c>
      <x:c r="E50" s="118" t="str">
        <x:f t="shared" si="2"/>
      </x:c>
    </x:row>
    <x:row r="51">
      <x:c r="A51" s="115">
        <x:v>46072.0</x:v>
      </x:c>
      <x:c r="B51" s="116" t="str">
        <x:f>IF(Calendario!L15="","",Calendario!L15)</x:f>
      </x:c>
      <x:c r="C51" s="116" t="n">
        <x:f>SUMIF(Calendario!$A$72:$A$86,A51,Calendario!$B$72:$B$86)</x:f>
        <x:v>0</x:v>
      </x:c>
      <x:c r="D51" s="117" t="str">
        <x:f t="shared" si="1"/>
      </x:c>
      <x:c r="E51" s="118" t="str">
        <x:f t="shared" si="2"/>
      </x:c>
    </x:row>
    <x:row r="52">
      <x:c r="A52" s="115">
        <x:v>46073.0</x:v>
      </x:c>
      <x:c r="B52" s="116" t="str">
        <x:f>IF(Calendario!M15="","",Calendario!M15)</x:f>
      </x:c>
      <x:c r="C52" s="116" t="n">
        <x:f>SUMIF(Calendario!$A$72:$A$86,A52,Calendario!$B$72:$B$86)</x:f>
        <x:v>0</x:v>
      </x:c>
      <x:c r="D52" s="117" t="str">
        <x:f t="shared" si="1"/>
      </x:c>
      <x:c r="E52" s="118" t="str">
        <x:f t="shared" si="2"/>
      </x:c>
    </x:row>
    <x:row r="53">
      <x:c r="A53" s="115">
        <x:v>46074.0</x:v>
      </x:c>
      <x:c r="B53" s="116" t="str">
        <x:f>IF(Calendario!N15="","",Calendario!N15)</x:f>
      </x:c>
      <x:c r="C53" s="116" t="n">
        <x:f>SUMIF(Calendario!$A$72:$A$86,A53,Calendario!$B$72:$B$86)</x:f>
        <x:v>0</x:v>
      </x:c>
      <x:c r="D53" s="117" t="str">
        <x:f t="shared" si="1"/>
      </x:c>
      <x:c r="E53" s="118" t="str">
        <x:f t="shared" si="2"/>
      </x:c>
    </x:row>
    <x:row r="54">
      <x:c r="A54" s="115">
        <x:v>46075.0</x:v>
      </x:c>
      <x:c r="B54" s="116" t="str">
        <x:f>IF(Calendario!O15="","",Calendario!O15)</x:f>
      </x:c>
      <x:c r="C54" s="116" t="n">
        <x:f>SUMIF(Calendario!$A$72:$A$86,A54,Calendario!$B$72:$B$86)</x:f>
        <x:v>0</x:v>
      </x:c>
      <x:c r="D54" s="117" t="str">
        <x:f t="shared" si="1"/>
      </x:c>
      <x:c r="E54" s="118" t="str">
        <x:f t="shared" si="2"/>
      </x:c>
    </x:row>
    <x:row r="55">
      <x:c r="A55" s="115">
        <x:v>46076.0</x:v>
      </x:c>
      <x:c r="B55" s="116" t="str">
        <x:f>IF(Calendario!I17="","",Calendario!I17)</x:f>
      </x:c>
      <x:c r="C55" s="116" t="n">
        <x:f>SUMIF(Calendario!$A$72:$A$86,A55,Calendario!$B$72:$B$86)</x:f>
        <x:v>0</x:v>
      </x:c>
      <x:c r="D55" s="117" t="str">
        <x:f t="shared" si="1"/>
      </x:c>
      <x:c r="E55" s="118" t="str">
        <x:f t="shared" si="2"/>
      </x:c>
    </x:row>
    <x:row r="56">
      <x:c r="A56" s="115">
        <x:v>46077.0</x:v>
      </x:c>
      <x:c r="B56" s="116" t="str">
        <x:f>IF(Calendario!J17="","",Calendario!J17)</x:f>
      </x:c>
      <x:c r="C56" s="116" t="n">
        <x:f>SUMIF(Calendario!$A$72:$A$86,A56,Calendario!$B$72:$B$86)</x:f>
        <x:v>0</x:v>
      </x:c>
      <x:c r="D56" s="117" t="str">
        <x:f t="shared" si="1"/>
      </x:c>
      <x:c r="E56" s="118" t="str">
        <x:f t="shared" si="2"/>
      </x:c>
    </x:row>
    <x:row r="57">
      <x:c r="A57" s="115">
        <x:v>46078.0</x:v>
      </x:c>
      <x:c r="B57" s="116" t="str">
        <x:f>IF(Calendario!K17="","",Calendario!K17)</x:f>
      </x:c>
      <x:c r="C57" s="116" t="n">
        <x:f>SUMIF(Calendario!$A$72:$A$86,A57,Calendario!$B$72:$B$86)</x:f>
        <x:v>0</x:v>
      </x:c>
      <x:c r="D57" s="117" t="str">
        <x:f t="shared" si="1"/>
      </x:c>
      <x:c r="E57" s="118" t="str">
        <x:f t="shared" si="2"/>
      </x:c>
    </x:row>
    <x:row r="58">
      <x:c r="A58" s="115">
        <x:v>46079.0</x:v>
      </x:c>
      <x:c r="B58" s="116" t="str">
        <x:f>IF(Calendario!L17="","",Calendario!L17)</x:f>
      </x:c>
      <x:c r="C58" s="116" t="n">
        <x:f>SUMIF(Calendario!$A$72:$A$86,A58,Calendario!$B$72:$B$86)</x:f>
        <x:v>0</x:v>
      </x:c>
      <x:c r="D58" s="117" t="str">
        <x:f t="shared" si="1"/>
      </x:c>
      <x:c r="E58" s="118" t="str">
        <x:f t="shared" si="2"/>
      </x:c>
    </x:row>
    <x:row r="59">
      <x:c r="A59" s="115">
        <x:v>46080.0</x:v>
      </x:c>
      <x:c r="B59" s="116" t="n">
        <x:f>IF(Calendario!M17="","",Calendario!M17)</x:f>
        <x:v>30196.86</x:v>
      </x:c>
      <x:c r="C59" s="116" t="n">
        <x:f>SUMIF(Calendario!$A$72:$A$86,A59,Calendario!$B$72:$B$86)</x:f>
        <x:v>0</x:v>
      </x:c>
      <x:c r="D59" s="117" t="str">
        <x:f t="shared" si="1"/>
      </x:c>
      <x:c r="E59" s="118" t="str">
        <x:f t="shared" si="2"/>
        <x:v>Histórico mensual</x:v>
      </x:c>
    </x:row>
    <x:row r="60">
      <x:c r="A60" s="115">
        <x:v>46081.0</x:v>
      </x:c>
      <x:c r="B60" s="116" t="str">
        <x:f>IF(Calendario!N17="","",Calendario!N17)</x:f>
      </x:c>
      <x:c r="C60" s="116" t="n">
        <x:f>SUMIF(Calendario!$A$72:$A$86,A60,Calendario!$B$72:$B$86)</x:f>
        <x:v>0</x:v>
      </x:c>
      <x:c r="D60" s="117" t="str">
        <x:f t="shared" si="1"/>
      </x:c>
      <x:c r="E60" s="118" t="str">
        <x:f t="shared" si="2"/>
      </x:c>
    </x:row>
    <x:row r="61">
      <x:c r="A61" s="115">
        <x:v>46082.0</x:v>
      </x:c>
      <x:c r="B61" s="116" t="str">
        <x:f>IF(Calendario!W9="","",Calendario!W9)</x:f>
      </x:c>
      <x:c r="C61" s="116" t="n">
        <x:f>SUMIF(Calendario!$A$72:$A$86,A61,Calendario!$B$72:$B$86)</x:f>
        <x:v>0</x:v>
      </x:c>
      <x:c r="D61" s="117" t="str">
        <x:f t="shared" si="1"/>
      </x:c>
      <x:c r="E61" s="118" t="str">
        <x:f t="shared" si="2"/>
      </x:c>
    </x:row>
    <x:row r="62">
      <x:c r="A62" s="115">
        <x:v>46083.0</x:v>
      </x:c>
      <x:c r="B62" s="116" t="str">
        <x:f>IF(Calendario!Q11="","",Calendario!Q11)</x:f>
      </x:c>
      <x:c r="C62" s="116" t="n">
        <x:f>SUMIF(Calendario!$A$72:$A$86,A62,Calendario!$B$72:$B$86)</x:f>
        <x:v>0</x:v>
      </x:c>
      <x:c r="D62" s="117" t="str">
        <x:f t="shared" si="1"/>
      </x:c>
      <x:c r="E62" s="118" t="str">
        <x:f t="shared" si="2"/>
      </x:c>
    </x:row>
    <x:row r="63">
      <x:c r="A63" s="115">
        <x:v>46084.0</x:v>
      </x:c>
      <x:c r="B63" s="116" t="str">
        <x:f>IF(Calendario!R11="","",Calendario!R11)</x:f>
      </x:c>
      <x:c r="C63" s="116" t="n">
        <x:f>SUMIF(Calendario!$A$72:$A$86,A63,Calendario!$B$72:$B$86)</x:f>
        <x:v>0</x:v>
      </x:c>
      <x:c r="D63" s="117" t="str">
        <x:f t="shared" si="1"/>
      </x:c>
      <x:c r="E63" s="118" t="str">
        <x:f t="shared" si="2"/>
      </x:c>
    </x:row>
    <x:row r="64">
      <x:c r="A64" s="115">
        <x:v>46085.0</x:v>
      </x:c>
      <x:c r="B64" s="116" t="str">
        <x:f>IF(Calendario!S11="","",Calendario!S11)</x:f>
      </x:c>
      <x:c r="C64" s="116" t="n">
        <x:f>SUMIF(Calendario!$A$72:$A$86,A64,Calendario!$B$72:$B$86)</x:f>
        <x:v>0</x:v>
      </x:c>
      <x:c r="D64" s="117" t="str">
        <x:f t="shared" si="1"/>
      </x:c>
      <x:c r="E64" s="118" t="str">
        <x:f t="shared" si="2"/>
      </x:c>
    </x:row>
    <x:row r="65">
      <x:c r="A65" s="115">
        <x:v>46086.0</x:v>
      </x:c>
      <x:c r="B65" s="116" t="str">
        <x:f>IF(Calendario!T11="","",Calendario!T11)</x:f>
      </x:c>
      <x:c r="C65" s="116" t="n">
        <x:f>SUMIF(Calendario!$A$72:$A$86,A65,Calendario!$B$72:$B$86)</x:f>
        <x:v>0</x:v>
      </x:c>
      <x:c r="D65" s="117" t="str">
        <x:f t="shared" si="1"/>
      </x:c>
      <x:c r="E65" s="118" t="str">
        <x:f t="shared" si="2"/>
      </x:c>
    </x:row>
    <x:row r="66">
      <x:c r="A66" s="115">
        <x:v>46087.0</x:v>
      </x:c>
      <x:c r="B66" s="116" t="str">
        <x:f>IF(Calendario!U11="","",Calendario!U11)</x:f>
      </x:c>
      <x:c r="C66" s="116" t="n">
        <x:f>SUMIF(Calendario!$A$72:$A$86,A66,Calendario!$B$72:$B$86)</x:f>
        <x:v>0</x:v>
      </x:c>
      <x:c r="D66" s="117" t="str">
        <x:f t="shared" si="1"/>
      </x:c>
      <x:c r="E66" s="118" t="str">
        <x:f t="shared" si="2"/>
      </x:c>
    </x:row>
    <x:row r="67">
      <x:c r="A67" s="115">
        <x:v>46088.0</x:v>
      </x:c>
      <x:c r="B67" s="116" t="str">
        <x:f>IF(Calendario!V11="","",Calendario!V11)</x:f>
      </x:c>
      <x:c r="C67" s="116" t="n">
        <x:f>SUMIF(Calendario!$A$72:$A$86,A67,Calendario!$B$72:$B$86)</x:f>
        <x:v>0</x:v>
      </x:c>
      <x:c r="D67" s="117" t="str">
        <x:f t="shared" si="1"/>
      </x:c>
      <x:c r="E67" s="118" t="str">
        <x:f t="shared" si="2"/>
      </x:c>
    </x:row>
    <x:row r="68">
      <x:c r="A68" s="115">
        <x:v>46089.0</x:v>
      </x:c>
      <x:c r="B68" s="116" t="str">
        <x:f>IF(Calendario!W11="","",Calendario!W11)</x:f>
      </x:c>
      <x:c r="C68" s="116" t="n">
        <x:f>SUMIF(Calendario!$A$72:$A$86,A68,Calendario!$B$72:$B$86)</x:f>
        <x:v>0</x:v>
      </x:c>
      <x:c r="D68" s="117" t="str">
        <x:f t="shared" si="1"/>
      </x:c>
      <x:c r="E68" s="118" t="str">
        <x:f t="shared" si="2"/>
      </x:c>
    </x:row>
    <x:row r="69">
      <x:c r="A69" s="115">
        <x:v>46090.0</x:v>
      </x:c>
      <x:c r="B69" s="116" t="str">
        <x:f>IF(Calendario!Q13="","",Calendario!Q13)</x:f>
      </x:c>
      <x:c r="C69" s="116" t="n">
        <x:f>SUMIF(Calendario!$A$72:$A$86,A69,Calendario!$B$72:$B$86)</x:f>
        <x:v>-300</x:v>
      </x:c>
      <x:c r="D69" s="117" t="str">
        <x:f t="shared" si="1"/>
      </x:c>
      <x:c r="E69" s="118" t="str">
        <x:f t="shared" si="2"/>
      </x:c>
    </x:row>
    <x:row r="70">
      <x:c r="A70" s="115">
        <x:v>46091.0</x:v>
      </x:c>
      <x:c r="B70" s="116" t="str">
        <x:f>IF(Calendario!R13="","",Calendario!R13)</x:f>
      </x:c>
      <x:c r="C70" s="116" t="n">
        <x:f>SUMIF(Calendario!$A$72:$A$86,A70,Calendario!$B$72:$B$86)</x:f>
        <x:v>0</x:v>
      </x:c>
      <x:c r="D70" s="117" t="str">
        <x:f t="shared" si="1"/>
      </x:c>
      <x:c r="E70" s="118" t="str">
        <x:f t="shared" si="2"/>
      </x:c>
    </x:row>
    <x:row r="71">
      <x:c r="A71" s="115">
        <x:v>46092.0</x:v>
      </x:c>
      <x:c r="B71" s="116" t="str">
        <x:f>IF(Calendario!S13="","",Calendario!S13)</x:f>
      </x:c>
      <x:c r="C71" s="116" t="n">
        <x:f>SUMIF(Calendario!$A$72:$A$86,A71,Calendario!$B$72:$B$86)</x:f>
        <x:v>0</x:v>
      </x:c>
      <x:c r="D71" s="117" t="str">
        <x:f t="shared" si="1"/>
      </x:c>
      <x:c r="E71" s="118" t="str">
        <x:f t="shared" si="2"/>
      </x:c>
    </x:row>
    <x:row r="72">
      <x:c r="A72" s="115">
        <x:v>46093.0</x:v>
      </x:c>
      <x:c r="B72" s="116" t="str">
        <x:f>IF(Calendario!T13="","",Calendario!T13)</x:f>
      </x:c>
      <x:c r="C72" s="116" t="n">
        <x:f>SUMIF(Calendario!$A$72:$A$86,A72,Calendario!$B$72:$B$86)</x:f>
        <x:v>0</x:v>
      </x:c>
      <x:c r="D72" s="117" t="str">
        <x:f t="shared" si="1"/>
      </x:c>
      <x:c r="E72" s="118" t="str">
        <x:f t="shared" si="2"/>
      </x:c>
    </x:row>
    <x:row r="73">
      <x:c r="A73" s="115">
        <x:v>46094.0</x:v>
      </x:c>
      <x:c r="B73" s="116" t="str">
        <x:f>IF(Calendario!U13="","",Calendario!U13)</x:f>
      </x:c>
      <x:c r="C73" s="116" t="n">
        <x:f>SUMIF(Calendario!$A$72:$A$86,A73,Calendario!$B$72:$B$86)</x:f>
        <x:v>0</x:v>
      </x:c>
      <x:c r="D73" s="117" t="str">
        <x:f t="shared" si="1"/>
      </x:c>
      <x:c r="E73" s="118" t="str">
        <x:f t="shared" si="2"/>
      </x:c>
    </x:row>
    <x:row r="74">
      <x:c r="A74" s="115">
        <x:v>46095.0</x:v>
      </x:c>
      <x:c r="B74" s="116" t="str">
        <x:f>IF(Calendario!V13="","",Calendario!V13)</x:f>
      </x:c>
      <x:c r="C74" s="116" t="n">
        <x:f>SUMIF(Calendario!$A$72:$A$86,A74,Calendario!$B$72:$B$86)</x:f>
        <x:v>0</x:v>
      </x:c>
      <x:c r="D74" s="117" t="str">
        <x:f t="shared" si="1"/>
      </x:c>
      <x:c r="E74" s="118" t="str">
        <x:f t="shared" si="2"/>
      </x:c>
    </x:row>
    <x:row r="75">
      <x:c r="A75" s="115">
        <x:v>46096.0</x:v>
      </x:c>
      <x:c r="B75" s="116" t="str">
        <x:f>IF(Calendario!W13="","",Calendario!W13)</x:f>
      </x:c>
      <x:c r="C75" s="116" t="n">
        <x:f>SUMIF(Calendario!$A$72:$A$86,A75,Calendario!$B$72:$B$86)</x:f>
        <x:v>0</x:v>
      </x:c>
      <x:c r="D75" s="117" t="str">
        <x:f t="shared" si="1"/>
      </x:c>
      <x:c r="E75" s="118" t="str">
        <x:f t="shared" si="2"/>
      </x:c>
    </x:row>
    <x:row r="76">
      <x:c r="A76" s="115">
        <x:v>46097.0</x:v>
      </x:c>
      <x:c r="B76" s="116" t="str">
        <x:f>IF(Calendario!Q15="","",Calendario!Q15)</x:f>
      </x:c>
      <x:c r="C76" s="116" t="n">
        <x:f>SUMIF(Calendario!$A$72:$A$86,A76,Calendario!$B$72:$B$86)</x:f>
        <x:v>0</x:v>
      </x:c>
      <x:c r="D76" s="117" t="str">
        <x:f t="shared" si="1"/>
      </x:c>
      <x:c r="E76" s="118" t="str">
        <x:f t="shared" si="2"/>
      </x:c>
    </x:row>
    <x:row r="77">
      <x:c r="A77" s="115">
        <x:v>46098.0</x:v>
      </x:c>
      <x:c r="B77" s="116" t="str">
        <x:f>IF(Calendario!R15="","",Calendario!R15)</x:f>
      </x:c>
      <x:c r="C77" s="116" t="n">
        <x:f>SUMIF(Calendario!$A$72:$A$86,A77,Calendario!$B$72:$B$86)</x:f>
        <x:v>0</x:v>
      </x:c>
      <x:c r="D77" s="117" t="str">
        <x:f t="shared" si="1"/>
      </x:c>
      <x:c r="E77" s="118" t="str">
        <x:f t="shared" si="2"/>
      </x:c>
    </x:row>
    <x:row r="78">
      <x:c r="A78" s="115">
        <x:v>46099.0</x:v>
      </x:c>
      <x:c r="B78" s="116" t="str">
        <x:f>IF(Calendario!S15="","",Calendario!S15)</x:f>
      </x:c>
      <x:c r="C78" s="116" t="n">
        <x:f>SUMIF(Calendario!$A$72:$A$86,A78,Calendario!$B$72:$B$86)</x:f>
        <x:v>0</x:v>
      </x:c>
      <x:c r="D78" s="117" t="str">
        <x:f t="shared" si="1"/>
      </x:c>
      <x:c r="E78" s="118" t="str">
        <x:f t="shared" si="2"/>
      </x:c>
    </x:row>
    <x:row r="79">
      <x:c r="A79" s="115">
        <x:v>46100.0</x:v>
      </x:c>
      <x:c r="B79" s="116" t="str">
        <x:f>IF(Calendario!T15="","",Calendario!T15)</x:f>
      </x:c>
      <x:c r="C79" s="116" t="n">
        <x:f>SUMIF(Calendario!$A$72:$A$86,A79,Calendario!$B$72:$B$86)</x:f>
        <x:v>0</x:v>
      </x:c>
      <x:c r="D79" s="117" t="str">
        <x:f t="shared" si="1"/>
      </x:c>
      <x:c r="E79" s="118" t="str">
        <x:f t="shared" si="2"/>
      </x:c>
    </x:row>
    <x:row r="80">
      <x:c r="A80" s="115">
        <x:v>46101.0</x:v>
      </x:c>
      <x:c r="B80" s="116" t="str">
        <x:f>IF(Calendario!U15="","",Calendario!U15)</x:f>
      </x:c>
      <x:c r="C80" s="116" t="n">
        <x:f>SUMIF(Calendario!$A$72:$A$86,A80,Calendario!$B$72:$B$86)</x:f>
        <x:v>0</x:v>
      </x:c>
      <x:c r="D80" s="117" t="str">
        <x:f t="shared" si="1"/>
      </x:c>
      <x:c r="E80" s="118" t="str">
        <x:f t="shared" si="2"/>
      </x:c>
    </x:row>
    <x:row r="81">
      <x:c r="A81" s="115">
        <x:v>46102.0</x:v>
      </x:c>
      <x:c r="B81" s="116" t="str">
        <x:f>IF(Calendario!V15="","",Calendario!V15)</x:f>
      </x:c>
      <x:c r="C81" s="116" t="n">
        <x:f>SUMIF(Calendario!$A$72:$A$86,A81,Calendario!$B$72:$B$86)</x:f>
        <x:v>0</x:v>
      </x:c>
      <x:c r="D81" s="117" t="str">
        <x:f t="shared" si="1"/>
      </x:c>
      <x:c r="E81" s="118" t="str">
        <x:f t="shared" si="2"/>
      </x:c>
    </x:row>
    <x:row r="82">
      <x:c r="A82" s="115">
        <x:v>46103.0</x:v>
      </x:c>
      <x:c r="B82" s="116" t="str">
        <x:f>IF(Calendario!W15="","",Calendario!W15)</x:f>
      </x:c>
      <x:c r="C82" s="116" t="n">
        <x:f>SUMIF(Calendario!$A$72:$A$86,A82,Calendario!$B$72:$B$86)</x:f>
        <x:v>0</x:v>
      </x:c>
      <x:c r="D82" s="117" t="str">
        <x:f t="shared" si="1"/>
      </x:c>
      <x:c r="E82" s="118" t="str">
        <x:f t="shared" si="2"/>
      </x:c>
    </x:row>
    <x:row r="83">
      <x:c r="A83" s="115">
        <x:v>46104.0</x:v>
      </x:c>
      <x:c r="B83" s="116" t="str">
        <x:f>IF(Calendario!Q17="","",Calendario!Q17)</x:f>
      </x:c>
      <x:c r="C83" s="116" t="n">
        <x:f>SUMIF(Calendario!$A$72:$A$86,A83,Calendario!$B$72:$B$86)</x:f>
        <x:v>0</x:v>
      </x:c>
      <x:c r="D83" s="117" t="str">
        <x:f t="shared" si="1"/>
      </x:c>
      <x:c r="E83" s="118" t="str">
        <x:f t="shared" si="2"/>
      </x:c>
    </x:row>
    <x:row r="84">
      <x:c r="A84" s="115">
        <x:v>46105.0</x:v>
      </x:c>
      <x:c r="B84" s="116" t="str">
        <x:f>IF(Calendario!R17="","",Calendario!R17)</x:f>
      </x:c>
      <x:c r="C84" s="116" t="n">
        <x:f>SUMIF(Calendario!$A$72:$A$86,A84,Calendario!$B$72:$B$86)</x:f>
        <x:v>0</x:v>
      </x:c>
      <x:c r="D84" s="117" t="str">
        <x:f t="shared" si="1"/>
      </x:c>
      <x:c r="E84" s="118" t="str">
        <x:f t="shared" si="2"/>
      </x:c>
    </x:row>
    <x:row r="85">
      <x:c r="A85" s="115">
        <x:v>46106.0</x:v>
      </x:c>
      <x:c r="B85" s="116" t="str">
        <x:f>IF(Calendario!S17="","",Calendario!S17)</x:f>
      </x:c>
      <x:c r="C85" s="116" t="n">
        <x:f>SUMIF(Calendario!$A$72:$A$86,A85,Calendario!$B$72:$B$86)</x:f>
        <x:v>0</x:v>
      </x:c>
      <x:c r="D85" s="117" t="str">
        <x:f t="shared" si="1"/>
      </x:c>
      <x:c r="E85" s="118" t="str">
        <x:f t="shared" si="2"/>
      </x:c>
    </x:row>
    <x:row r="86">
      <x:c r="A86" s="115">
        <x:v>46107.0</x:v>
      </x:c>
      <x:c r="B86" s="116" t="str">
        <x:f>IF(Calendario!T17="","",Calendario!T17)</x:f>
      </x:c>
      <x:c r="C86" s="116" t="n">
        <x:f>SUMIF(Calendario!$A$72:$A$86,A86,Calendario!$B$72:$B$86)</x:f>
        <x:v>0</x:v>
      </x:c>
      <x:c r="D86" s="117" t="str">
        <x:f t="shared" si="1"/>
      </x:c>
      <x:c r="E86" s="118" t="str">
        <x:f t="shared" si="2"/>
      </x:c>
    </x:row>
    <x:row r="87">
      <x:c r="A87" s="115">
        <x:v>46108.0</x:v>
      </x:c>
      <x:c r="B87" s="116" t="str">
        <x:f>IF(Calendario!U17="","",Calendario!U17)</x:f>
      </x:c>
      <x:c r="C87" s="116" t="n">
        <x:f>SUMIF(Calendario!$A$72:$A$86,A87,Calendario!$B$72:$B$86)</x:f>
        <x:v>0</x:v>
      </x:c>
      <x:c r="D87" s="117" t="str">
        <x:f t="shared" si="1"/>
      </x:c>
      <x:c r="E87" s="118" t="str">
        <x:f t="shared" si="2"/>
      </x:c>
    </x:row>
    <x:row r="88">
      <x:c r="A88" s="115">
        <x:v>46109.0</x:v>
      </x:c>
      <x:c r="B88" s="116" t="str">
        <x:f>IF(Calendario!V17="","",Calendario!V17)</x:f>
      </x:c>
      <x:c r="C88" s="116" t="n">
        <x:f>SUMIF(Calendario!$A$72:$A$86,A88,Calendario!$B$72:$B$86)</x:f>
        <x:v>0</x:v>
      </x:c>
      <x:c r="D88" s="117" t="str">
        <x:f t="shared" si="1"/>
      </x:c>
      <x:c r="E88" s="118" t="str">
        <x:f t="shared" si="2"/>
      </x:c>
    </x:row>
    <x:row r="89">
      <x:c r="A89" s="115">
        <x:v>46110.0</x:v>
      </x:c>
      <x:c r="B89" s="116" t="str">
        <x:f>IF(Calendario!W17="","",Calendario!W17)</x:f>
      </x:c>
      <x:c r="C89" s="116" t="n">
        <x:f>SUMIF(Calendario!$A$72:$A$86,A89,Calendario!$B$72:$B$86)</x:f>
        <x:v>0</x:v>
      </x:c>
      <x:c r="D89" s="117" t="str">
        <x:f t="shared" si="1"/>
      </x:c>
      <x:c r="E89" s="118" t="str">
        <x:f t="shared" si="2"/>
      </x:c>
    </x:row>
    <x:row r="90">
      <x:c r="A90" s="115">
        <x:v>46111.0</x:v>
      </x:c>
      <x:c r="B90" s="116" t="str">
        <x:f>IF(Calendario!Q19="","",Calendario!Q19)</x:f>
      </x:c>
      <x:c r="C90" s="116" t="n">
        <x:f>SUMIF(Calendario!$A$72:$A$86,A90,Calendario!$B$72:$B$86)</x:f>
        <x:v>0</x:v>
      </x:c>
      <x:c r="D90" s="117" t="str">
        <x:f t="shared" si="1"/>
      </x:c>
      <x:c r="E90" s="118" t="str">
        <x:f t="shared" si="2"/>
      </x:c>
    </x:row>
    <x:row r="91">
      <x:c r="A91" s="115">
        <x:v>46112.0</x:v>
      </x:c>
      <x:c r="B91" s="116" t="n">
        <x:f>IF(Calendario!R19="","",Calendario!R19)</x:f>
        <x:v>30015.68</x:v>
      </x:c>
      <x:c r="C91" s="116" t="n">
        <x:f>SUMIF(Calendario!$A$72:$A$86,A91,Calendario!$B$72:$B$86)</x:f>
        <x:v>0</x:v>
      </x:c>
      <x:c r="D91" s="117" t="str">
        <x:f t="shared" si="1"/>
      </x:c>
      <x:c r="E91" s="118" t="str">
        <x:f t="shared" si="2"/>
        <x:v>Histórico mensual</x:v>
      </x:c>
    </x:row>
    <x:row r="92">
      <x:c r="A92" s="115">
        <x:v>46113.0</x:v>
      </x:c>
      <x:c r="B92" s="116" t="str">
        <x:f>IF(Calendario!C25="","",Calendario!C25)</x:f>
      </x:c>
      <x:c r="C92" s="116" t="n">
        <x:f>SUMIF(Calendario!$A$72:$A$86,A92,Calendario!$B$72:$B$86)</x:f>
        <x:v>0</x:v>
      </x:c>
      <x:c r="D92" s="117" t="str">
        <x:f t="shared" si="1"/>
      </x:c>
      <x:c r="E92" s="118" t="str">
        <x:f t="shared" si="2"/>
      </x:c>
    </x:row>
    <x:row r="93">
      <x:c r="A93" s="115">
        <x:v>46114.0</x:v>
      </x:c>
      <x:c r="B93" s="116" t="str">
        <x:f>IF(Calendario!D25="","",Calendario!D25)</x:f>
      </x:c>
      <x:c r="C93" s="116" t="n">
        <x:f>SUMIF(Calendario!$A$72:$A$86,A93,Calendario!$B$72:$B$86)</x:f>
        <x:v>0</x:v>
      </x:c>
      <x:c r="D93" s="117" t="str">
        <x:f t="shared" si="1"/>
      </x:c>
      <x:c r="E93" s="118" t="str">
        <x:f t="shared" si="2"/>
      </x:c>
    </x:row>
    <x:row r="94">
      <x:c r="A94" s="115">
        <x:v>46115.0</x:v>
      </x:c>
      <x:c r="B94" s="116" t="str">
        <x:f>IF(Calendario!E25="","",Calendario!E25)</x:f>
      </x:c>
      <x:c r="C94" s="116" t="n">
        <x:f>SUMIF(Calendario!$A$72:$A$86,A94,Calendario!$B$72:$B$86)</x:f>
        <x:v>0</x:v>
      </x:c>
      <x:c r="D94" s="117" t="str">
        <x:f t="shared" si="1"/>
      </x:c>
      <x:c r="E94" s="118" t="str">
        <x:f t="shared" si="2"/>
      </x:c>
    </x:row>
    <x:row r="95">
      <x:c r="A95" s="115">
        <x:v>46116.0</x:v>
      </x:c>
      <x:c r="B95" s="116" t="str">
        <x:f>IF(Calendario!F25="","",Calendario!F25)</x:f>
      </x:c>
      <x:c r="C95" s="116" t="n">
        <x:f>SUMIF(Calendario!$A$72:$A$86,A95,Calendario!$B$72:$B$86)</x:f>
        <x:v>0</x:v>
      </x:c>
      <x:c r="D95" s="117" t="str">
        <x:f t="shared" si="1"/>
      </x:c>
      <x:c r="E95" s="118" t="str">
        <x:f t="shared" si="2"/>
      </x:c>
    </x:row>
    <x:row r="96">
      <x:c r="A96" s="115">
        <x:v>46117.0</x:v>
      </x:c>
      <x:c r="B96" s="116" t="str">
        <x:f>IF(Calendario!G25="","",Calendario!G25)</x:f>
      </x:c>
      <x:c r="C96" s="116" t="n">
        <x:f>SUMIF(Calendario!$A$72:$A$86,A96,Calendario!$B$72:$B$86)</x:f>
        <x:v>0</x:v>
      </x:c>
      <x:c r="D96" s="117" t="str">
        <x:f t="shared" si="1"/>
      </x:c>
      <x:c r="E96" s="118" t="str">
        <x:f t="shared" si="2"/>
      </x:c>
    </x:row>
    <x:row r="97">
      <x:c r="A97" s="115">
        <x:v>46118.0</x:v>
      </x:c>
      <x:c r="B97" s="116" t="str">
        <x:f>IF(Calendario!A27="","",Calendario!A27)</x:f>
      </x:c>
      <x:c r="C97" s="116" t="n">
        <x:f>SUMIF(Calendario!$A$72:$A$86,A97,Calendario!$B$72:$B$86)</x:f>
        <x:v>0</x:v>
      </x:c>
      <x:c r="D97" s="117" t="str">
        <x:f t="shared" si="1"/>
      </x:c>
      <x:c r="E97" s="118" t="str">
        <x:f t="shared" si="2"/>
      </x:c>
    </x:row>
    <x:row r="98">
      <x:c r="A98" s="115">
        <x:v>46119.0</x:v>
      </x:c>
      <x:c r="B98" s="116" t="str">
        <x:f>IF(Calendario!B27="","",Calendario!B27)</x:f>
      </x:c>
      <x:c r="C98" s="116" t="n">
        <x:f>SUMIF(Calendario!$A$72:$A$86,A98,Calendario!$B$72:$B$86)</x:f>
        <x:v>0</x:v>
      </x:c>
      <x:c r="D98" s="117" t="str">
        <x:f t="shared" si="1"/>
      </x:c>
      <x:c r="E98" s="118" t="str">
        <x:f t="shared" si="2"/>
      </x:c>
    </x:row>
    <x:row r="99">
      <x:c r="A99" s="115">
        <x:v>46120.0</x:v>
      </x:c>
      <x:c r="B99" s="116" t="str">
        <x:f>IF(Calendario!C27="","",Calendario!C27)</x:f>
      </x:c>
      <x:c r="C99" s="116" t="n">
        <x:f>SUMIF(Calendario!$A$72:$A$86,A99,Calendario!$B$72:$B$86)</x:f>
        <x:v>1200</x:v>
      </x:c>
      <x:c r="D99" s="117" t="str">
        <x:f t="shared" si="1"/>
      </x:c>
      <x:c r="E99" s="118" t="str">
        <x:f t="shared" si="2"/>
      </x:c>
    </x:row>
    <x:row r="100">
      <x:c r="A100" s="115">
        <x:v>46121.0</x:v>
      </x:c>
      <x:c r="B100" s="116" t="str">
        <x:f>IF(Calendario!D27="","",Calendario!D27)</x:f>
      </x:c>
      <x:c r="C100" s="116" t="n">
        <x:f>SUMIF(Calendario!$A$72:$A$86,A100,Calendario!$B$72:$B$86)</x:f>
        <x:v>0</x:v>
      </x:c>
      <x:c r="D100" s="117" t="str">
        <x:f t="shared" si="1"/>
      </x:c>
      <x:c r="E100" s="118" t="str">
        <x:f t="shared" si="2"/>
      </x:c>
    </x:row>
    <x:row r="101">
      <x:c r="A101" s="115">
        <x:v>46122.0</x:v>
      </x:c>
      <x:c r="B101" s="116" t="str">
        <x:f>IF(Calendario!E27="","",Calendario!E27)</x:f>
      </x:c>
      <x:c r="C101" s="116" t="n">
        <x:f>SUMIF(Calendario!$A$72:$A$86,A101,Calendario!$B$72:$B$86)</x:f>
        <x:v>0</x:v>
      </x:c>
      <x:c r="D101" s="117" t="str">
        <x:f t="shared" si="1"/>
      </x:c>
      <x:c r="E101" s="118" t="str">
        <x:f t="shared" si="2"/>
      </x:c>
    </x:row>
    <x:row r="102">
      <x:c r="A102" s="115">
        <x:v>46123.0</x:v>
      </x:c>
      <x:c r="B102" s="116" t="str">
        <x:f>IF(Calendario!F27="","",Calendario!F27)</x:f>
      </x:c>
      <x:c r="C102" s="116" t="n">
        <x:f>SUMIF(Calendario!$A$72:$A$86,A102,Calendario!$B$72:$B$86)</x:f>
        <x:v>0</x:v>
      </x:c>
      <x:c r="D102" s="117" t="str">
        <x:f t="shared" si="1"/>
      </x:c>
      <x:c r="E102" s="118" t="str">
        <x:f t="shared" si="2"/>
      </x:c>
    </x:row>
    <x:row r="103">
      <x:c r="A103" s="115">
        <x:v>46124.0</x:v>
      </x:c>
      <x:c r="B103" s="116" t="str">
        <x:f>IF(Calendario!G27="","",Calendario!G27)</x:f>
      </x:c>
      <x:c r="C103" s="116" t="n">
        <x:f>SUMIF(Calendario!$A$72:$A$86,A103,Calendario!$B$72:$B$86)</x:f>
        <x:v>0</x:v>
      </x:c>
      <x:c r="D103" s="117" t="str">
        <x:f t="shared" si="1"/>
      </x:c>
      <x:c r="E103" s="118" t="str">
        <x:f t="shared" si="2"/>
      </x:c>
    </x:row>
    <x:row r="104">
      <x:c r="A104" s="115">
        <x:v>46125.0</x:v>
      </x:c>
      <x:c r="B104" s="116" t="str">
        <x:f>IF(Calendario!A29="","",Calendario!A29)</x:f>
      </x:c>
      <x:c r="C104" s="116" t="n">
        <x:f>SUMIF(Calendario!$A$72:$A$86,A104,Calendario!$B$72:$B$86)</x:f>
        <x:v>0</x:v>
      </x:c>
      <x:c r="D104" s="117" t="str">
        <x:f t="shared" si="1"/>
      </x:c>
      <x:c r="E104" s="118" t="str">
        <x:f t="shared" si="2"/>
      </x:c>
    </x:row>
    <x:row r="105">
      <x:c r="A105" s="115">
        <x:v>46126.0</x:v>
      </x:c>
      <x:c r="B105" s="116" t="str">
        <x:f>IF(Calendario!B29="","",Calendario!B29)</x:f>
      </x:c>
      <x:c r="C105" s="116" t="n">
        <x:f>SUMIF(Calendario!$A$72:$A$86,A105,Calendario!$B$72:$B$86)</x:f>
        <x:v>0</x:v>
      </x:c>
      <x:c r="D105" s="117" t="str">
        <x:f t="shared" si="1"/>
      </x:c>
      <x:c r="E105" s="118" t="str">
        <x:f t="shared" si="2"/>
      </x:c>
    </x:row>
    <x:row r="106">
      <x:c r="A106" s="115">
        <x:v>46127.0</x:v>
      </x:c>
      <x:c r="B106" s="116" t="str">
        <x:f>IF(Calendario!C29="","",Calendario!C29)</x:f>
      </x:c>
      <x:c r="C106" s="116" t="n">
        <x:f>SUMIF(Calendario!$A$72:$A$86,A106,Calendario!$B$72:$B$86)</x:f>
        <x:v>0</x:v>
      </x:c>
      <x:c r="D106" s="117" t="str">
        <x:f t="shared" si="1"/>
      </x:c>
      <x:c r="E106" s="118" t="str">
        <x:f t="shared" si="2"/>
      </x:c>
    </x:row>
    <x:row r="107">
      <x:c r="A107" s="115">
        <x:v>46128.0</x:v>
      </x:c>
      <x:c r="B107" s="116" t="str">
        <x:f>IF(Calendario!D29="","",Calendario!D29)</x:f>
      </x:c>
      <x:c r="C107" s="116" t="n">
        <x:f>SUMIF(Calendario!$A$72:$A$86,A107,Calendario!$B$72:$B$86)</x:f>
        <x:v>0</x:v>
      </x:c>
      <x:c r="D107" s="117" t="str">
        <x:f t="shared" si="1"/>
      </x:c>
      <x:c r="E107" s="118" t="str">
        <x:f t="shared" si="2"/>
      </x:c>
    </x:row>
    <x:row r="108">
      <x:c r="A108" s="115">
        <x:v>46129.0</x:v>
      </x:c>
      <x:c r="B108" s="116" t="str">
        <x:f>IF(Calendario!E29="","",Calendario!E29)</x:f>
      </x:c>
      <x:c r="C108" s="116" t="n">
        <x:f>SUMIF(Calendario!$A$72:$A$86,A108,Calendario!$B$72:$B$86)</x:f>
        <x:v>0</x:v>
      </x:c>
      <x:c r="D108" s="117" t="str">
        <x:f t="shared" si="1"/>
      </x:c>
      <x:c r="E108" s="118" t="str">
        <x:f t="shared" si="2"/>
      </x:c>
    </x:row>
    <x:row r="109">
      <x:c r="A109" s="115">
        <x:v>46130.0</x:v>
      </x:c>
      <x:c r="B109" s="116" t="str">
        <x:f>IF(Calendario!F29="","",Calendario!F29)</x:f>
      </x:c>
      <x:c r="C109" s="116" t="n">
        <x:f>SUMIF(Calendario!$A$72:$A$86,A109,Calendario!$B$72:$B$86)</x:f>
        <x:v>0</x:v>
      </x:c>
      <x:c r="D109" s="117" t="str">
        <x:f t="shared" si="1"/>
      </x:c>
      <x:c r="E109" s="118" t="str">
        <x:f t="shared" si="2"/>
      </x:c>
    </x:row>
    <x:row r="110">
      <x:c r="A110" s="115">
        <x:v>46131.0</x:v>
      </x:c>
      <x:c r="B110" s="116" t="str">
        <x:f>IF(Calendario!G29="","",Calendario!G29)</x:f>
      </x:c>
      <x:c r="C110" s="116" t="n">
        <x:f>SUMIF(Calendario!$A$72:$A$86,A110,Calendario!$B$72:$B$86)</x:f>
        <x:v>0</x:v>
      </x:c>
      <x:c r="D110" s="117" t="str">
        <x:f t="shared" si="1"/>
      </x:c>
      <x:c r="E110" s="118" t="str">
        <x:f t="shared" si="2"/>
      </x:c>
    </x:row>
    <x:row r="111">
      <x:c r="A111" s="115">
        <x:v>46132.0</x:v>
      </x:c>
      <x:c r="B111" s="116" t="str">
        <x:f>IF(Calendario!A31="","",Calendario!A31)</x:f>
      </x:c>
      <x:c r="C111" s="116" t="n">
        <x:f>SUMIF(Calendario!$A$72:$A$86,A111,Calendario!$B$72:$B$86)</x:f>
        <x:v>0</x:v>
      </x:c>
      <x:c r="D111" s="117" t="str">
        <x:f t="shared" si="1"/>
      </x:c>
      <x:c r="E111" s="118" t="str">
        <x:f t="shared" si="2"/>
      </x:c>
    </x:row>
    <x:row r="112">
      <x:c r="A112" s="115">
        <x:v>46133.0</x:v>
      </x:c>
      <x:c r="B112" s="116" t="str">
        <x:f>IF(Calendario!B31="","",Calendario!B31)</x:f>
      </x:c>
      <x:c r="C112" s="116" t="n">
        <x:f>SUMIF(Calendario!$A$72:$A$86,A112,Calendario!$B$72:$B$86)</x:f>
        <x:v>0</x:v>
      </x:c>
      <x:c r="D112" s="117" t="str">
        <x:f t="shared" si="1"/>
      </x:c>
      <x:c r="E112" s="118" t="str">
        <x:f t="shared" si="2"/>
      </x:c>
    </x:row>
    <x:row r="113">
      <x:c r="A113" s="115">
        <x:v>46134.0</x:v>
      </x:c>
      <x:c r="B113" s="116" t="str">
        <x:f>IF(Calendario!C31="","",Calendario!C31)</x:f>
      </x:c>
      <x:c r="C113" s="116" t="n">
        <x:f>SUMIF(Calendario!$A$72:$A$86,A113,Calendario!$B$72:$B$86)</x:f>
        <x:v>0</x:v>
      </x:c>
      <x:c r="D113" s="117" t="str">
        <x:f t="shared" si="1"/>
      </x:c>
      <x:c r="E113" s="118" t="str">
        <x:f t="shared" si="2"/>
      </x:c>
    </x:row>
    <x:row r="114">
      <x:c r="A114" s="115">
        <x:v>46135.0</x:v>
      </x:c>
      <x:c r="B114" s="116" t="str">
        <x:f>IF(Calendario!D31="","",Calendario!D31)</x:f>
      </x:c>
      <x:c r="C114" s="116" t="n">
        <x:f>SUMIF(Calendario!$A$72:$A$86,A114,Calendario!$B$72:$B$86)</x:f>
        <x:v>0</x:v>
      </x:c>
      <x:c r="D114" s="117" t="str">
        <x:f t="shared" si="1"/>
      </x:c>
      <x:c r="E114" s="118" t="str">
        <x:f t="shared" si="2"/>
      </x:c>
    </x:row>
    <x:row r="115">
      <x:c r="A115" s="115">
        <x:v>46136.0</x:v>
      </x:c>
      <x:c r="B115" s="116" t="str">
        <x:f>IF(Calendario!E31="","",Calendario!E31)</x:f>
      </x:c>
      <x:c r="C115" s="116" t="n">
        <x:f>SUMIF(Calendario!$A$72:$A$86,A115,Calendario!$B$72:$B$86)</x:f>
        <x:v>0</x:v>
      </x:c>
      <x:c r="D115" s="117" t="str">
        <x:f t="shared" si="1"/>
      </x:c>
      <x:c r="E115" s="118" t="str">
        <x:f t="shared" si="2"/>
      </x:c>
    </x:row>
    <x:row r="116">
      <x:c r="A116" s="115">
        <x:v>46137.0</x:v>
      </x:c>
      <x:c r="B116" s="116" t="str">
        <x:f>IF(Calendario!F31="","",Calendario!F31)</x:f>
      </x:c>
      <x:c r="C116" s="116" t="n">
        <x:f>SUMIF(Calendario!$A$72:$A$86,A116,Calendario!$B$72:$B$86)</x:f>
        <x:v>0</x:v>
      </x:c>
      <x:c r="D116" s="117" t="str">
        <x:f t="shared" si="1"/>
      </x:c>
      <x:c r="E116" s="118" t="str">
        <x:f t="shared" si="2"/>
      </x:c>
    </x:row>
    <x:row r="117">
      <x:c r="A117" s="115">
        <x:v>46138.0</x:v>
      </x:c>
      <x:c r="B117" s="116" t="str">
        <x:f>IF(Calendario!G31="","",Calendario!G31)</x:f>
      </x:c>
      <x:c r="C117" s="116" t="n">
        <x:f>SUMIF(Calendario!$A$72:$A$86,A117,Calendario!$B$72:$B$86)</x:f>
        <x:v>0</x:v>
      </x:c>
      <x:c r="D117" s="117" t="str">
        <x:f t="shared" si="1"/>
      </x:c>
      <x:c r="E117" s="118" t="str">
        <x:f t="shared" si="2"/>
      </x:c>
    </x:row>
    <x:row r="118">
      <x:c r="A118" s="115">
        <x:v>46139.0</x:v>
      </x:c>
      <x:c r="B118" s="116" t="str">
        <x:f>IF(Calendario!A33="","",Calendario!A33)</x:f>
      </x:c>
      <x:c r="C118" s="116" t="n">
        <x:f>SUMIF(Calendario!$A$72:$A$86,A118,Calendario!$B$72:$B$86)</x:f>
        <x:v>0</x:v>
      </x:c>
      <x:c r="D118" s="117" t="str">
        <x:f t="shared" si="1"/>
      </x:c>
      <x:c r="E118" s="118" t="str">
        <x:f t="shared" si="2"/>
      </x:c>
    </x:row>
    <x:row r="119">
      <x:c r="A119" s="115">
        <x:v>46140.0</x:v>
      </x:c>
      <x:c r="B119" s="116" t="str">
        <x:f>IF(Calendario!B33="","",Calendario!B33)</x:f>
      </x:c>
      <x:c r="C119" s="116" t="n">
        <x:f>SUMIF(Calendario!$A$72:$A$86,A119,Calendario!$B$72:$B$86)</x:f>
        <x:v>0</x:v>
      </x:c>
      <x:c r="D119" s="117" t="str">
        <x:f t="shared" si="1"/>
      </x:c>
      <x:c r="E119" s="118" t="str">
        <x:f t="shared" si="2"/>
      </x:c>
    </x:row>
    <x:row r="120">
      <x:c r="A120" s="115">
        <x:v>46141.0</x:v>
      </x:c>
      <x:c r="B120" s="116" t="str">
        <x:f>IF(Calendario!C33="","",Calendario!C33)</x:f>
      </x:c>
      <x:c r="C120" s="116" t="n">
        <x:f>SUMIF(Calendario!$A$72:$A$86,A120,Calendario!$B$72:$B$86)</x:f>
        <x:v>0</x:v>
      </x:c>
      <x:c r="D120" s="117" t="str">
        <x:f t="shared" si="1"/>
      </x:c>
      <x:c r="E120" s="118" t="str">
        <x:f t="shared" si="2"/>
      </x:c>
    </x:row>
    <x:row r="121">
      <x:c r="A121" s="115">
        <x:v>46142.0</x:v>
      </x:c>
      <x:c r="B121" s="116" t="n">
        <x:f>IF(Calendario!D33="","",Calendario!D33)</x:f>
        <x:v>30027.3</x:v>
      </x:c>
      <x:c r="C121" s="116" t="n">
        <x:f>SUMIF(Calendario!$A$72:$A$86,A121,Calendario!$B$72:$B$86)</x:f>
        <x:v>0</x:v>
      </x:c>
      <x:c r="D121" s="117" t="str">
        <x:f t="shared" si="1"/>
      </x:c>
      <x:c r="E121" s="118" t="str">
        <x:f t="shared" si="2"/>
        <x:v>Histórico mensual</x:v>
      </x:c>
    </x:row>
    <x:row r="122">
      <x:c r="A122" s="115">
        <x:v>46143.0</x:v>
      </x:c>
      <x:c r="B122" s="116" t="str">
        <x:f>IF(Calendario!M25="","",Calendario!M25)</x:f>
      </x:c>
      <x:c r="C122" s="116" t="n">
        <x:f>SUMIF(Calendario!$A$72:$A$86,A122,Calendario!$B$72:$B$86)</x:f>
        <x:v>0</x:v>
      </x:c>
      <x:c r="D122" s="117" t="str">
        <x:f t="shared" si="1"/>
      </x:c>
      <x:c r="E122" s="118" t="str">
        <x:f t="shared" si="2"/>
      </x:c>
    </x:row>
    <x:row r="123">
      <x:c r="A123" s="115">
        <x:v>46144.0</x:v>
      </x:c>
      <x:c r="B123" s="116" t="str">
        <x:f>IF(Calendario!N25="","",Calendario!N25)</x:f>
      </x:c>
      <x:c r="C123" s="116" t="n">
        <x:f>SUMIF(Calendario!$A$72:$A$86,A123,Calendario!$B$72:$B$86)</x:f>
        <x:v>0</x:v>
      </x:c>
      <x:c r="D123" s="117" t="str">
        <x:f t="shared" si="1"/>
      </x:c>
      <x:c r="E123" s="118" t="str">
        <x:f t="shared" si="2"/>
      </x:c>
    </x:row>
    <x:row r="124">
      <x:c r="A124" s="115">
        <x:v>46145.0</x:v>
      </x:c>
      <x:c r="B124" s="116" t="str">
        <x:f>IF(Calendario!O25="","",Calendario!O25)</x:f>
      </x:c>
      <x:c r="C124" s="116" t="n">
        <x:f>SUMIF(Calendario!$A$72:$A$86,A124,Calendario!$B$72:$B$86)</x:f>
        <x:v>0</x:v>
      </x:c>
      <x:c r="D124" s="117" t="str">
        <x:f t="shared" si="1"/>
      </x:c>
      <x:c r="E124" s="118" t="str">
        <x:f t="shared" si="2"/>
      </x:c>
    </x:row>
    <x:row r="125">
      <x:c r="A125" s="115">
        <x:v>46146.0</x:v>
      </x:c>
      <x:c r="B125" s="116" t="str">
        <x:f>IF(Calendario!I27="","",Calendario!I27)</x:f>
      </x:c>
      <x:c r="C125" s="116" t="n">
        <x:f>SUMIF(Calendario!$A$72:$A$86,A125,Calendario!$B$72:$B$86)</x:f>
        <x:v>0</x:v>
      </x:c>
      <x:c r="D125" s="117" t="str">
        <x:f t="shared" si="1"/>
      </x:c>
      <x:c r="E125" s="118" t="str">
        <x:f t="shared" si="2"/>
      </x:c>
    </x:row>
    <x:row r="126">
      <x:c r="A126" s="115">
        <x:v>46147.0</x:v>
      </x:c>
      <x:c r="B126" s="116" t="str">
        <x:f>IF(Calendario!J27="","",Calendario!J27)</x:f>
      </x:c>
      <x:c r="C126" s="116" t="n">
        <x:f>SUMIF(Calendario!$A$72:$A$86,A126,Calendario!$B$72:$B$86)</x:f>
        <x:v>0</x:v>
      </x:c>
      <x:c r="D126" s="117" t="str">
        <x:f t="shared" si="1"/>
      </x:c>
      <x:c r="E126" s="118" t="str">
        <x:f t="shared" si="2"/>
      </x:c>
    </x:row>
    <x:row r="127">
      <x:c r="A127" s="115">
        <x:v>46148.0</x:v>
      </x:c>
      <x:c r="B127" s="116" t="str">
        <x:f>IF(Calendario!K27="","",Calendario!K27)</x:f>
      </x:c>
      <x:c r="C127" s="116" t="n">
        <x:f>SUMIF(Calendario!$A$72:$A$86,A127,Calendario!$B$72:$B$86)</x:f>
        <x:v>0</x:v>
      </x:c>
      <x:c r="D127" s="117" t="str">
        <x:f t="shared" si="1"/>
      </x:c>
      <x:c r="E127" s="118" t="str">
        <x:f t="shared" si="2"/>
      </x:c>
    </x:row>
    <x:row r="128">
      <x:c r="A128" s="115">
        <x:v>46149.0</x:v>
      </x:c>
      <x:c r="B128" s="116" t="str">
        <x:f>IF(Calendario!L27="","",Calendario!L27)</x:f>
      </x:c>
      <x:c r="C128" s="116" t="n">
        <x:f>SUMIF(Calendario!$A$72:$A$86,A128,Calendario!$B$72:$B$86)</x:f>
        <x:v>0</x:v>
      </x:c>
      <x:c r="D128" s="117" t="str">
        <x:f t="shared" si="1"/>
      </x:c>
      <x:c r="E128" s="118" t="str">
        <x:f t="shared" si="2"/>
      </x:c>
    </x:row>
    <x:row r="129">
      <x:c r="A129" s="115">
        <x:v>46150.0</x:v>
      </x:c>
      <x:c r="B129" s="116" t="str">
        <x:f>IF(Calendario!M27="","",Calendario!M27)</x:f>
      </x:c>
      <x:c r="C129" s="116" t="n">
        <x:f>SUMIF(Calendario!$A$72:$A$86,A129,Calendario!$B$72:$B$86)</x:f>
        <x:v>0</x:v>
      </x:c>
      <x:c r="D129" s="117" t="str">
        <x:f t="shared" si="1"/>
      </x:c>
      <x:c r="E129" s="118" t="str">
        <x:f t="shared" si="2"/>
      </x:c>
    </x:row>
    <x:row r="130">
      <x:c r="A130" s="115">
        <x:v>46151.0</x:v>
      </x:c>
      <x:c r="B130" s="116" t="str">
        <x:f>IF(Calendario!N27="","",Calendario!N27)</x:f>
      </x:c>
      <x:c r="C130" s="116" t="n">
        <x:f>SUMIF(Calendario!$A$72:$A$86,A130,Calendario!$B$72:$B$86)</x:f>
        <x:v>0</x:v>
      </x:c>
      <x:c r="D130" s="117" t="str">
        <x:f t="shared" si="1"/>
      </x:c>
      <x:c r="E130" s="118" t="str">
        <x:f t="shared" si="2"/>
      </x:c>
    </x:row>
    <x:row r="131">
      <x:c r="A131" s="115">
        <x:v>46152.0</x:v>
      </x:c>
      <x:c r="B131" s="116" t="str">
        <x:f>IF(Calendario!O27="","",Calendario!O27)</x:f>
      </x:c>
      <x:c r="C131" s="116" t="n">
        <x:f>SUMIF(Calendario!$A$72:$A$86,A131,Calendario!$B$72:$B$86)</x:f>
        <x:v>0</x:v>
      </x:c>
      <x:c r="D131" s="117" t="str">
        <x:f t="shared" si="1"/>
      </x:c>
      <x:c r="E131" s="118" t="str">
        <x:f t="shared" si="2"/>
      </x:c>
    </x:row>
    <x:row r="132">
      <x:c r="A132" s="115">
        <x:v>46153.0</x:v>
      </x:c>
      <x:c r="B132" s="116" t="str">
        <x:f>IF(Calendario!I29="","",Calendario!I29)</x:f>
      </x:c>
      <x:c r="C132" s="116" t="n">
        <x:f>SUMIF(Calendario!$A$72:$A$86,A132,Calendario!$B$72:$B$86)</x:f>
        <x:v>0</x:v>
      </x:c>
      <x:c r="D132" s="117" t="str">
        <x:f t="shared" si="1"/>
      </x:c>
      <x:c r="E132" s="118" t="str">
        <x:f t="shared" si="2"/>
      </x:c>
    </x:row>
    <x:row r="133">
      <x:c r="A133" s="115">
        <x:v>46154.0</x:v>
      </x:c>
      <x:c r="B133" s="116" t="str">
        <x:f>IF(Calendario!J29="","",Calendario!J29)</x:f>
      </x:c>
      <x:c r="C133" s="116" t="n">
        <x:f>SUMIF(Calendario!$A$72:$A$86,A133,Calendario!$B$72:$B$86)</x:f>
        <x:v>0</x:v>
      </x:c>
      <x:c r="D133" s="117" t="str">
        <x:f t="shared" si="1"/>
      </x:c>
      <x:c r="E133" s="118" t="str">
        <x:f t="shared" si="2"/>
      </x:c>
    </x:row>
    <x:row r="134">
      <x:c r="A134" s="115">
        <x:v>46155.0</x:v>
      </x:c>
      <x:c r="B134" s="116" t="str">
        <x:f>IF(Calendario!K29="","",Calendario!K29)</x:f>
      </x:c>
      <x:c r="C134" s="116" t="n">
        <x:f>SUMIF(Calendario!$A$72:$A$86,A134,Calendario!$B$72:$B$86)</x:f>
        <x:v>0</x:v>
      </x:c>
      <x:c r="D134" s="117" t="str">
        <x:f t="shared" si="1"/>
      </x:c>
      <x:c r="E134" s="118" t="str">
        <x:f t="shared" si="2"/>
      </x:c>
    </x:row>
    <x:row r="135">
      <x:c r="A135" s="115">
        <x:v>46156.0</x:v>
      </x:c>
      <x:c r="B135" s="116" t="str">
        <x:f>IF(Calendario!L29="","",Calendario!L29)</x:f>
      </x:c>
      <x:c r="C135" s="116" t="n">
        <x:f>SUMIF(Calendario!$A$72:$A$86,A135,Calendario!$B$72:$B$86)</x:f>
        <x:v>0</x:v>
      </x:c>
      <x:c r="D135" s="117" t="str">
        <x:f t="shared" si="1"/>
      </x:c>
      <x:c r="E135" s="118" t="str">
        <x:f t="shared" si="2"/>
      </x:c>
    </x:row>
    <x:row r="136">
      <x:c r="A136" s="115">
        <x:v>46157.0</x:v>
      </x:c>
      <x:c r="B136" s="116" t="str">
        <x:f>IF(Calendario!M29="","",Calendario!M29)</x:f>
      </x:c>
      <x:c r="C136" s="116" t="n">
        <x:f>SUMIF(Calendario!$A$72:$A$86,A136,Calendario!$B$72:$B$86)</x:f>
        <x:v>0</x:v>
      </x:c>
      <x:c r="D136" s="117" t="str">
        <x:f t="shared" si="1"/>
      </x:c>
      <x:c r="E136" s="118" t="str">
        <x:f t="shared" si="2"/>
      </x:c>
    </x:row>
    <x:row r="137">
      <x:c r="A137" s="115">
        <x:v>46158.0</x:v>
      </x:c>
      <x:c r="B137" s="116" t="str">
        <x:f>IF(Calendario!N29="","",Calendario!N29)</x:f>
      </x:c>
      <x:c r="C137" s="116" t="n">
        <x:f>SUMIF(Calendario!$A$72:$A$86,A137,Calendario!$B$72:$B$86)</x:f>
        <x:v>0</x:v>
      </x:c>
      <x:c r="D137" s="117" t="str">
        <x:f t="shared" si="1"/>
      </x:c>
      <x:c r="E137" s="118" t="str">
        <x:f t="shared" si="2"/>
      </x:c>
    </x:row>
    <x:row r="138">
      <x:c r="A138" s="115">
        <x:v>46159.0</x:v>
      </x:c>
      <x:c r="B138" s="116" t="str">
        <x:f>IF(Calendario!O29="","",Calendario!O29)</x:f>
      </x:c>
      <x:c r="C138" s="116" t="n">
        <x:f>SUMIF(Calendario!$A$72:$A$86,A138,Calendario!$B$72:$B$86)</x:f>
        <x:v>0</x:v>
      </x:c>
      <x:c r="D138" s="117" t="str">
        <x:f t="shared" si="1"/>
      </x:c>
      <x:c r="E138" s="118" t="str">
        <x:f t="shared" si="2"/>
      </x:c>
    </x:row>
    <x:row r="139">
      <x:c r="A139" s="115">
        <x:v>46160.0</x:v>
      </x:c>
      <x:c r="B139" s="116" t="str">
        <x:f>IF(Calendario!I31="","",Calendario!I31)</x:f>
      </x:c>
      <x:c r="C139" s="116" t="n">
        <x:f>SUMIF(Calendario!$A$72:$A$86,A139,Calendario!$B$72:$B$86)</x:f>
        <x:v>0</x:v>
      </x:c>
      <x:c r="D139" s="117" t="str">
        <x:f t="shared" si="1"/>
      </x:c>
      <x:c r="E139" s="118" t="str">
        <x:f t="shared" si="2"/>
      </x:c>
    </x:row>
    <x:row r="140">
      <x:c r="A140" s="115">
        <x:v>46161.0</x:v>
      </x:c>
      <x:c r="B140" s="116" t="str">
        <x:f>IF(Calendario!J31="","",Calendario!J31)</x:f>
      </x:c>
      <x:c r="C140" s="116" t="n">
        <x:f>SUMIF(Calendario!$A$72:$A$86,A140,Calendario!$B$72:$B$86)</x:f>
        <x:v>0</x:v>
      </x:c>
      <x:c r="D140" s="117" t="str">
        <x:f t="shared" si="1"/>
      </x:c>
      <x:c r="E140" s="118" t="str">
        <x:f t="shared" si="2"/>
      </x:c>
    </x:row>
    <x:row r="141">
      <x:c r="A141" s="115">
        <x:v>46162.0</x:v>
      </x:c>
      <x:c r="B141" s="116" t="str">
        <x:f>IF(Calendario!K31="","",Calendario!K31)</x:f>
      </x:c>
      <x:c r="C141" s="116" t="n">
        <x:f>SUMIF(Calendario!$A$72:$A$86,A141,Calendario!$B$72:$B$86)</x:f>
        <x:v>0</x:v>
      </x:c>
      <x:c r="D141" s="117" t="str">
        <x:f t="shared" si="1"/>
      </x:c>
      <x:c r="E141" s="118" t="str">
        <x:f t="shared" si="2"/>
      </x:c>
    </x:row>
    <x:row r="142">
      <x:c r="A142" s="115">
        <x:v>46163.0</x:v>
      </x:c>
      <x:c r="B142" s="116" t="str">
        <x:f>IF(Calendario!L31="","",Calendario!L31)</x:f>
      </x:c>
      <x:c r="C142" s="116" t="n">
        <x:f>SUMIF(Calendario!$A$72:$A$86,A142,Calendario!$B$72:$B$86)</x:f>
        <x:v>0</x:v>
      </x:c>
      <x:c r="D142" s="117" t="str">
        <x:f t="shared" si="1"/>
      </x:c>
      <x:c r="E142" s="118" t="str">
        <x:f t="shared" si="2"/>
      </x:c>
    </x:row>
    <x:row r="143">
      <x:c r="A143" s="115">
        <x:v>46164.0</x:v>
      </x:c>
      <x:c r="B143" s="116" t="str">
        <x:f>IF(Calendario!M31="","",Calendario!M31)</x:f>
      </x:c>
      <x:c r="C143" s="116" t="n">
        <x:f>SUMIF(Calendario!$A$72:$A$86,A143,Calendario!$B$72:$B$86)</x:f>
        <x:v>0</x:v>
      </x:c>
      <x:c r="D143" s="117" t="str">
        <x:f t="shared" si="1"/>
      </x:c>
      <x:c r="E143" s="118" t="str">
        <x:f t="shared" si="2"/>
      </x:c>
    </x:row>
    <x:row r="144">
      <x:c r="A144" s="115">
        <x:v>46165.0</x:v>
      </x:c>
      <x:c r="B144" s="116" t="str">
        <x:f>IF(Calendario!N31="","",Calendario!N31)</x:f>
      </x:c>
      <x:c r="C144" s="116" t="n">
        <x:f>SUMIF(Calendario!$A$72:$A$86,A144,Calendario!$B$72:$B$86)</x:f>
        <x:v>0</x:v>
      </x:c>
      <x:c r="D144" s="117" t="str">
        <x:f t="shared" si="1"/>
      </x:c>
      <x:c r="E144" s="118" t="str">
        <x:f t="shared" si="2"/>
      </x:c>
    </x:row>
    <x:row r="145">
      <x:c r="A145" s="115">
        <x:v>46166.0</x:v>
      </x:c>
      <x:c r="B145" s="116" t="str">
        <x:f>IF(Calendario!O31="","",Calendario!O31)</x:f>
      </x:c>
      <x:c r="C145" s="116" t="n">
        <x:f>SUMIF(Calendario!$A$72:$A$86,A145,Calendario!$B$72:$B$86)</x:f>
        <x:v>0</x:v>
      </x:c>
      <x:c r="D145" s="117" t="str">
        <x:f t="shared" si="1"/>
      </x:c>
      <x:c r="E145" s="118" t="str">
        <x:f t="shared" si="2"/>
      </x:c>
    </x:row>
    <x:row r="146">
      <x:c r="A146" s="115">
        <x:v>46167.0</x:v>
      </x:c>
      <x:c r="B146" s="116" t="str">
        <x:f>IF(Calendario!I33="","",Calendario!I33)</x:f>
      </x:c>
      <x:c r="C146" s="116" t="n">
        <x:f>SUMIF(Calendario!$A$72:$A$86,A146,Calendario!$B$72:$B$86)</x:f>
        <x:v>0</x:v>
      </x:c>
      <x:c r="D146" s="117" t="str">
        <x:f t="shared" si="1"/>
      </x:c>
      <x:c r="E146" s="118" t="str">
        <x:f t="shared" si="2"/>
      </x:c>
    </x:row>
    <x:row r="147">
      <x:c r="A147" s="115">
        <x:v>46168.0</x:v>
      </x:c>
      <x:c r="B147" s="116" t="str">
        <x:f>IF(Calendario!J33="","",Calendario!J33)</x:f>
      </x:c>
      <x:c r="C147" s="116" t="n">
        <x:f>SUMIF(Calendario!$A$72:$A$86,A147,Calendario!$B$72:$B$86)</x:f>
        <x:v>0</x:v>
      </x:c>
      <x:c r="D147" s="117" t="str">
        <x:f t="shared" si="1"/>
      </x:c>
      <x:c r="E147" s="118" t="str">
        <x:f t="shared" si="2"/>
      </x:c>
    </x:row>
    <x:row r="148">
      <x:c r="A148" s="115">
        <x:v>46169.0</x:v>
      </x:c>
      <x:c r="B148" s="116" t="str">
        <x:f>IF(Calendario!K33="","",Calendario!K33)</x:f>
      </x:c>
      <x:c r="C148" s="116" t="n">
        <x:f>SUMIF(Calendario!$A$72:$A$86,A148,Calendario!$B$72:$B$86)</x:f>
        <x:v>0</x:v>
      </x:c>
      <x:c r="D148" s="117" t="str">
        <x:f t="shared" si="1"/>
      </x:c>
      <x:c r="E148" s="118" t="str">
        <x:f t="shared" si="2"/>
      </x:c>
    </x:row>
    <x:row r="149">
      <x:c r="A149" s="115">
        <x:v>46170.0</x:v>
      </x:c>
      <x:c r="B149" s="116" t="str">
        <x:f>IF(Calendario!L33="","",Calendario!L33)</x:f>
      </x:c>
      <x:c r="C149" s="116" t="n">
        <x:f>SUMIF(Calendario!$A$72:$A$86,A149,Calendario!$B$72:$B$86)</x:f>
        <x:v>0</x:v>
      </x:c>
      <x:c r="D149" s="117" t="str">
        <x:f t="shared" si="1"/>
      </x:c>
      <x:c r="E149" s="118" t="str">
        <x:f t="shared" si="2"/>
      </x:c>
    </x:row>
    <x:row r="150">
      <x:c r="A150" s="115">
        <x:v>46171.0</x:v>
      </x:c>
      <x:c r="B150" s="116" t="n">
        <x:f>IF(Calendario!M33="","",Calendario!M33)</x:f>
        <x:v>30958.15</x:v>
      </x:c>
      <x:c r="C150" s="116" t="n">
        <x:f>SUMIF(Calendario!$A$72:$A$86,A150,Calendario!$B$72:$B$86)</x:f>
        <x:v>0</x:v>
      </x:c>
      <x:c r="D150" s="117" t="str">
        <x:f t="shared" si="1"/>
      </x:c>
      <x:c r="E150" s="118" t="str">
        <x:f t="shared" si="2"/>
        <x:v>Histórico mensual</x:v>
      </x:c>
    </x:row>
    <x:row r="151">
      <x:c r="A151" s="115">
        <x:v>46172.0</x:v>
      </x:c>
      <x:c r="B151" s="116" t="str">
        <x:f>IF(Calendario!N33="","",Calendario!N33)</x:f>
      </x:c>
      <x:c r="C151" s="116" t="n">
        <x:f>SUMIF(Calendario!$A$72:$A$86,A151,Calendario!$B$72:$B$86)</x:f>
        <x:v>0</x:v>
      </x:c>
      <x:c r="D151" s="117" t="str">
        <x:f t="shared" si="1"/>
      </x:c>
      <x:c r="E151" s="118" t="str">
        <x:f t="shared" si="2"/>
      </x:c>
    </x:row>
    <x:row r="152">
      <x:c r="A152" s="115">
        <x:v>46173.0</x:v>
      </x:c>
      <x:c r="B152" s="116" t="str">
        <x:f>IF(Calendario!O33="","",Calendario!O33)</x:f>
      </x:c>
      <x:c r="C152" s="116" t="n">
        <x:f>SUMIF(Calendario!$A$72:$A$86,A152,Calendario!$B$72:$B$86)</x:f>
        <x:v>0</x:v>
      </x:c>
      <x:c r="D152" s="117" t="str">
        <x:f t="shared" si="1"/>
      </x:c>
      <x:c r="E152" s="118" t="str">
        <x:f t="shared" si="2"/>
      </x:c>
    </x:row>
    <x:row r="153">
      <x:c r="A153" s="115">
        <x:v>46174.0</x:v>
      </x:c>
      <x:c r="B153" s="116" t="str">
        <x:f>IF(Calendario!Q25="","",Calendario!Q25)</x:f>
      </x:c>
      <x:c r="C153" s="116" t="n">
        <x:f>SUMIF(Calendario!$A$72:$A$86,A153,Calendario!$B$72:$B$86)</x:f>
        <x:v>0</x:v>
      </x:c>
      <x:c r="D153" s="117" t="str">
        <x:f t="shared" si="1"/>
      </x:c>
      <x:c r="E153" s="118" t="str">
        <x:f t="shared" si="2"/>
      </x:c>
    </x:row>
    <x:row r="154">
      <x:c r="A154" s="115">
        <x:v>46175.0</x:v>
      </x:c>
      <x:c r="B154" s="116" t="str">
        <x:f>IF(Calendario!R25="","",Calendario!R25)</x:f>
      </x:c>
      <x:c r="C154" s="116" t="n">
        <x:f>SUMIF(Calendario!$A$72:$A$86,A154,Calendario!$B$72:$B$86)</x:f>
        <x:v>0</x:v>
      </x:c>
      <x:c r="D154" s="117" t="str">
        <x:f t="shared" si="1"/>
      </x:c>
      <x:c r="E154" s="118" t="str">
        <x:f t="shared" si="2"/>
      </x:c>
    </x:row>
    <x:row r="155">
      <x:c r="A155" s="115">
        <x:v>46176.0</x:v>
      </x:c>
      <x:c r="B155" s="116" t="str">
        <x:f>IF(Calendario!S25="","",Calendario!S25)</x:f>
      </x:c>
      <x:c r="C155" s="116" t="n">
        <x:f>SUMIF(Calendario!$A$72:$A$86,A155,Calendario!$B$72:$B$86)</x:f>
        <x:v>0</x:v>
      </x:c>
      <x:c r="D155" s="117" t="str">
        <x:f t="shared" si="1"/>
      </x:c>
      <x:c r="E155" s="118" t="str">
        <x:f t="shared" si="2"/>
      </x:c>
    </x:row>
    <x:row r="156">
      <x:c r="A156" s="115">
        <x:v>46177.0</x:v>
      </x:c>
      <x:c r="B156" s="116" t="str">
        <x:f>IF(Calendario!T25="","",Calendario!T25)</x:f>
      </x:c>
      <x:c r="C156" s="116" t="n">
        <x:f>SUMIF(Calendario!$A$72:$A$86,A156,Calendario!$B$72:$B$86)</x:f>
        <x:v>0</x:v>
      </x:c>
      <x:c r="D156" s="117" t="str">
        <x:f t="shared" si="1"/>
      </x:c>
      <x:c r="E156" s="118" t="str">
        <x:f t="shared" si="2"/>
      </x:c>
    </x:row>
    <x:row r="157">
      <x:c r="A157" s="115">
        <x:v>46178.0</x:v>
      </x:c>
      <x:c r="B157" s="116" t="str">
        <x:f>IF(Calendario!U25="","",Calendario!U25)</x:f>
      </x:c>
      <x:c r="C157" s="116" t="n">
        <x:f>SUMIF(Calendario!$A$72:$A$86,A157,Calendario!$B$72:$B$86)</x:f>
        <x:v>0</x:v>
      </x:c>
      <x:c r="D157" s="117" t="str">
        <x:f t="shared" si="1"/>
      </x:c>
      <x:c r="E157" s="118" t="str">
        <x:f t="shared" si="2"/>
      </x:c>
    </x:row>
    <x:row r="158">
      <x:c r="A158" s="115">
        <x:v>46179.0</x:v>
      </x:c>
      <x:c r="B158" s="116" t="str">
        <x:f>IF(Calendario!V25="","",Calendario!V25)</x:f>
      </x:c>
      <x:c r="C158" s="116" t="n">
        <x:f>SUMIF(Calendario!$A$72:$A$86,A158,Calendario!$B$72:$B$86)</x:f>
        <x:v>0</x:v>
      </x:c>
      <x:c r="D158" s="117" t="str">
        <x:f t="shared" si="1"/>
      </x:c>
      <x:c r="E158" s="118" t="str">
        <x:f t="shared" si="2"/>
      </x:c>
    </x:row>
    <x:row r="159">
      <x:c r="A159" s="115">
        <x:v>46180.0</x:v>
      </x:c>
      <x:c r="B159" s="116" t="str">
        <x:f>IF(Calendario!W25="","",Calendario!W25)</x:f>
      </x:c>
      <x:c r="C159" s="116" t="n">
        <x:f>SUMIF(Calendario!$A$72:$A$86,A159,Calendario!$B$72:$B$86)</x:f>
        <x:v>0</x:v>
      </x:c>
      <x:c r="D159" s="117" t="str">
        <x:f t="shared" si="1"/>
      </x:c>
      <x:c r="E159" s="118" t="str">
        <x:f t="shared" si="2"/>
      </x:c>
    </x:row>
    <x:row r="160">
      <x:c r="A160" s="115">
        <x:v>46181.0</x:v>
      </x:c>
      <x:c r="B160" s="116" t="str">
        <x:f>IF(Calendario!Q27="","",Calendario!Q27)</x:f>
      </x:c>
      <x:c r="C160" s="116" t="n">
        <x:f>SUMIF(Calendario!$A$72:$A$86,A160,Calendario!$B$72:$B$86)</x:f>
        <x:v>0</x:v>
      </x:c>
      <x:c r="D160" s="117" t="str">
        <x:f t="shared" si="1"/>
      </x:c>
      <x:c r="E160" s="118" t="str">
        <x:f t="shared" si="2"/>
      </x:c>
    </x:row>
    <x:row r="161">
      <x:c r="A161" s="115">
        <x:v>46182.0</x:v>
      </x:c>
      <x:c r="B161" s="116" t="str">
        <x:f>IF(Calendario!R27="","",Calendario!R27)</x:f>
      </x:c>
      <x:c r="C161" s="116" t="n">
        <x:f>SUMIF(Calendario!$A$72:$A$86,A161,Calendario!$B$72:$B$86)</x:f>
        <x:v>0</x:v>
      </x:c>
      <x:c r="D161" s="117" t="str">
        <x:f t="shared" si="1"/>
      </x:c>
      <x:c r="E161" s="118" t="str">
        <x:f t="shared" si="2"/>
      </x:c>
    </x:row>
    <x:row r="162">
      <x:c r="A162" s="115">
        <x:v>46183.0</x:v>
      </x:c>
      <x:c r="B162" s="116" t="str">
        <x:f>IF(Calendario!S27="","",Calendario!S27)</x:f>
      </x:c>
      <x:c r="C162" s="116" t="n">
        <x:f>SUMIF(Calendario!$A$72:$A$86,A162,Calendario!$B$72:$B$86)</x:f>
        <x:v>0</x:v>
      </x:c>
      <x:c r="D162" s="117" t="str">
        <x:f t="shared" si="1"/>
      </x:c>
      <x:c r="E162" s="118" t="str">
        <x:f t="shared" si="2"/>
      </x:c>
    </x:row>
    <x:row r="163">
      <x:c r="A163" s="115">
        <x:v>46184.0</x:v>
      </x:c>
      <x:c r="B163" s="116" t="str">
        <x:f>IF(Calendario!T27="","",Calendario!T27)</x:f>
      </x:c>
      <x:c r="C163" s="116" t="n">
        <x:f>SUMIF(Calendario!$A$72:$A$86,A163,Calendario!$B$72:$B$86)</x:f>
        <x:v>0</x:v>
      </x:c>
      <x:c r="D163" s="117" t="str">
        <x:f t="shared" si="1"/>
      </x:c>
      <x:c r="E163" s="118" t="str">
        <x:f t="shared" si="2"/>
      </x:c>
    </x:row>
    <x:row r="164">
      <x:c r="A164" s="115">
        <x:v>46185.0</x:v>
      </x:c>
      <x:c r="B164" s="116" t="str">
        <x:f>IF(Calendario!U27="","",Calendario!U27)</x:f>
      </x:c>
      <x:c r="C164" s="116" t="n">
        <x:f>SUMIF(Calendario!$A$72:$A$86,A164,Calendario!$B$72:$B$86)</x:f>
        <x:v>0</x:v>
      </x:c>
      <x:c r="D164" s="117" t="str">
        <x:f t="shared" si="1"/>
      </x:c>
      <x:c r="E164" s="118" t="str">
        <x:f t="shared" si="2"/>
      </x:c>
    </x:row>
    <x:row r="165">
      <x:c r="A165" s="115">
        <x:v>46186.0</x:v>
      </x:c>
      <x:c r="B165" s="116" t="str">
        <x:f>IF(Calendario!V27="","",Calendario!V27)</x:f>
      </x:c>
      <x:c r="C165" s="116" t="n">
        <x:f>SUMIF(Calendario!$A$72:$A$86,A165,Calendario!$B$72:$B$86)</x:f>
        <x:v>0</x:v>
      </x:c>
      <x:c r="D165" s="117" t="str">
        <x:f t="shared" si="1"/>
      </x:c>
      <x:c r="E165" s="118" t="str">
        <x:f t="shared" si="2"/>
      </x:c>
    </x:row>
    <x:row r="166">
      <x:c r="A166" s="115">
        <x:v>46187.0</x:v>
      </x:c>
      <x:c r="B166" s="116" t="str">
        <x:f>IF(Calendario!W27="","",Calendario!W27)</x:f>
      </x:c>
      <x:c r="C166" s="116" t="n">
        <x:f>SUMIF(Calendario!$A$72:$A$86,A166,Calendario!$B$72:$B$86)</x:f>
        <x:v>0</x:v>
      </x:c>
      <x:c r="D166" s="117" t="str">
        <x:f t="shared" si="1"/>
      </x:c>
      <x:c r="E166" s="118" t="str">
        <x:f t="shared" si="2"/>
      </x:c>
    </x:row>
    <x:row r="167">
      <x:c r="A167" s="115">
        <x:v>46188.0</x:v>
      </x:c>
      <x:c r="B167" s="116" t="str">
        <x:f>IF(Calendario!Q29="","",Calendario!Q29)</x:f>
      </x:c>
      <x:c r="C167" s="116" t="n">
        <x:f>SUMIF(Calendario!$A$72:$A$86,A167,Calendario!$B$72:$B$86)</x:f>
        <x:v>0</x:v>
      </x:c>
      <x:c r="D167" s="117" t="str">
        <x:f t="shared" si="1"/>
      </x:c>
      <x:c r="E167" s="118" t="str">
        <x:f t="shared" si="2"/>
      </x:c>
    </x:row>
    <x:row r="168">
      <x:c r="A168" s="115">
        <x:v>46189.0</x:v>
      </x:c>
      <x:c r="B168" s="116" t="str">
        <x:f>IF(Calendario!R29="","",Calendario!R29)</x:f>
      </x:c>
      <x:c r="C168" s="116" t="n">
        <x:f>SUMIF(Calendario!$A$72:$A$86,A168,Calendario!$B$72:$B$86)</x:f>
        <x:v>0</x:v>
      </x:c>
      <x:c r="D168" s="117" t="str">
        <x:f t="shared" si="1"/>
      </x:c>
      <x:c r="E168" s="118" t="str">
        <x:f t="shared" si="2"/>
      </x:c>
    </x:row>
    <x:row r="169">
      <x:c r="A169" s="115">
        <x:v>46190.0</x:v>
      </x:c>
      <x:c r="B169" s="116" t="str">
        <x:f>IF(Calendario!S29="","",Calendario!S29)</x:f>
      </x:c>
      <x:c r="C169" s="116" t="n">
        <x:f>SUMIF(Calendario!$A$72:$A$86,A169,Calendario!$B$72:$B$86)</x:f>
        <x:v>0</x:v>
      </x:c>
      <x:c r="D169" s="117" t="str">
        <x:f t="shared" si="1"/>
      </x:c>
      <x:c r="E169" s="118" t="str">
        <x:f t="shared" si="2"/>
      </x:c>
    </x:row>
    <x:row r="170">
      <x:c r="A170" s="115">
        <x:v>46191.0</x:v>
      </x:c>
      <x:c r="B170" s="116" t="str">
        <x:f>IF(Calendario!T29="","",Calendario!T29)</x:f>
      </x:c>
      <x:c r="C170" s="116" t="n">
        <x:f>SUMIF(Calendario!$A$72:$A$86,A170,Calendario!$B$72:$B$86)</x:f>
        <x:v>0</x:v>
      </x:c>
      <x:c r="D170" s="117" t="str">
        <x:f t="shared" si="1"/>
      </x:c>
      <x:c r="E170" s="118" t="str">
        <x:f t="shared" si="2"/>
      </x:c>
    </x:row>
    <x:row r="171">
      <x:c r="A171" s="115">
        <x:v>46192.0</x:v>
      </x:c>
      <x:c r="B171" s="116" t="str">
        <x:f>IF(Calendario!U29="","",Calendario!U29)</x:f>
      </x:c>
      <x:c r="C171" s="116" t="n">
        <x:f>SUMIF(Calendario!$A$72:$A$86,A171,Calendario!$B$72:$B$86)</x:f>
        <x:v>0</x:v>
      </x:c>
      <x:c r="D171" s="117" t="str">
        <x:f t="shared" si="1"/>
      </x:c>
      <x:c r="E171" s="118" t="str">
        <x:f t="shared" si="2"/>
      </x:c>
    </x:row>
    <x:row r="172">
      <x:c r="A172" s="115">
        <x:v>46193.0</x:v>
      </x:c>
      <x:c r="B172" s="116" t="str">
        <x:f>IF(Calendario!V29="","",Calendario!V29)</x:f>
      </x:c>
      <x:c r="C172" s="116" t="n">
        <x:f>SUMIF(Calendario!$A$72:$A$86,A172,Calendario!$B$72:$B$86)</x:f>
        <x:v>0</x:v>
      </x:c>
      <x:c r="D172" s="117" t="str">
        <x:f t="shared" si="1"/>
      </x:c>
      <x:c r="E172" s="118" t="str">
        <x:f t="shared" si="2"/>
      </x:c>
    </x:row>
    <x:row r="173">
      <x:c r="A173" s="115">
        <x:v>46194.0</x:v>
      </x:c>
      <x:c r="B173" s="116" t="str">
        <x:f>IF(Calendario!W29="","",Calendario!W29)</x:f>
      </x:c>
      <x:c r="C173" s="116" t="n">
        <x:f>SUMIF(Calendario!$A$72:$A$86,A173,Calendario!$B$72:$B$86)</x:f>
        <x:v>0</x:v>
      </x:c>
      <x:c r="D173" s="117" t="str">
        <x:f t="shared" si="1"/>
      </x:c>
      <x:c r="E173" s="118" t="str">
        <x:f t="shared" si="2"/>
      </x:c>
    </x:row>
    <x:row r="174">
      <x:c r="A174" s="115">
        <x:v>46195.0</x:v>
      </x:c>
      <x:c r="B174" s="116" t="str">
        <x:f>IF(Calendario!Q31="","",Calendario!Q31)</x:f>
      </x:c>
      <x:c r="C174" s="116" t="n">
        <x:f>SUMIF(Calendario!$A$72:$A$86,A174,Calendario!$B$72:$B$86)</x:f>
        <x:v>0</x:v>
      </x:c>
      <x:c r="D174" s="117" t="str">
        <x:f t="shared" si="1"/>
      </x:c>
      <x:c r="E174" s="118" t="str">
        <x:f t="shared" si="2"/>
      </x:c>
    </x:row>
    <x:row r="175">
      <x:c r="A175" s="115">
        <x:v>46196.0</x:v>
      </x:c>
      <x:c r="B175" s="116" t="str">
        <x:f>IF(Calendario!R31="","",Calendario!R31)</x:f>
      </x:c>
      <x:c r="C175" s="116" t="n">
        <x:f>SUMIF(Calendario!$A$72:$A$86,A175,Calendario!$B$72:$B$86)</x:f>
        <x:v>0</x:v>
      </x:c>
      <x:c r="D175" s="117" t="str">
        <x:f t="shared" si="1"/>
      </x:c>
      <x:c r="E175" s="118" t="str">
        <x:f t="shared" si="2"/>
      </x:c>
    </x:row>
    <x:row r="176">
      <x:c r="A176" s="115">
        <x:v>46197.0</x:v>
      </x:c>
      <x:c r="B176" s="116" t="str">
        <x:f>IF(Calendario!S31="","",Calendario!S31)</x:f>
      </x:c>
      <x:c r="C176" s="116" t="n">
        <x:f>SUMIF(Calendario!$A$72:$A$86,A176,Calendario!$B$72:$B$86)</x:f>
        <x:v>0</x:v>
      </x:c>
      <x:c r="D176" s="117" t="str">
        <x:f t="shared" si="1"/>
      </x:c>
      <x:c r="E176" s="118" t="str">
        <x:f t="shared" si="2"/>
      </x:c>
    </x:row>
    <x:row r="177">
      <x:c r="A177" s="115">
        <x:v>46198.0</x:v>
      </x:c>
      <x:c r="B177" s="116" t="str">
        <x:f>IF(Calendario!T31="","",Calendario!T31)</x:f>
      </x:c>
      <x:c r="C177" s="116" t="n">
        <x:f>SUMIF(Calendario!$A$72:$A$86,A177,Calendario!$B$72:$B$86)</x:f>
        <x:v>0</x:v>
      </x:c>
      <x:c r="D177" s="117" t="str">
        <x:f t="shared" si="1"/>
      </x:c>
      <x:c r="E177" s="118" t="str">
        <x:f t="shared" si="2"/>
      </x:c>
    </x:row>
    <x:row r="178">
      <x:c r="A178" s="115">
        <x:v>46199.0</x:v>
      </x:c>
      <x:c r="B178" s="116" t="str">
        <x:f>IF(Calendario!U31="","",Calendario!U31)</x:f>
      </x:c>
      <x:c r="C178" s="116" t="n">
        <x:f>SUMIF(Calendario!$A$72:$A$86,A178,Calendario!$B$72:$B$86)</x:f>
        <x:v>0</x:v>
      </x:c>
      <x:c r="D178" s="117" t="str">
        <x:f t="shared" si="1"/>
      </x:c>
      <x:c r="E178" s="118" t="str">
        <x:f t="shared" si="2"/>
      </x:c>
    </x:row>
    <x:row r="179">
      <x:c r="A179" s="115">
        <x:v>46200.0</x:v>
      </x:c>
      <x:c r="B179" s="116" t="str">
        <x:f>IF(Calendario!V31="","",Calendario!V31)</x:f>
      </x:c>
      <x:c r="C179" s="116" t="n">
        <x:f>SUMIF(Calendario!$A$72:$A$86,A179,Calendario!$B$72:$B$86)</x:f>
        <x:v>0</x:v>
      </x:c>
      <x:c r="D179" s="117" t="str">
        <x:f t="shared" si="1"/>
      </x:c>
      <x:c r="E179" s="118" t="str">
        <x:f t="shared" si="2"/>
      </x:c>
    </x:row>
    <x:row r="180">
      <x:c r="A180" s="115">
        <x:v>46201.0</x:v>
      </x:c>
      <x:c r="B180" s="116" t="str">
        <x:f>IF(Calendario!W31="","",Calendario!W31)</x:f>
      </x:c>
      <x:c r="C180" s="116" t="n">
        <x:f>SUMIF(Calendario!$A$72:$A$86,A180,Calendario!$B$72:$B$86)</x:f>
        <x:v>0</x:v>
      </x:c>
      <x:c r="D180" s="117" t="str">
        <x:f t="shared" si="1"/>
      </x:c>
      <x:c r="E180" s="118" t="str">
        <x:f t="shared" si="2"/>
      </x:c>
    </x:row>
    <x:row r="181">
      <x:c r="A181" s="115">
        <x:v>46202.0</x:v>
      </x:c>
      <x:c r="B181" s="116" t="str">
        <x:f>IF(Calendario!Q33="","",Calendario!Q33)</x:f>
      </x:c>
      <x:c r="C181" s="116" t="n">
        <x:f>SUMIF(Calendario!$A$72:$A$86,A181,Calendario!$B$72:$B$86)</x:f>
        <x:v>0</x:v>
      </x:c>
      <x:c r="D181" s="117" t="str">
        <x:f t="shared" si="1"/>
      </x:c>
      <x:c r="E181" s="118" t="str">
        <x:f t="shared" si="2"/>
      </x:c>
    </x:row>
    <x:row r="182">
      <x:c r="A182" s="115">
        <x:v>46203.0</x:v>
      </x:c>
      <x:c r="B182" s="116" t="n">
        <x:f>IF(Calendario!R33="","",Calendario!R33)</x:f>
        <x:v>31329.65</x:v>
      </x:c>
      <x:c r="C182" s="116" t="n">
        <x:f>SUMIF(Calendario!$A$72:$A$86,A182,Calendario!$B$72:$B$86)</x:f>
        <x:v>0</x:v>
      </x:c>
      <x:c r="D182" s="117" t="str">
        <x:f t="shared" si="1"/>
      </x:c>
      <x:c r="E182" s="118" t="str">
        <x:f t="shared" si="2"/>
        <x:v>Histórico mensual</x:v>
      </x:c>
    </x:row>
    <x:row r="183">
      <x:c r="A183" s="115">
        <x:v>46204.0</x:v>
      </x:c>
      <x:c r="B183" s="116" t="str">
        <x:f>IF(Calendario!C41="","",Calendario!C41)</x:f>
      </x:c>
      <x:c r="C183" s="116" t="n">
        <x:f>SUMIF(Calendario!$A$72:$A$86,A183,Calendario!$B$72:$B$86)</x:f>
        <x:v>0</x:v>
      </x:c>
      <x:c r="D183" s="117" t="str">
        <x:f t="shared" si="1"/>
      </x:c>
      <x:c r="E183" s="118" t="str">
        <x:f t="shared" si="2"/>
      </x:c>
    </x:row>
    <x:row r="184">
      <x:c r="A184" s="115">
        <x:v>46205.0</x:v>
      </x:c>
      <x:c r="B184" s="116" t="str">
        <x:f>IF(Calendario!D41="","",Calendario!D41)</x:f>
      </x:c>
      <x:c r="C184" s="116" t="n">
        <x:f>SUMIF(Calendario!$A$72:$A$86,A184,Calendario!$B$72:$B$86)</x:f>
        <x:v>0</x:v>
      </x:c>
      <x:c r="D184" s="117" t="str">
        <x:f t="shared" si="1"/>
      </x:c>
      <x:c r="E184" s="118" t="str">
        <x:f t="shared" si="2"/>
      </x:c>
    </x:row>
    <x:row r="185">
      <x:c r="A185" s="115">
        <x:v>46206.0</x:v>
      </x:c>
      <x:c r="B185" s="116" t="str">
        <x:f>IF(Calendario!E41="","",Calendario!E41)</x:f>
      </x:c>
      <x:c r="C185" s="116" t="n">
        <x:f>SUMIF(Calendario!$A$72:$A$86,A185,Calendario!$B$72:$B$86)</x:f>
        <x:v>0</x:v>
      </x:c>
      <x:c r="D185" s="117" t="str">
        <x:f t="shared" si="1"/>
      </x:c>
      <x:c r="E185" s="118" t="str">
        <x:f t="shared" si="2"/>
      </x:c>
    </x:row>
    <x:row r="186">
      <x:c r="A186" s="115">
        <x:v>46207.0</x:v>
      </x:c>
      <x:c r="B186" s="116" t="str">
        <x:f>IF(Calendario!F41="","",Calendario!F41)</x:f>
      </x:c>
      <x:c r="C186" s="116" t="n">
        <x:f>SUMIF(Calendario!$A$72:$A$86,A186,Calendario!$B$72:$B$86)</x:f>
        <x:v>0</x:v>
      </x:c>
      <x:c r="D186" s="117" t="str">
        <x:f t="shared" si="1"/>
      </x:c>
      <x:c r="E186" s="118" t="str">
        <x:f t="shared" si="2"/>
      </x:c>
    </x:row>
    <x:row r="187">
      <x:c r="A187" s="115">
        <x:v>46208.0</x:v>
      </x:c>
      <x:c r="B187" s="116" t="str">
        <x:f>IF(Calendario!G41="","",Calendario!G41)</x:f>
      </x:c>
      <x:c r="C187" s="116" t="n">
        <x:f>SUMIF(Calendario!$A$72:$A$86,A187,Calendario!$B$72:$B$86)</x:f>
        <x:v>0</x:v>
      </x:c>
      <x:c r="D187" s="117" t="str">
        <x:f t="shared" si="1"/>
      </x:c>
      <x:c r="E187" s="118" t="str">
        <x:f t="shared" si="2"/>
      </x:c>
    </x:row>
    <x:row r="188">
      <x:c r="A188" s="115">
        <x:v>46209.0</x:v>
      </x:c>
      <x:c r="B188" s="116" t="str">
        <x:f>IF(Calendario!A43="","",Calendario!A43)</x:f>
      </x:c>
      <x:c r="C188" s="116" t="n">
        <x:f>SUMIF(Calendario!$A$72:$A$86,A188,Calendario!$B$72:$B$86)</x:f>
        <x:v>0</x:v>
      </x:c>
      <x:c r="D188" s="117" t="str">
        <x:f t="shared" si="1"/>
      </x:c>
      <x:c r="E188" s="118" t="str">
        <x:f t="shared" si="2"/>
      </x:c>
    </x:row>
    <x:row r="189">
      <x:c r="A189" s="115">
        <x:v>46210.0</x:v>
      </x:c>
      <x:c r="B189" s="116" t="str">
        <x:f>IF(Calendario!B43="","",Calendario!B43)</x:f>
      </x:c>
      <x:c r="C189" s="116" t="n">
        <x:f>SUMIF(Calendario!$A$72:$A$86,A189,Calendario!$B$72:$B$86)</x:f>
        <x:v>0</x:v>
      </x:c>
      <x:c r="D189" s="117" t="str">
        <x:f t="shared" si="1"/>
      </x:c>
      <x:c r="E189" s="118" t="str">
        <x:f t="shared" si="2"/>
      </x:c>
    </x:row>
    <x:row r="190">
      <x:c r="A190" s="115">
        <x:v>46211.0</x:v>
      </x:c>
      <x:c r="B190" s="116" t="str">
        <x:f>IF(Calendario!C43="","",Calendario!C43)</x:f>
      </x:c>
      <x:c r="C190" s="116" t="n">
        <x:f>SUMIF(Calendario!$A$72:$A$86,A190,Calendario!$B$72:$B$86)</x:f>
        <x:v>0</x:v>
      </x:c>
      <x:c r="D190" s="117" t="str">
        <x:f t="shared" si="1"/>
      </x:c>
      <x:c r="E190" s="118" t="str">
        <x:f t="shared" si="2"/>
      </x:c>
    </x:row>
    <x:row r="191">
      <x:c r="A191" s="115">
        <x:v>46212.0</x:v>
      </x:c>
      <x:c r="B191" s="116" t="n">
        <x:f>IF(Calendario!D43="","",Calendario!D43)</x:f>
        <x:v>25070</x:v>
      </x:c>
      <x:c r="C191" s="116" t="n">
        <x:f>SUMIF(Calendario!$A$72:$A$86,A191,Calendario!$B$72:$B$86)</x:f>
        <x:v>0</x:v>
      </x:c>
      <x:c r="D191" s="117" t="str">
        <x:f t="shared" si="1"/>
      </x:c>
      <x:c r="E191" s="118" t="str">
        <x:f t="shared" si="2"/>
        <x:v>Base diaria</x:v>
      </x:c>
    </x:row>
    <x:row r="192">
      <x:c r="A192" s="115">
        <x:v>46213.0</x:v>
      </x:c>
      <x:c r="B192" s="116" t="n">
        <x:f>IF(Calendario!E43="","",Calendario!E43)</x:f>
        <x:v>25140</x:v>
      </x:c>
      <x:c r="C192" s="116" t="n">
        <x:f>SUMIF(Calendario!$A$72:$A$86,A192,Calendario!$B$72:$B$86)</x:f>
        <x:v>0</x:v>
      </x:c>
      <x:c r="D192" s="117" t="str">
        <x:f t="shared" si="1"/>
      </x:c>
      <x:c r="E192" s="118" t="str">
        <x:f t="shared" si="2"/>
        <x:v>Diario</x:v>
      </x:c>
    </x:row>
    <x:row r="193">
      <x:c r="A193" s="115">
        <x:v>46214.0</x:v>
      </x:c>
      <x:c r="B193" s="116" t="n">
        <x:f>IF(Calendario!F43="","",Calendario!F43)</x:f>
        <x:v>25210</x:v>
      </x:c>
      <x:c r="C193" s="116" t="n">
        <x:f>SUMIF(Calendario!$A$72:$A$86,A193,Calendario!$B$72:$B$86)</x:f>
        <x:v>0</x:v>
      </x:c>
      <x:c r="D193" s="117" t="str">
        <x:f t="shared" si="1"/>
      </x:c>
      <x:c r="E193" s="118" t="str">
        <x:f t="shared" si="2"/>
        <x:v>Fin de semana</x:v>
      </x:c>
    </x:row>
    <x:row r="194">
      <x:c r="A194" s="115">
        <x:v>46215.0</x:v>
      </x:c>
      <x:c r="B194" s="116" t="str">
        <x:f>IF(Calendario!G43="","",Calendario!G43)</x:f>
      </x:c>
      <x:c r="C194" s="116" t="n">
        <x:f>SUMIF(Calendario!$A$72:$A$86,A194,Calendario!$B$72:$B$86)</x:f>
        <x:v>0</x:v>
      </x:c>
      <x:c r="D194" s="117" t="str">
        <x:f t="shared" si="1"/>
      </x:c>
      <x:c r="E194" s="118" t="str">
        <x:f t="shared" si="2"/>
      </x:c>
    </x:row>
    <x:row r="195">
      <x:c r="A195" s="115">
        <x:v>46216.0</x:v>
      </x:c>
      <x:c r="B195" s="116" t="n">
        <x:f>IF(Calendario!A45="","",Calendario!A45)</x:f>
        <x:v>25025</x:v>
      </x:c>
      <x:c r="C195" s="116" t="n">
        <x:f>SUMIF(Calendario!$A$72:$A$86,A195,Calendario!$B$72:$B$86)</x:f>
        <x:v>0</x:v>
      </x:c>
      <x:c r="D195" s="117" t="str">
        <x:f t="shared" si="1"/>
      </x:c>
      <x:c r="E195" s="118" t="str">
        <x:f t="shared" si="2"/>
        <x:v>Diario</x:v>
      </x:c>
    </x:row>
    <x:row r="196">
      <x:c r="A196" s="115">
        <x:v>46217.0</x:v>
      </x:c>
      <x:c r="B196" s="116" t="n">
        <x:f>IF(Calendario!B45="","",Calendario!B45)</x:f>
        <x:v>25095</x:v>
      </x:c>
      <x:c r="C196" s="116" t="n">
        <x:f>SUMIF(Calendario!$A$72:$A$86,A196,Calendario!$B$72:$B$86)</x:f>
        <x:v>0</x:v>
      </x:c>
      <x:c r="D196" s="117" t="str">
        <x:f t="shared" si="1"/>
      </x:c>
      <x:c r="E196" s="118" t="str">
        <x:f t="shared" si="2"/>
        <x:v>Diario</x:v>
      </x:c>
    </x:row>
    <x:row r="197">
      <x:c r="A197" s="115">
        <x:v>46218.0</x:v>
      </x:c>
      <x:c r="B197" s="116" t="n">
        <x:f>IF(Calendario!C45="","",Calendario!C45)</x:f>
        <x:v>25345</x:v>
      </x:c>
      <x:c r="C197" s="116" t="n">
        <x:f>SUMIF(Calendario!$A$72:$A$86,A197,Calendario!$B$72:$B$86)</x:f>
        <x:v>0</x:v>
      </x:c>
      <x:c r="D197" s="117" t="str">
        <x:f t="shared" si="1"/>
      </x:c>
      <x:c r="E197" s="118" t="str">
        <x:f t="shared" si="2"/>
        <x:v>Diario</x:v>
      </x:c>
    </x:row>
    <x:row r="198">
      <x:c r="A198" s="115">
        <x:v>46219.0</x:v>
      </x:c>
      <x:c r="B198" s="116" t="n">
        <x:f>IF(Calendario!D45="","",Calendario!D45)</x:f>
        <x:v>25415</x:v>
      </x:c>
      <x:c r="C198" s="116" t="n">
        <x:f>SUMIF(Calendario!$A$72:$A$86,A198,Calendario!$B$72:$B$86)</x:f>
        <x:v>0</x:v>
      </x:c>
      <x:c r="D198" s="117" t="str">
        <x:f t="shared" si="1"/>
      </x:c>
      <x:c r="E198" s="118" t="str">
        <x:f t="shared" si="2"/>
        <x:v>Diario</x:v>
      </x:c>
    </x:row>
    <x:row r="199">
      <x:c r="A199" s="115">
        <x:v>46220.0</x:v>
      </x:c>
      <x:c r="B199" s="116" t="n">
        <x:f>IF(Calendario!E45="","",Calendario!E45)</x:f>
        <x:v>25485</x:v>
      </x:c>
      <x:c r="C199" s="116" t="n">
        <x:f>SUMIF(Calendario!$A$72:$A$86,A199,Calendario!$B$72:$B$86)</x:f>
        <x:v>0</x:v>
      </x:c>
      <x:c r="D199" s="117" t="str">
        <x:f t="shared" si="1"/>
      </x:c>
      <x:c r="E199" s="118" t="str">
        <x:f t="shared" si="2"/>
        <x:v>Diario</x:v>
      </x:c>
    </x:row>
    <x:row r="200">
      <x:c r="A200" s="115">
        <x:v>46221.0</x:v>
      </x:c>
      <x:c r="B200" s="116" t="n">
        <x:f>IF(Calendario!F45="","",Calendario!F45)</x:f>
        <x:v>25555</x:v>
      </x:c>
      <x:c r="C200" s="116" t="n">
        <x:f>SUMIF(Calendario!$A$72:$A$86,A200,Calendario!$B$72:$B$86)</x:f>
        <x:v>0</x:v>
      </x:c>
      <x:c r="D200" s="117" t="str">
        <x:f t="shared" si="1"/>
      </x:c>
      <x:c r="E200" s="118" t="str">
        <x:f t="shared" si="2"/>
        <x:v>Fin de semana</x:v>
      </x:c>
    </x:row>
    <x:row r="201">
      <x:c r="A201" s="115">
        <x:v>46222.0</x:v>
      </x:c>
      <x:c r="B201" s="116" t="str">
        <x:f>IF(Calendario!G45="","",Calendario!G45)</x:f>
      </x:c>
      <x:c r="C201" s="116" t="n">
        <x:f>SUMIF(Calendario!$A$72:$A$86,A201,Calendario!$B$72:$B$86)</x:f>
        <x:v>0</x:v>
      </x:c>
      <x:c r="D201" s="117" t="str">
        <x:f t="shared" si="1"/>
      </x:c>
      <x:c r="E201" s="118" t="str">
        <x:f t="shared" si="2"/>
      </x:c>
    </x:row>
    <x:row r="202">
      <x:c r="A202" s="115">
        <x:v>46223.0</x:v>
      </x:c>
      <x:c r="B202" s="116" t="n">
        <x:f>IF(Calendario!A47="","",Calendario!A47)</x:f>
        <x:v>25300</x:v>
      </x:c>
      <x:c r="C202" s="116" t="n">
        <x:f>SUMIF(Calendario!$A$72:$A$86,A202,Calendario!$B$72:$B$86)</x:f>
        <x:v>0</x:v>
      </x:c>
      <x:c r="D202" s="117" t="str">
        <x:f t="shared" si="1"/>
      </x:c>
      <x:c r="E202" s="118" t="str">
        <x:f t="shared" si="2"/>
        <x:v>Diario</x:v>
      </x:c>
    </x:row>
    <x:row r="203">
      <x:c r="A203" s="115">
        <x:v>46224.0</x:v>
      </x:c>
      <x:c r="B203" s="116" t="n">
        <x:f>IF(Calendario!B47="","",Calendario!B47)</x:f>
        <x:v>25370</x:v>
      </x:c>
      <x:c r="C203" s="116" t="n">
        <x:f>SUMIF(Calendario!$A$72:$A$86,A203,Calendario!$B$72:$B$86)</x:f>
        <x:v>0</x:v>
      </x:c>
      <x:c r="D203" s="117" t="str">
        <x:f t="shared" si="1"/>
      </x:c>
      <x:c r="E203" s="118" t="str">
        <x:f t="shared" si="2"/>
        <x:v>Diario</x:v>
      </x:c>
    </x:row>
    <x:row r="204">
      <x:c r="A204" s="115">
        <x:v>46225.0</x:v>
      </x:c>
      <x:c r="B204" s="116" t="n">
        <x:f>IF(Calendario!C47="","",Calendario!C47)</x:f>
        <x:v>25440</x:v>
      </x:c>
      <x:c r="C204" s="116" t="n">
        <x:f>SUMIF(Calendario!$A$72:$A$86,A204,Calendario!$B$72:$B$86)</x:f>
        <x:v>0</x:v>
      </x:c>
      <x:c r="D204" s="117" t="str">
        <x:f t="shared" si="1"/>
      </x:c>
      <x:c r="E204" s="118" t="str">
        <x:f t="shared" si="2"/>
        <x:v>Diario</x:v>
      </x:c>
    </x:row>
    <x:row r="205">
      <x:c r="A205" s="115">
        <x:v>46226.0</x:v>
      </x:c>
      <x:c r="B205" s="116" t="n">
        <x:f>IF(Calendario!D47="","",Calendario!D47)</x:f>
        <x:v>25690</x:v>
      </x:c>
      <x:c r="C205" s="116" t="n">
        <x:f>SUMIF(Calendario!$A$72:$A$86,A205,Calendario!$B$72:$B$86)</x:f>
        <x:v>0</x:v>
      </x:c>
      <x:c r="D205" s="117" t="str">
        <x:f t="shared" si="1"/>
      </x:c>
      <x:c r="E205" s="118" t="str">
        <x:f t="shared" si="2"/>
        <x:v>Diario</x:v>
      </x:c>
    </x:row>
    <x:row r="206">
      <x:c r="A206" s="115">
        <x:v>46227.0</x:v>
      </x:c>
      <x:c r="B206" s="116" t="n">
        <x:f>IF(Calendario!E47="","",Calendario!E47)</x:f>
        <x:v>25760</x:v>
      </x:c>
      <x:c r="C206" s="116" t="n">
        <x:f>SUMIF(Calendario!$A$72:$A$86,A206,Calendario!$B$72:$B$86)</x:f>
        <x:v>0</x:v>
      </x:c>
      <x:c r="D206" s="117" t="str">
        <x:f t="shared" si="1"/>
      </x:c>
      <x:c r="E206" s="118" t="str">
        <x:f t="shared" si="2"/>
        <x:v>Diario</x:v>
      </x:c>
    </x:row>
    <x:row r="207">
      <x:c r="A207" s="115">
        <x:v>46228.0</x:v>
      </x:c>
      <x:c r="B207" s="116" t="str">
        <x:f>IF(Calendario!F47="","",Calendario!F47)</x:f>
      </x:c>
      <x:c r="C207" s="116" t="n">
        <x:f>SUMIF(Calendario!$A$72:$A$86,A207,Calendario!$B$72:$B$86)</x:f>
        <x:v>0</x:v>
      </x:c>
      <x:c r="D207" s="117" t="str">
        <x:f t="shared" si="1"/>
      </x:c>
      <x:c r="E207" s="118" t="str">
        <x:f t="shared" si="2"/>
      </x:c>
    </x:row>
    <x:row r="208">
      <x:c r="A208" s="115">
        <x:v>46229.0</x:v>
      </x:c>
      <x:c r="B208" s="116" t="str">
        <x:f>IF(Calendario!G47="","",Calendario!G47)</x:f>
      </x:c>
      <x:c r="C208" s="116" t="n">
        <x:f>SUMIF(Calendario!$A$72:$A$86,A208,Calendario!$B$72:$B$86)</x:f>
        <x:v>0</x:v>
      </x:c>
      <x:c r="D208" s="117" t="str">
        <x:f t="shared" si="1"/>
      </x:c>
      <x:c r="E208" s="118" t="str">
        <x:f t="shared" si="2"/>
      </x:c>
    </x:row>
    <x:row r="209">
      <x:c r="A209" s="115">
        <x:v>46230.0</x:v>
      </x:c>
      <x:c r="B209" s="116" t="n">
        <x:f>IF(Calendario!A49="","",Calendario!A49)</x:f>
        <x:v>25830</x:v>
      </x:c>
      <x:c r="C209" s="116" t="n">
        <x:f>SUMIF(Calendario!$A$72:$A$86,A209,Calendario!$B$72:$B$86)</x:f>
        <x:v>0</x:v>
      </x:c>
      <x:c r="D209" s="117" t="str">
        <x:f t="shared" si="1"/>
      </x:c>
      <x:c r="E209" s="118" t="str">
        <x:f t="shared" si="2"/>
        <x:v>Diario</x:v>
      </x:c>
    </x:row>
    <x:row r="210">
      <x:c r="A210" s="115">
        <x:v>46231.0</x:v>
      </x:c>
      <x:c r="B210" s="116" t="n">
        <x:f>IF(Calendario!B49="","",Calendario!B49)</x:f>
        <x:v>24865</x:v>
      </x:c>
      <x:c r="C210" s="116" t="n">
        <x:f>SUMIF(Calendario!$A$72:$A$86,A210,Calendario!$B$72:$B$86)</x:f>
        <x:v>0</x:v>
      </x:c>
      <x:c r="D210" s="117" t="str">
        <x:f t="shared" si="1"/>
      </x:c>
      <x:c r="E210" s="118" t="str">
        <x:f t="shared" si="2"/>
        <x:v>Diario</x:v>
      </x:c>
    </x:row>
    <x:row r="211">
      <x:c r="A211" s="115">
        <x:v>46232.0</x:v>
      </x:c>
      <x:c r="B211" s="116" t="n">
        <x:f>IF(Calendario!C49="","",Calendario!C49)</x:f>
        <x:v>25115</x:v>
      </x:c>
      <x:c r="C211" s="116" t="n">
        <x:f>SUMIF(Calendario!$A$72:$A$86,A211,Calendario!$B$72:$B$86)</x:f>
        <x:v>0</x:v>
      </x:c>
      <x:c r="D211" s="117" t="str">
        <x:f t="shared" si="1"/>
      </x:c>
      <x:c r="E211" s="118" t="str">
        <x:f t="shared" si="2"/>
        <x:v>Diario</x:v>
      </x:c>
    </x:row>
    <x:row r="212">
      <x:c r="A212" s="115">
        <x:v>46233.0</x:v>
      </x:c>
      <x:c r="B212" s="116" t="n">
        <x:f>IF(Calendario!D49="","",Calendario!D49)</x:f>
        <x:v>25185</x:v>
      </x:c>
      <x:c r="C212" s="116" t="n">
        <x:f>SUMIF(Calendario!$A$72:$A$86,A212,Calendario!$B$72:$B$86)</x:f>
        <x:v>0</x:v>
      </x:c>
      <x:c r="D212" s="117" t="str">
        <x:f t="shared" si="1"/>
      </x:c>
      <x:c r="E212" s="118" t="str">
        <x:f t="shared" si="2"/>
        <x:v>Diario</x:v>
      </x:c>
    </x:row>
    <x:row r="213">
      <x:c r="A213" s="115">
        <x:v>46234.0</x:v>
      </x:c>
      <x:c r="B213" s="116" t="n">
        <x:f>IF(Calendario!E49="","",Calendario!E49)</x:f>
        <x:v>25255</x:v>
      </x:c>
      <x:c r="C213" s="116" t="n">
        <x:f>SUMIF(Calendario!$A$72:$A$86,A213,Calendario!$B$72:$B$86)</x:f>
        <x:v>0</x:v>
      </x:c>
      <x:c r="D213" s="117" t="str">
        <x:f t="shared" si="1"/>
      </x:c>
      <x:c r="E213" s="118" t="str">
        <x:f t="shared" si="2"/>
        <x:v>Diario</x:v>
      </x:c>
    </x:row>
    <x:row r="214">
      <x:c r="A214" s="115">
        <x:v>46235.0</x:v>
      </x:c>
      <x:c r="B214" s="116" t="n">
        <x:f>IF(Calendario!N41="","",Calendario!N41)</x:f>
        <x:v>25000</x:v>
      </x:c>
      <x:c r="C214" s="116" t="n">
        <x:f>SUMIF(Calendario!$A$72:$A$86,A214,Calendario!$B$72:$B$86)</x:f>
        <x:v>0</x:v>
      </x:c>
      <x:c r="D214" s="117" t="str">
        <x:f t="shared" si="1"/>
      </x:c>
      <x:c r="E214" s="118" t="str">
        <x:f t="shared" si="2"/>
        <x:v>Fin de semana</x:v>
      </x:c>
    </x:row>
    <x:row r="215">
      <x:c r="A215" s="115">
        <x:v>46236.0</x:v>
      </x:c>
      <x:c r="B215" s="116" t="str">
        <x:f>IF(Calendario!O41="","",Calendario!O41)</x:f>
      </x:c>
      <x:c r="C215" s="116" t="n">
        <x:f>SUMIF(Calendario!$A$72:$A$86,A215,Calendario!$B$72:$B$86)</x:f>
        <x:v>0</x:v>
      </x:c>
      <x:c r="D215" s="117" t="str">
        <x:f t="shared" si="1"/>
      </x:c>
      <x:c r="E215" s="118" t="str">
        <x:f t="shared" si="2"/>
      </x:c>
    </x:row>
    <x:row r="216">
      <x:c r="A216" s="115">
        <x:v>46237.0</x:v>
      </x:c>
      <x:c r="B216" s="116" t="n">
        <x:f>IF(Calendario!I43="","",Calendario!I43)</x:f>
        <x:v>25460</x:v>
      </x:c>
      <x:c r="C216" s="116" t="n">
        <x:f>SUMIF(Calendario!$A$72:$A$86,A216,Calendario!$B$72:$B$86)</x:f>
        <x:v>0</x:v>
      </x:c>
      <x:c r="D216" s="117" t="str">
        <x:f t="shared" si="1"/>
      </x:c>
      <x:c r="E216" s="118" t="str">
        <x:f t="shared" si="2"/>
        <x:v>Diario</x:v>
      </x:c>
    </x:row>
    <x:row r="217">
      <x:c r="A217" s="115">
        <x:v>46238.0</x:v>
      </x:c>
      <x:c r="B217" s="116" t="n">
        <x:f>IF(Calendario!J43="","",Calendario!J43)</x:f>
        <x:v>25530</x:v>
      </x:c>
      <x:c r="C217" s="116" t="n">
        <x:f>SUMIF(Calendario!$A$72:$A$86,A217,Calendario!$B$72:$B$86)</x:f>
        <x:v>0</x:v>
      </x:c>
      <x:c r="D217" s="117" t="str">
        <x:f t="shared" si="1"/>
      </x:c>
      <x:c r="E217" s="118" t="str">
        <x:f t="shared" si="2"/>
        <x:v>Diario</x:v>
      </x:c>
    </x:row>
    <x:row r="218">
      <x:c r="A218" s="115">
        <x:v>46239.0</x:v>
      </x:c>
      <x:c r="B218" s="116" t="n">
        <x:f>IF(Calendario!K43="","",Calendario!K43)</x:f>
        <x:v>25600</x:v>
      </x:c>
      <x:c r="C218" s="116" t="n">
        <x:f>SUMIF(Calendario!$A$72:$A$86,A218,Calendario!$B$72:$B$86)</x:f>
        <x:v>0</x:v>
      </x:c>
      <x:c r="D218" s="117" t="str">
        <x:f t="shared" si="1"/>
      </x:c>
      <x:c r="E218" s="118" t="str">
        <x:f t="shared" si="2"/>
        <x:v>Diario</x:v>
      </x:c>
    </x:row>
    <x:row r="219">
      <x:c r="A219" s="115">
        <x:v>46240.0</x:v>
      </x:c>
      <x:c r="B219" s="116" t="n">
        <x:f>IF(Calendario!L43="","",Calendario!L43)</x:f>
        <x:v>25670</x:v>
      </x:c>
      <x:c r="C219" s="116" t="n">
        <x:f>SUMIF(Calendario!$A$72:$A$86,A219,Calendario!$B$72:$B$86)</x:f>
        <x:v>0</x:v>
      </x:c>
      <x:c r="D219" s="117" t="str">
        <x:f t="shared" si="1"/>
      </x:c>
      <x:c r="E219" s="118" t="str">
        <x:f t="shared" si="2"/>
        <x:v>Diario</x:v>
      </x:c>
    </x:row>
    <x:row r="220">
      <x:c r="A220" s="115">
        <x:v>46241.0</x:v>
      </x:c>
      <x:c r="B220" s="116" t="n">
        <x:f>IF(Calendario!M43="","",Calendario!M43)</x:f>
        <x:v>25920</x:v>
      </x:c>
      <x:c r="C220" s="116" t="n">
        <x:f>SUMIF(Calendario!$A$72:$A$86,A220,Calendario!$B$72:$B$86)</x:f>
        <x:v>0</x:v>
      </x:c>
      <x:c r="D220" s="117" t="str">
        <x:f t="shared" si="1"/>
      </x:c>
      <x:c r="E220" s="118" t="str">
        <x:f t="shared" si="2"/>
        <x:v>Diario</x:v>
      </x:c>
    </x:row>
    <x:row r="221">
      <x:c r="A221" s="115">
        <x:v>46242.0</x:v>
      </x:c>
      <x:c r="B221" s="116" t="n">
        <x:f>IF(Calendario!N43="","",Calendario!N43)</x:f>
        <x:v>24955</x:v>
      </x:c>
      <x:c r="C221" s="116" t="n">
        <x:f>SUMIF(Calendario!$A$72:$A$86,A221,Calendario!$B$72:$B$86)</x:f>
        <x:v>0</x:v>
      </x:c>
      <x:c r="D221" s="117" t="str">
        <x:f t="shared" si="1"/>
      </x:c>
      <x:c r="E221" s="118" t="str">
        <x:f t="shared" si="2"/>
        <x:v>Fin de semana</x:v>
      </x:c>
    </x:row>
    <x:row r="222">
      <x:c r="A222" s="115">
        <x:v>46243.0</x:v>
      </x:c>
      <x:c r="B222" s="116" t="str">
        <x:f>IF(Calendario!O43="","",Calendario!O43)</x:f>
      </x:c>
      <x:c r="C222" s="116" t="n">
        <x:f>SUMIF(Calendario!$A$72:$A$86,A222,Calendario!$B$72:$B$86)</x:f>
        <x:v>0</x:v>
      </x:c>
      <x:c r="D222" s="117" t="str">
        <x:f t="shared" si="1"/>
      </x:c>
      <x:c r="E222" s="118" t="str">
        <x:f t="shared" si="2"/>
      </x:c>
    </x:row>
    <x:row r="223">
      <x:c r="A223" s="115">
        <x:v>46244.0</x:v>
      </x:c>
      <x:c r="B223" s="116" t="n">
        <x:f>IF(Calendario!I45="","",Calendario!I45)</x:f>
        <x:v>25805</x:v>
      </x:c>
      <x:c r="C223" s="116" t="n">
        <x:f>SUMIF(Calendario!$A$72:$A$86,A223,Calendario!$B$72:$B$86)</x:f>
        <x:v>0</x:v>
      </x:c>
      <x:c r="D223" s="117" t="str">
        <x:f t="shared" si="1"/>
      </x:c>
      <x:c r="E223" s="118" t="str">
        <x:f t="shared" si="2"/>
        <x:v>Diario</x:v>
      </x:c>
    </x:row>
    <x:row r="224">
      <x:c r="A224" s="115">
        <x:v>46245.0</x:v>
      </x:c>
      <x:c r="B224" s="116" t="n">
        <x:f>IF(Calendario!J45="","",Calendario!J45)</x:f>
        <x:v>25875</x:v>
      </x:c>
      <x:c r="C224" s="116" t="n">
        <x:f>SUMIF(Calendario!$A$72:$A$86,A224,Calendario!$B$72:$B$86)</x:f>
        <x:v>0</x:v>
      </x:c>
      <x:c r="D224" s="117" t="str">
        <x:f t="shared" si="1"/>
      </x:c>
      <x:c r="E224" s="118" t="str">
        <x:f t="shared" si="2"/>
        <x:v>Diario</x:v>
      </x:c>
    </x:row>
    <x:row r="225">
      <x:c r="A225" s="115">
        <x:v>46246.0</x:v>
      </x:c>
      <x:c r="B225" s="116" t="n">
        <x:f>IF(Calendario!K45="","",Calendario!K45)</x:f>
        <x:v>24910</x:v>
      </x:c>
      <x:c r="C225" s="116" t="n">
        <x:f>SUMIF(Calendario!$A$72:$A$86,A225,Calendario!$B$72:$B$86)</x:f>
        <x:v>0</x:v>
      </x:c>
      <x:c r="D225" s="117" t="str">
        <x:f t="shared" si="1"/>
      </x:c>
      <x:c r="E225" s="118" t="str">
        <x:f t="shared" si="2"/>
        <x:v>Diario</x:v>
      </x:c>
    </x:row>
    <x:row r="226">
      <x:c r="A226" s="115">
        <x:v>46247.0</x:v>
      </x:c>
      <x:c r="B226" s="116" t="n">
        <x:f>IF(Calendario!L45="","",Calendario!L45)</x:f>
        <x:v>24980</x:v>
      </x:c>
      <x:c r="C226" s="116" t="n">
        <x:f>SUMIF(Calendario!$A$72:$A$86,A226,Calendario!$B$72:$B$86)</x:f>
        <x:v>0</x:v>
      </x:c>
      <x:c r="D226" s="117" t="str">
        <x:f t="shared" si="1"/>
      </x:c>
      <x:c r="E226" s="118" t="str">
        <x:f t="shared" si="2"/>
        <x:v>Diario</x:v>
      </x:c>
    </x:row>
    <x:row r="227">
      <x:c r="A227" s="115">
        <x:v>46248.0</x:v>
      </x:c>
      <x:c r="B227" s="116" t="n">
        <x:f>IF(Calendario!M45="","",Calendario!M45)</x:f>
        <x:v>25230</x:v>
      </x:c>
      <x:c r="C227" s="116" t="n">
        <x:f>SUMIF(Calendario!$A$72:$A$86,A227,Calendario!$B$72:$B$86)</x:f>
        <x:v>0</x:v>
      </x:c>
      <x:c r="D227" s="117" t="str">
        <x:f t="shared" si="1"/>
      </x:c>
      <x:c r="E227" s="118" t="str">
        <x:f t="shared" si="2"/>
        <x:v>Diario</x:v>
      </x:c>
    </x:row>
    <x:row r="228">
      <x:c r="A228" s="115">
        <x:v>46249.0</x:v>
      </x:c>
      <x:c r="B228" s="116" t="str">
        <x:f>IF(Calendario!N45="","",Calendario!N45)</x:f>
      </x:c>
      <x:c r="C228" s="116" t="n">
        <x:f>SUMIF(Calendario!$A$72:$A$86,A228,Calendario!$B$72:$B$86)</x:f>
        <x:v>0</x:v>
      </x:c>
      <x:c r="D228" s="117" t="str">
        <x:f t="shared" si="1"/>
      </x:c>
      <x:c r="E228" s="118" t="str">
        <x:f t="shared" si="2"/>
      </x:c>
    </x:row>
    <x:row r="229">
      <x:c r="A229" s="115">
        <x:v>46250.0</x:v>
      </x:c>
      <x:c r="B229" s="116" t="str">
        <x:f>IF(Calendario!O45="","",Calendario!O45)</x:f>
      </x:c>
      <x:c r="C229" s="116" t="n">
        <x:f>SUMIF(Calendario!$A$72:$A$86,A229,Calendario!$B$72:$B$86)</x:f>
        <x:v>0</x:v>
      </x:c>
      <x:c r="D229" s="117" t="str">
        <x:f t="shared" si="1"/>
      </x:c>
      <x:c r="E229" s="118" t="str">
        <x:f t="shared" si="2"/>
      </x:c>
    </x:row>
    <x:row r="230">
      <x:c r="A230" s="115">
        <x:v>46251.0</x:v>
      </x:c>
      <x:c r="B230" s="116" t="str">
        <x:f>IF(Calendario!I47="","",Calendario!I47)</x:f>
      </x:c>
      <x:c r="C230" s="116" t="n">
        <x:f>SUMIF(Calendario!$A$72:$A$86,A230,Calendario!$B$72:$B$86)</x:f>
        <x:v>0</x:v>
      </x:c>
      <x:c r="D230" s="117" t="str">
        <x:f t="shared" si="1"/>
      </x:c>
      <x:c r="E230" s="118" t="str">
        <x:f t="shared" si="2"/>
      </x:c>
    </x:row>
    <x:row r="231">
      <x:c r="A231" s="115">
        <x:v>46252.0</x:v>
      </x:c>
      <x:c r="B231" s="116" t="str">
        <x:f>IF(Calendario!J47="","",Calendario!J47)</x:f>
      </x:c>
      <x:c r="C231" s="116" t="n">
        <x:f>SUMIF(Calendario!$A$72:$A$86,A231,Calendario!$B$72:$B$86)</x:f>
        <x:v>0</x:v>
      </x:c>
      <x:c r="D231" s="117" t="str">
        <x:f t="shared" si="1"/>
      </x:c>
      <x:c r="E231" s="118" t="str">
        <x:f t="shared" si="2"/>
      </x:c>
    </x:row>
    <x:row r="232">
      <x:c r="A232" s="115">
        <x:v>46253.0</x:v>
      </x:c>
      <x:c r="B232" s="116" t="str">
        <x:f>IF(Calendario!K47="","",Calendario!K47)</x:f>
      </x:c>
      <x:c r="C232" s="116" t="n">
        <x:f>SUMIF(Calendario!$A$72:$A$86,A232,Calendario!$B$72:$B$86)</x:f>
        <x:v>0</x:v>
      </x:c>
      <x:c r="D232" s="117" t="str">
        <x:f t="shared" si="1"/>
      </x:c>
      <x:c r="E232" s="118" t="str">
        <x:f t="shared" si="2"/>
      </x:c>
    </x:row>
    <x:row r="233">
      <x:c r="A233" s="115">
        <x:v>46254.0</x:v>
      </x:c>
      <x:c r="B233" s="116" t="str">
        <x:f>IF(Calendario!L47="","",Calendario!L47)</x:f>
      </x:c>
      <x:c r="C233" s="116" t="n">
        <x:f>SUMIF(Calendario!$A$72:$A$86,A233,Calendario!$B$72:$B$86)</x:f>
        <x:v>0</x:v>
      </x:c>
      <x:c r="D233" s="117" t="str">
        <x:f t="shared" si="1"/>
      </x:c>
      <x:c r="E233" s="118" t="str">
        <x:f t="shared" si="2"/>
      </x:c>
    </x:row>
    <x:row r="234">
      <x:c r="A234" s="115">
        <x:v>46255.0</x:v>
      </x:c>
      <x:c r="B234" s="116" t="str">
        <x:f>IF(Calendario!M47="","",Calendario!M47)</x:f>
      </x:c>
      <x:c r="C234" s="116" t="n">
        <x:f>SUMIF(Calendario!$A$72:$A$86,A234,Calendario!$B$72:$B$86)</x:f>
        <x:v>0</x:v>
      </x:c>
      <x:c r="D234" s="117" t="str">
        <x:f t="shared" si="1"/>
      </x:c>
      <x:c r="E234" s="118" t="str">
        <x:f t="shared" si="2"/>
      </x:c>
    </x:row>
    <x:row r="235">
      <x:c r="A235" s="115">
        <x:v>46256.0</x:v>
      </x:c>
      <x:c r="B235" s="116" t="str">
        <x:f>IF(Calendario!N47="","",Calendario!N47)</x:f>
      </x:c>
      <x:c r="C235" s="116" t="n">
        <x:f>SUMIF(Calendario!$A$72:$A$86,A235,Calendario!$B$72:$B$86)</x:f>
        <x:v>0</x:v>
      </x:c>
      <x:c r="D235" s="117" t="str">
        <x:f t="shared" si="1"/>
      </x:c>
      <x:c r="E235" s="118" t="str">
        <x:f t="shared" si="2"/>
      </x:c>
    </x:row>
    <x:row r="236">
      <x:c r="A236" s="115">
        <x:v>46257.0</x:v>
      </x:c>
      <x:c r="B236" s="116" t="str">
        <x:f>IF(Calendario!O47="","",Calendario!O47)</x:f>
      </x:c>
      <x:c r="C236" s="116" t="n">
        <x:f>SUMIF(Calendario!$A$72:$A$86,A236,Calendario!$B$72:$B$86)</x:f>
        <x:v>0</x:v>
      </x:c>
      <x:c r="D236" s="117" t="str">
        <x:f t="shared" si="1"/>
      </x:c>
      <x:c r="E236" s="118" t="str">
        <x:f t="shared" si="2"/>
      </x:c>
    </x:row>
    <x:row r="237">
      <x:c r="A237" s="115">
        <x:v>46258.0</x:v>
      </x:c>
      <x:c r="B237" s="116" t="str">
        <x:f>IF(Calendario!I49="","",Calendario!I49)</x:f>
      </x:c>
      <x:c r="C237" s="116" t="n">
        <x:f>SUMIF(Calendario!$A$72:$A$86,A237,Calendario!$B$72:$B$86)</x:f>
        <x:v>0</x:v>
      </x:c>
      <x:c r="D237" s="117" t="str">
        <x:f t="shared" si="1"/>
      </x:c>
      <x:c r="E237" s="118" t="str">
        <x:f t="shared" si="2"/>
      </x:c>
    </x:row>
    <x:row r="238">
      <x:c r="A238" s="115">
        <x:v>46259.0</x:v>
      </x:c>
      <x:c r="B238" s="116" t="str">
        <x:f>IF(Calendario!J49="","",Calendario!J49)</x:f>
      </x:c>
      <x:c r="C238" s="116" t="n">
        <x:f>SUMIF(Calendario!$A$72:$A$86,A238,Calendario!$B$72:$B$86)</x:f>
        <x:v>0</x:v>
      </x:c>
      <x:c r="D238" s="117" t="str">
        <x:f t="shared" si="1"/>
      </x:c>
      <x:c r="E238" s="118" t="str">
        <x:f t="shared" si="2"/>
      </x:c>
    </x:row>
    <x:row r="239">
      <x:c r="A239" s="115">
        <x:v>46260.0</x:v>
      </x:c>
      <x:c r="B239" s="116" t="str">
        <x:f>IF(Calendario!K49="","",Calendario!K49)</x:f>
      </x:c>
      <x:c r="C239" s="116" t="n">
        <x:f>SUMIF(Calendario!$A$72:$A$86,A239,Calendario!$B$72:$B$86)</x:f>
        <x:v>0</x:v>
      </x:c>
      <x:c r="D239" s="117" t="str">
        <x:f t="shared" si="1"/>
      </x:c>
      <x:c r="E239" s="118" t="str">
        <x:f t="shared" si="2"/>
      </x:c>
    </x:row>
    <x:row r="240">
      <x:c r="A240" s="115">
        <x:v>46261.0</x:v>
      </x:c>
      <x:c r="B240" s="116" t="str">
        <x:f>IF(Calendario!L49="","",Calendario!L49)</x:f>
      </x:c>
      <x:c r="C240" s="116" t="n">
        <x:f>SUMIF(Calendario!$A$72:$A$86,A240,Calendario!$B$72:$B$86)</x:f>
        <x:v>0</x:v>
      </x:c>
      <x:c r="D240" s="117" t="str">
        <x:f t="shared" si="1"/>
      </x:c>
      <x:c r="E240" s="118" t="str">
        <x:f t="shared" si="2"/>
      </x:c>
    </x:row>
    <x:row r="241">
      <x:c r="A241" s="115">
        <x:v>46262.0</x:v>
      </x:c>
      <x:c r="B241" s="116" t="str">
        <x:f>IF(Calendario!M49="","",Calendario!M49)</x:f>
      </x:c>
      <x:c r="C241" s="116" t="n">
        <x:f>SUMIF(Calendario!$A$72:$A$86,A241,Calendario!$B$72:$B$86)</x:f>
        <x:v>0</x:v>
      </x:c>
      <x:c r="D241" s="117" t="str">
        <x:f t="shared" si="1"/>
      </x:c>
      <x:c r="E241" s="118" t="str">
        <x:f t="shared" si="2"/>
      </x:c>
    </x:row>
    <x:row r="242">
      <x:c r="A242" s="115">
        <x:v>46263.0</x:v>
      </x:c>
      <x:c r="B242" s="116" t="str">
        <x:f>IF(Calendario!N49="","",Calendario!N49)</x:f>
      </x:c>
      <x:c r="C242" s="116" t="n">
        <x:f>SUMIF(Calendario!$A$72:$A$86,A242,Calendario!$B$72:$B$86)</x:f>
        <x:v>0</x:v>
      </x:c>
      <x:c r="D242" s="117" t="str">
        <x:f t="shared" si="1"/>
      </x:c>
      <x:c r="E242" s="118" t="str">
        <x:f t="shared" si="2"/>
      </x:c>
    </x:row>
    <x:row r="243">
      <x:c r="A243" s="115">
        <x:v>46264.0</x:v>
      </x:c>
      <x:c r="B243" s="116" t="str">
        <x:f>IF(Calendario!O49="","",Calendario!O49)</x:f>
      </x:c>
      <x:c r="C243" s="116" t="n">
        <x:f>SUMIF(Calendario!$A$72:$A$86,A243,Calendario!$B$72:$B$86)</x:f>
        <x:v>0</x:v>
      </x:c>
      <x:c r="D243" s="117" t="str">
        <x:f t="shared" si="1"/>
      </x:c>
      <x:c r="E243" s="118" t="str">
        <x:f t="shared" si="2"/>
      </x:c>
    </x:row>
    <x:row r="244">
      <x:c r="A244" s="115">
        <x:v>46265.0</x:v>
      </x:c>
      <x:c r="B244" s="116" t="str">
        <x:f>IF(Calendario!I51="","",Calendario!I51)</x:f>
      </x:c>
      <x:c r="C244" s="116" t="n">
        <x:f>SUMIF(Calendario!$A$72:$A$86,A244,Calendario!$B$72:$B$86)</x:f>
        <x:v>0</x:v>
      </x:c>
      <x:c r="D244" s="117" t="str">
        <x:f t="shared" si="1"/>
      </x:c>
      <x:c r="E244" s="118" t="str">
        <x:f t="shared" si="2"/>
      </x:c>
    </x:row>
    <x:row r="245">
      <x:c r="A245" s="115">
        <x:v>46266.0</x:v>
      </x:c>
      <x:c r="B245" s="116" t="str">
        <x:f>IF(Calendario!R41="","",Calendario!R41)</x:f>
      </x:c>
      <x:c r="C245" s="116" t="n">
        <x:f>SUMIF(Calendario!$A$72:$A$86,A245,Calendario!$B$72:$B$86)</x:f>
        <x:v>0</x:v>
      </x:c>
      <x:c r="D245" s="117" t="str">
        <x:f t="shared" si="1"/>
      </x:c>
      <x:c r="E245" s="118" t="str">
        <x:f t="shared" si="2"/>
      </x:c>
    </x:row>
    <x:row r="246">
      <x:c r="A246" s="115">
        <x:v>46267.0</x:v>
      </x:c>
      <x:c r="B246" s="116" t="str">
        <x:f>IF(Calendario!S41="","",Calendario!S41)</x:f>
      </x:c>
      <x:c r="C246" s="116" t="n">
        <x:f>SUMIF(Calendario!$A$72:$A$86,A246,Calendario!$B$72:$B$86)</x:f>
        <x:v>0</x:v>
      </x:c>
      <x:c r="D246" s="117" t="str">
        <x:f t="shared" si="1"/>
      </x:c>
      <x:c r="E246" s="118" t="str">
        <x:f t="shared" si="2"/>
      </x:c>
    </x:row>
    <x:row r="247">
      <x:c r="A247" s="115">
        <x:v>46268.0</x:v>
      </x:c>
      <x:c r="B247" s="116" t="str">
        <x:f>IF(Calendario!T41="","",Calendario!T41)</x:f>
      </x:c>
      <x:c r="C247" s="116" t="n">
        <x:f>SUMIF(Calendario!$A$72:$A$86,A247,Calendario!$B$72:$B$86)</x:f>
        <x:v>0</x:v>
      </x:c>
      <x:c r="D247" s="117" t="str">
        <x:f t="shared" si="1"/>
      </x:c>
      <x:c r="E247" s="118" t="str">
        <x:f t="shared" si="2"/>
      </x:c>
    </x:row>
    <x:row r="248">
      <x:c r="A248" s="115">
        <x:v>46269.0</x:v>
      </x:c>
      <x:c r="B248" s="116" t="str">
        <x:f>IF(Calendario!U41="","",Calendario!U41)</x:f>
      </x:c>
      <x:c r="C248" s="116" t="n">
        <x:f>SUMIF(Calendario!$A$72:$A$86,A248,Calendario!$B$72:$B$86)</x:f>
        <x:v>0</x:v>
      </x:c>
      <x:c r="D248" s="117" t="str">
        <x:f t="shared" si="1"/>
      </x:c>
      <x:c r="E248" s="118" t="str">
        <x:f t="shared" si="2"/>
      </x:c>
    </x:row>
    <x:row r="249">
      <x:c r="A249" s="115">
        <x:v>46270.0</x:v>
      </x:c>
      <x:c r="B249" s="116" t="str">
        <x:f>IF(Calendario!V41="","",Calendario!V41)</x:f>
      </x:c>
      <x:c r="C249" s="116" t="n">
        <x:f>SUMIF(Calendario!$A$72:$A$86,A249,Calendario!$B$72:$B$86)</x:f>
        <x:v>0</x:v>
      </x:c>
      <x:c r="D249" s="117" t="str">
        <x:f t="shared" si="1"/>
      </x:c>
      <x:c r="E249" s="118" t="str">
        <x:f t="shared" si="2"/>
      </x:c>
    </x:row>
    <x:row r="250">
      <x:c r="A250" s="115">
        <x:v>46271.0</x:v>
      </x:c>
      <x:c r="B250" s="116" t="str">
        <x:f>IF(Calendario!W41="","",Calendario!W41)</x:f>
      </x:c>
      <x:c r="C250" s="116" t="n">
        <x:f>SUMIF(Calendario!$A$72:$A$86,A250,Calendario!$B$72:$B$86)</x:f>
        <x:v>0</x:v>
      </x:c>
      <x:c r="D250" s="117" t="str">
        <x:f t="shared" si="1"/>
      </x:c>
      <x:c r="E250" s="118" t="str">
        <x:f t="shared" si="2"/>
      </x:c>
    </x:row>
    <x:row r="251">
      <x:c r="A251" s="115">
        <x:v>46272.0</x:v>
      </x:c>
      <x:c r="B251" s="116" t="str">
        <x:f>IF(Calendario!Q43="","",Calendario!Q43)</x:f>
      </x:c>
      <x:c r="C251" s="116" t="n">
        <x:f>SUMIF(Calendario!$A$72:$A$86,A251,Calendario!$B$72:$B$86)</x:f>
        <x:v>0</x:v>
      </x:c>
      <x:c r="D251" s="117" t="str">
        <x:f t="shared" si="1"/>
      </x:c>
      <x:c r="E251" s="118" t="str">
        <x:f t="shared" si="2"/>
      </x:c>
    </x:row>
    <x:row r="252">
      <x:c r="A252" s="115">
        <x:v>46273.0</x:v>
      </x:c>
      <x:c r="B252" s="116" t="str">
        <x:f>IF(Calendario!R43="","",Calendario!R43)</x:f>
      </x:c>
      <x:c r="C252" s="116" t="n">
        <x:f>SUMIF(Calendario!$A$72:$A$86,A252,Calendario!$B$72:$B$86)</x:f>
        <x:v>0</x:v>
      </x:c>
      <x:c r="D252" s="117" t="str">
        <x:f t="shared" si="1"/>
      </x:c>
      <x:c r="E252" s="118" t="str">
        <x:f t="shared" si="2"/>
      </x:c>
    </x:row>
    <x:row r="253">
      <x:c r="A253" s="115">
        <x:v>46274.0</x:v>
      </x:c>
      <x:c r="B253" s="116" t="str">
        <x:f>IF(Calendario!S43="","",Calendario!S43)</x:f>
      </x:c>
      <x:c r="C253" s="116" t="n">
        <x:f>SUMIF(Calendario!$A$72:$A$86,A253,Calendario!$B$72:$B$86)</x:f>
        <x:v>0</x:v>
      </x:c>
      <x:c r="D253" s="117" t="str">
        <x:f t="shared" si="1"/>
      </x:c>
      <x:c r="E253" s="118" t="str">
        <x:f t="shared" si="2"/>
      </x:c>
    </x:row>
    <x:row r="254">
      <x:c r="A254" s="115">
        <x:v>46275.0</x:v>
      </x:c>
      <x:c r="B254" s="116" t="str">
        <x:f>IF(Calendario!T43="","",Calendario!T43)</x:f>
      </x:c>
      <x:c r="C254" s="116" t="n">
        <x:f>SUMIF(Calendario!$A$72:$A$86,A254,Calendario!$B$72:$B$86)</x:f>
        <x:v>0</x:v>
      </x:c>
      <x:c r="D254" s="117" t="str">
        <x:f t="shared" si="1"/>
      </x:c>
      <x:c r="E254" s="118" t="str">
        <x:f t="shared" si="2"/>
      </x:c>
    </x:row>
    <x:row r="255">
      <x:c r="A255" s="115">
        <x:v>46276.0</x:v>
      </x:c>
      <x:c r="B255" s="116" t="str">
        <x:f>IF(Calendario!U43="","",Calendario!U43)</x:f>
      </x:c>
      <x:c r="C255" s="116" t="n">
        <x:f>SUMIF(Calendario!$A$72:$A$86,A255,Calendario!$B$72:$B$86)</x:f>
        <x:v>0</x:v>
      </x:c>
      <x:c r="D255" s="117" t="str">
        <x:f t="shared" si="1"/>
      </x:c>
      <x:c r="E255" s="118" t="str">
        <x:f t="shared" si="2"/>
      </x:c>
    </x:row>
    <x:row r="256">
      <x:c r="A256" s="115">
        <x:v>46277.0</x:v>
      </x:c>
      <x:c r="B256" s="116" t="str">
        <x:f>IF(Calendario!V43="","",Calendario!V43)</x:f>
      </x:c>
      <x:c r="C256" s="116" t="n">
        <x:f>SUMIF(Calendario!$A$72:$A$86,A256,Calendario!$B$72:$B$86)</x:f>
        <x:v>0</x:v>
      </x:c>
      <x:c r="D256" s="117" t="str">
        <x:f t="shared" si="1"/>
      </x:c>
      <x:c r="E256" s="118" t="str">
        <x:f t="shared" si="2"/>
      </x:c>
    </x:row>
    <x:row r="257">
      <x:c r="A257" s="115">
        <x:v>46278.0</x:v>
      </x:c>
      <x:c r="B257" s="116" t="str">
        <x:f>IF(Calendario!W43="","",Calendario!W43)</x:f>
      </x:c>
      <x:c r="C257" s="116" t="n">
        <x:f>SUMIF(Calendario!$A$72:$A$86,A257,Calendario!$B$72:$B$86)</x:f>
        <x:v>0</x:v>
      </x:c>
      <x:c r="D257" s="117" t="str">
        <x:f t="shared" si="1"/>
      </x:c>
      <x:c r="E257" s="118" t="str">
        <x:f t="shared" si="2"/>
      </x:c>
    </x:row>
    <x:row r="258">
      <x:c r="A258" s="115">
        <x:v>46279.0</x:v>
      </x:c>
      <x:c r="B258" s="116" t="str">
        <x:f>IF(Calendario!Q45="","",Calendario!Q45)</x:f>
      </x:c>
      <x:c r="C258" s="116" t="n">
        <x:f>SUMIF(Calendario!$A$72:$A$86,A258,Calendario!$B$72:$B$86)</x:f>
        <x:v>0</x:v>
      </x:c>
      <x:c r="D258" s="117" t="str">
        <x:f t="shared" si="1"/>
      </x:c>
      <x:c r="E258" s="118" t="str">
        <x:f t="shared" si="2"/>
      </x:c>
    </x:row>
    <x:row r="259">
      <x:c r="A259" s="115">
        <x:v>46280.0</x:v>
      </x:c>
      <x:c r="B259" s="116" t="str">
        <x:f>IF(Calendario!R45="","",Calendario!R45)</x:f>
      </x:c>
      <x:c r="C259" s="116" t="n">
        <x:f>SUMIF(Calendario!$A$72:$A$86,A259,Calendario!$B$72:$B$86)</x:f>
        <x:v>0</x:v>
      </x:c>
      <x:c r="D259" s="117" t="str">
        <x:f t="shared" si="1"/>
      </x:c>
      <x:c r="E259" s="118" t="str">
        <x:f t="shared" si="2"/>
      </x:c>
    </x:row>
    <x:row r="260">
      <x:c r="A260" s="115">
        <x:v>46281.0</x:v>
      </x:c>
      <x:c r="B260" s="116" t="str">
        <x:f>IF(Calendario!S45="","",Calendario!S45)</x:f>
      </x:c>
      <x:c r="C260" s="116" t="n">
        <x:f>SUMIF(Calendario!$A$72:$A$86,A260,Calendario!$B$72:$B$86)</x:f>
        <x:v>0</x:v>
      </x:c>
      <x:c r="D260" s="117" t="str">
        <x:f t="shared" si="1"/>
      </x:c>
      <x:c r="E260" s="118" t="str">
        <x:f t="shared" si="2"/>
      </x:c>
    </x:row>
    <x:row r="261">
      <x:c r="A261" s="115">
        <x:v>46282.0</x:v>
      </x:c>
      <x:c r="B261" s="116" t="str">
        <x:f>IF(Calendario!T45="","",Calendario!T45)</x:f>
      </x:c>
      <x:c r="C261" s="116" t="n">
        <x:f>SUMIF(Calendario!$A$72:$A$86,A261,Calendario!$B$72:$B$86)</x:f>
        <x:v>0</x:v>
      </x:c>
      <x:c r="D261" s="117" t="str">
        <x:f t="shared" si="1"/>
      </x:c>
      <x:c r="E261" s="118" t="str">
        <x:f t="shared" si="2"/>
      </x:c>
    </x:row>
    <x:row r="262">
      <x:c r="A262" s="115">
        <x:v>46283.0</x:v>
      </x:c>
      <x:c r="B262" s="116" t="str">
        <x:f>IF(Calendario!U45="","",Calendario!U45)</x:f>
      </x:c>
      <x:c r="C262" s="116" t="n">
        <x:f>SUMIF(Calendario!$A$72:$A$86,A262,Calendario!$B$72:$B$86)</x:f>
        <x:v>0</x:v>
      </x:c>
      <x:c r="D262" s="117" t="str">
        <x:f t="shared" si="1"/>
      </x:c>
      <x:c r="E262" s="118" t="str">
        <x:f t="shared" si="2"/>
      </x:c>
    </x:row>
    <x:row r="263">
      <x:c r="A263" s="115">
        <x:v>46284.0</x:v>
      </x:c>
      <x:c r="B263" s="116" t="str">
        <x:f>IF(Calendario!V45="","",Calendario!V45)</x:f>
      </x:c>
      <x:c r="C263" s="116" t="n">
        <x:f>SUMIF(Calendario!$A$72:$A$86,A263,Calendario!$B$72:$B$86)</x:f>
        <x:v>0</x:v>
      </x:c>
      <x:c r="D263" s="117" t="str">
        <x:f t="shared" si="1"/>
      </x:c>
      <x:c r="E263" s="118" t="str">
        <x:f t="shared" si="2"/>
      </x:c>
    </x:row>
    <x:row r="264">
      <x:c r="A264" s="115">
        <x:v>46285.0</x:v>
      </x:c>
      <x:c r="B264" s="116" t="str">
        <x:f>IF(Calendario!W45="","",Calendario!W45)</x:f>
      </x:c>
      <x:c r="C264" s="116" t="n">
        <x:f>SUMIF(Calendario!$A$72:$A$86,A264,Calendario!$B$72:$B$86)</x:f>
        <x:v>0</x:v>
      </x:c>
      <x:c r="D264" s="117" t="str">
        <x:f t="shared" si="1"/>
      </x:c>
      <x:c r="E264" s="118" t="str">
        <x:f t="shared" si="2"/>
      </x:c>
    </x:row>
    <x:row r="265">
      <x:c r="A265" s="115">
        <x:v>46286.0</x:v>
      </x:c>
      <x:c r="B265" s="116" t="str">
        <x:f>IF(Calendario!Q47="","",Calendario!Q47)</x:f>
      </x:c>
      <x:c r="C265" s="116" t="n">
        <x:f>SUMIF(Calendario!$A$72:$A$86,A265,Calendario!$B$72:$B$86)</x:f>
        <x:v>0</x:v>
      </x:c>
      <x:c r="D265" s="117" t="str">
        <x:f t="shared" si="1"/>
      </x:c>
      <x:c r="E265" s="118" t="str">
        <x:f t="shared" si="2"/>
      </x:c>
    </x:row>
    <x:row r="266">
      <x:c r="A266" s="115">
        <x:v>46287.0</x:v>
      </x:c>
      <x:c r="B266" s="116" t="str">
        <x:f>IF(Calendario!R47="","",Calendario!R47)</x:f>
      </x:c>
      <x:c r="C266" s="116" t="n">
        <x:f>SUMIF(Calendario!$A$72:$A$86,A266,Calendario!$B$72:$B$86)</x:f>
        <x:v>0</x:v>
      </x:c>
      <x:c r="D266" s="117" t="str">
        <x:f t="shared" si="1"/>
      </x:c>
      <x:c r="E266" s="118" t="str">
        <x:f t="shared" si="2"/>
      </x:c>
    </x:row>
    <x:row r="267">
      <x:c r="A267" s="115">
        <x:v>46288.0</x:v>
      </x:c>
      <x:c r="B267" s="116" t="str">
        <x:f>IF(Calendario!S47="","",Calendario!S47)</x:f>
      </x:c>
      <x:c r="C267" s="116" t="n">
        <x:f>SUMIF(Calendario!$A$72:$A$86,A267,Calendario!$B$72:$B$86)</x:f>
        <x:v>0</x:v>
      </x:c>
      <x:c r="D267" s="117" t="str">
        <x:f t="shared" si="1"/>
      </x:c>
      <x:c r="E267" s="118" t="str">
        <x:f t="shared" si="2"/>
      </x:c>
    </x:row>
    <x:row r="268">
      <x:c r="A268" s="115">
        <x:v>46289.0</x:v>
      </x:c>
      <x:c r="B268" s="116" t="str">
        <x:f>IF(Calendario!T47="","",Calendario!T47)</x:f>
      </x:c>
      <x:c r="C268" s="116" t="n">
        <x:f>SUMIF(Calendario!$A$72:$A$86,A268,Calendario!$B$72:$B$86)</x:f>
        <x:v>0</x:v>
      </x:c>
      <x:c r="D268" s="117" t="str">
        <x:f t="shared" si="1"/>
      </x:c>
      <x:c r="E268" s="118" t="str">
        <x:f t="shared" si="2"/>
      </x:c>
    </x:row>
    <x:row r="269">
      <x:c r="A269" s="115">
        <x:v>46290.0</x:v>
      </x:c>
      <x:c r="B269" s="116" t="str">
        <x:f>IF(Calendario!U47="","",Calendario!U47)</x:f>
      </x:c>
      <x:c r="C269" s="116" t="n">
        <x:f>SUMIF(Calendario!$A$72:$A$86,A269,Calendario!$B$72:$B$86)</x:f>
        <x:v>0</x:v>
      </x:c>
      <x:c r="D269" s="117" t="str">
        <x:f t="shared" si="1"/>
      </x:c>
      <x:c r="E269" s="118" t="str">
        <x:f t="shared" si="2"/>
      </x:c>
    </x:row>
    <x:row r="270">
      <x:c r="A270" s="115">
        <x:v>46291.0</x:v>
      </x:c>
      <x:c r="B270" s="116" t="str">
        <x:f>IF(Calendario!V47="","",Calendario!V47)</x:f>
      </x:c>
      <x:c r="C270" s="116" t="n">
        <x:f>SUMIF(Calendario!$A$72:$A$86,A270,Calendario!$B$72:$B$86)</x:f>
        <x:v>0</x:v>
      </x:c>
      <x:c r="D270" s="117" t="str">
        <x:f t="shared" si="1"/>
      </x:c>
      <x:c r="E270" s="118" t="str">
        <x:f t="shared" si="2"/>
      </x:c>
    </x:row>
    <x:row r="271">
      <x:c r="A271" s="115">
        <x:v>46292.0</x:v>
      </x:c>
      <x:c r="B271" s="116" t="str">
        <x:f>IF(Calendario!W47="","",Calendario!W47)</x:f>
      </x:c>
      <x:c r="C271" s="116" t="n">
        <x:f>SUMIF(Calendario!$A$72:$A$86,A271,Calendario!$B$72:$B$86)</x:f>
        <x:v>0</x:v>
      </x:c>
      <x:c r="D271" s="117" t="str">
        <x:f t="shared" si="1"/>
      </x:c>
      <x:c r="E271" s="118" t="str">
        <x:f t="shared" si="2"/>
      </x:c>
    </x:row>
    <x:row r="272">
      <x:c r="A272" s="115">
        <x:v>46293.0</x:v>
      </x:c>
      <x:c r="B272" s="116" t="str">
        <x:f>IF(Calendario!Q49="","",Calendario!Q49)</x:f>
      </x:c>
      <x:c r="C272" s="116" t="n">
        <x:f>SUMIF(Calendario!$A$72:$A$86,A272,Calendario!$B$72:$B$86)</x:f>
        <x:v>0</x:v>
      </x:c>
      <x:c r="D272" s="117" t="str">
        <x:f t="shared" si="1"/>
      </x:c>
      <x:c r="E272" s="118" t="str">
        <x:f t="shared" si="2"/>
      </x:c>
    </x:row>
    <x:row r="273">
      <x:c r="A273" s="115">
        <x:v>46294.0</x:v>
      </x:c>
      <x:c r="B273" s="116" t="str">
        <x:f>IF(Calendario!R49="","",Calendario!R49)</x:f>
      </x:c>
      <x:c r="C273" s="116" t="n">
        <x:f>SUMIF(Calendario!$A$72:$A$86,A273,Calendario!$B$72:$B$86)</x:f>
        <x:v>0</x:v>
      </x:c>
      <x:c r="D273" s="117" t="str">
        <x:f t="shared" si="1"/>
      </x:c>
      <x:c r="E273" s="118" t="str">
        <x:f t="shared" si="2"/>
      </x:c>
    </x:row>
    <x:row r="274">
      <x:c r="A274" s="115">
        <x:v>46295.0</x:v>
      </x:c>
      <x:c r="B274" s="116" t="str">
        <x:f>IF(Calendario!S49="","",Calendario!S49)</x:f>
      </x:c>
      <x:c r="C274" s="116" t="n">
        <x:f>SUMIF(Calendario!$A$72:$A$86,A274,Calendario!$B$72:$B$86)</x:f>
        <x:v>0</x:v>
      </x:c>
      <x:c r="D274" s="117" t="str">
        <x:f t="shared" si="1"/>
      </x:c>
      <x:c r="E274" s="118" t="str">
        <x:f t="shared" si="2"/>
      </x:c>
    </x:row>
    <x:row r="275">
      <x:c r="A275" s="115">
        <x:v>46296.0</x:v>
      </x:c>
      <x:c r="B275" s="116" t="str">
        <x:f>IF(Calendario!D57="","",Calendario!D57)</x:f>
      </x:c>
      <x:c r="C275" s="116" t="n">
        <x:f>SUMIF(Calendario!$A$72:$A$86,A275,Calendario!$B$72:$B$86)</x:f>
        <x:v>0</x:v>
      </x:c>
      <x:c r="D275" s="117" t="str">
        <x:f t="shared" si="1"/>
      </x:c>
      <x:c r="E275" s="118" t="str">
        <x:f t="shared" si="2"/>
      </x:c>
    </x:row>
    <x:row r="276">
      <x:c r="A276" s="115">
        <x:v>46297.0</x:v>
      </x:c>
      <x:c r="B276" s="116" t="str">
        <x:f>IF(Calendario!E57="","",Calendario!E57)</x:f>
      </x:c>
      <x:c r="C276" s="116" t="n">
        <x:f>SUMIF(Calendario!$A$72:$A$86,A276,Calendario!$B$72:$B$86)</x:f>
        <x:v>0</x:v>
      </x:c>
      <x:c r="D276" s="117" t="str">
        <x:f t="shared" si="1"/>
      </x:c>
      <x:c r="E276" s="118" t="str">
        <x:f t="shared" si="2"/>
      </x:c>
    </x:row>
    <x:row r="277">
      <x:c r="A277" s="115">
        <x:v>46298.0</x:v>
      </x:c>
      <x:c r="B277" s="116" t="str">
        <x:f>IF(Calendario!F57="","",Calendario!F57)</x:f>
      </x:c>
      <x:c r="C277" s="116" t="n">
        <x:f>SUMIF(Calendario!$A$72:$A$86,A277,Calendario!$B$72:$B$86)</x:f>
        <x:v>0</x:v>
      </x:c>
      <x:c r="D277" s="117" t="str">
        <x:f t="shared" si="1"/>
      </x:c>
      <x:c r="E277" s="118" t="str">
        <x:f t="shared" si="2"/>
      </x:c>
    </x:row>
    <x:row r="278">
      <x:c r="A278" s="115">
        <x:v>46299.0</x:v>
      </x:c>
      <x:c r="B278" s="116" t="str">
        <x:f>IF(Calendario!G57="","",Calendario!G57)</x:f>
      </x:c>
      <x:c r="C278" s="116" t="n">
        <x:f>SUMIF(Calendario!$A$72:$A$86,A278,Calendario!$B$72:$B$86)</x:f>
        <x:v>0</x:v>
      </x:c>
      <x:c r="D278" s="117" t="str">
        <x:f t="shared" si="1"/>
      </x:c>
      <x:c r="E278" s="118" t="str">
        <x:f t="shared" si="2"/>
      </x:c>
    </x:row>
    <x:row r="279">
      <x:c r="A279" s="115">
        <x:v>46300.0</x:v>
      </x:c>
      <x:c r="B279" s="116" t="str">
        <x:f>IF(Calendario!A59="","",Calendario!A59)</x:f>
      </x:c>
      <x:c r="C279" s="116" t="n">
        <x:f>SUMIF(Calendario!$A$72:$A$86,A279,Calendario!$B$72:$B$86)</x:f>
        <x:v>0</x:v>
      </x:c>
      <x:c r="D279" s="117" t="str">
        <x:f t="shared" si="1"/>
      </x:c>
      <x:c r="E279" s="118" t="str">
        <x:f t="shared" si="2"/>
      </x:c>
    </x:row>
    <x:row r="280">
      <x:c r="A280" s="115">
        <x:v>46301.0</x:v>
      </x:c>
      <x:c r="B280" s="116" t="str">
        <x:f>IF(Calendario!B59="","",Calendario!B59)</x:f>
      </x:c>
      <x:c r="C280" s="116" t="n">
        <x:f>SUMIF(Calendario!$A$72:$A$86,A280,Calendario!$B$72:$B$86)</x:f>
        <x:v>0</x:v>
      </x:c>
      <x:c r="D280" s="117" t="str">
        <x:f t="shared" si="1"/>
      </x:c>
      <x:c r="E280" s="118" t="str">
        <x:f t="shared" si="2"/>
      </x:c>
    </x:row>
    <x:row r="281">
      <x:c r="A281" s="115">
        <x:v>46302.0</x:v>
      </x:c>
      <x:c r="B281" s="116" t="str">
        <x:f>IF(Calendario!C59="","",Calendario!C59)</x:f>
      </x:c>
      <x:c r="C281" s="116" t="n">
        <x:f>SUMIF(Calendario!$A$72:$A$86,A281,Calendario!$B$72:$B$86)</x:f>
        <x:v>0</x:v>
      </x:c>
      <x:c r="D281" s="117" t="str">
        <x:f t="shared" si="1"/>
      </x:c>
      <x:c r="E281" s="118" t="str">
        <x:f t="shared" si="2"/>
      </x:c>
    </x:row>
    <x:row r="282">
      <x:c r="A282" s="115">
        <x:v>46303.0</x:v>
      </x:c>
      <x:c r="B282" s="116" t="str">
        <x:f>IF(Calendario!D59="","",Calendario!D59)</x:f>
      </x:c>
      <x:c r="C282" s="116" t="n">
        <x:f>SUMIF(Calendario!$A$72:$A$86,A282,Calendario!$B$72:$B$86)</x:f>
        <x:v>0</x:v>
      </x:c>
      <x:c r="D282" s="117" t="str">
        <x:f t="shared" si="1"/>
      </x:c>
      <x:c r="E282" s="118" t="str">
        <x:f t="shared" si="2"/>
      </x:c>
    </x:row>
    <x:row r="283">
      <x:c r="A283" s="115">
        <x:v>46304.0</x:v>
      </x:c>
      <x:c r="B283" s="116" t="str">
        <x:f>IF(Calendario!E59="","",Calendario!E59)</x:f>
      </x:c>
      <x:c r="C283" s="116" t="n">
        <x:f>SUMIF(Calendario!$A$72:$A$86,A283,Calendario!$B$72:$B$86)</x:f>
        <x:v>0</x:v>
      </x:c>
      <x:c r="D283" s="117" t="str">
        <x:f t="shared" si="1"/>
      </x:c>
      <x:c r="E283" s="118" t="str">
        <x:f t="shared" si="2"/>
      </x:c>
    </x:row>
    <x:row r="284">
      <x:c r="A284" s="115">
        <x:v>46305.0</x:v>
      </x:c>
      <x:c r="B284" s="116" t="str">
        <x:f>IF(Calendario!F59="","",Calendario!F59)</x:f>
      </x:c>
      <x:c r="C284" s="116" t="n">
        <x:f>SUMIF(Calendario!$A$72:$A$86,A284,Calendario!$B$72:$B$86)</x:f>
        <x:v>0</x:v>
      </x:c>
      <x:c r="D284" s="117" t="str">
        <x:f t="shared" si="1"/>
      </x:c>
      <x:c r="E284" s="118" t="str">
        <x:f t="shared" si="2"/>
      </x:c>
    </x:row>
    <x:row r="285">
      <x:c r="A285" s="115">
        <x:v>46306.0</x:v>
      </x:c>
      <x:c r="B285" s="116" t="str">
        <x:f>IF(Calendario!G59="","",Calendario!G59)</x:f>
      </x:c>
      <x:c r="C285" s="116" t="n">
        <x:f>SUMIF(Calendario!$A$72:$A$86,A285,Calendario!$B$72:$B$86)</x:f>
        <x:v>0</x:v>
      </x:c>
      <x:c r="D285" s="117" t="str">
        <x:f t="shared" si="1"/>
      </x:c>
      <x:c r="E285" s="118" t="str">
        <x:f t="shared" si="2"/>
      </x:c>
    </x:row>
    <x:row r="286">
      <x:c r="A286" s="115">
        <x:v>46307.0</x:v>
      </x:c>
      <x:c r="B286" s="116" t="str">
        <x:f>IF(Calendario!A61="","",Calendario!A61)</x:f>
      </x:c>
      <x:c r="C286" s="116" t="n">
        <x:f>SUMIF(Calendario!$A$72:$A$86,A286,Calendario!$B$72:$B$86)</x:f>
        <x:v>0</x:v>
      </x:c>
      <x:c r="D286" s="117" t="str">
        <x:f t="shared" si="1"/>
      </x:c>
      <x:c r="E286" s="118" t="str">
        <x:f t="shared" si="2"/>
      </x:c>
    </x:row>
    <x:row r="287">
      <x:c r="A287" s="115">
        <x:v>46308.0</x:v>
      </x:c>
      <x:c r="B287" s="116" t="str">
        <x:f>IF(Calendario!B61="","",Calendario!B61)</x:f>
      </x:c>
      <x:c r="C287" s="116" t="n">
        <x:f>SUMIF(Calendario!$A$72:$A$86,A287,Calendario!$B$72:$B$86)</x:f>
        <x:v>0</x:v>
      </x:c>
      <x:c r="D287" s="117" t="str">
        <x:f t="shared" si="1"/>
      </x:c>
      <x:c r="E287" s="118" t="str">
        <x:f t="shared" si="2"/>
      </x:c>
    </x:row>
    <x:row r="288">
      <x:c r="A288" s="115">
        <x:v>46309.0</x:v>
      </x:c>
      <x:c r="B288" s="116" t="str">
        <x:f>IF(Calendario!C61="","",Calendario!C61)</x:f>
      </x:c>
      <x:c r="C288" s="116" t="n">
        <x:f>SUMIF(Calendario!$A$72:$A$86,A288,Calendario!$B$72:$B$86)</x:f>
        <x:v>0</x:v>
      </x:c>
      <x:c r="D288" s="117" t="str">
        <x:f t="shared" si="1"/>
      </x:c>
      <x:c r="E288" s="118" t="str">
        <x:f t="shared" si="2"/>
      </x:c>
    </x:row>
    <x:row r="289">
      <x:c r="A289" s="115">
        <x:v>46310.0</x:v>
      </x:c>
      <x:c r="B289" s="116" t="str">
        <x:f>IF(Calendario!D61="","",Calendario!D61)</x:f>
      </x:c>
      <x:c r="C289" s="116" t="n">
        <x:f>SUMIF(Calendario!$A$72:$A$86,A289,Calendario!$B$72:$B$86)</x:f>
        <x:v>0</x:v>
      </x:c>
      <x:c r="D289" s="117" t="str">
        <x:f t="shared" si="1"/>
      </x:c>
      <x:c r="E289" s="118" t="str">
        <x:f t="shared" si="2"/>
      </x:c>
    </x:row>
    <x:row r="290">
      <x:c r="A290" s="115">
        <x:v>46311.0</x:v>
      </x:c>
      <x:c r="B290" s="116" t="str">
        <x:f>IF(Calendario!E61="","",Calendario!E61)</x:f>
      </x:c>
      <x:c r="C290" s="116" t="n">
        <x:f>SUMIF(Calendario!$A$72:$A$86,A290,Calendario!$B$72:$B$86)</x:f>
        <x:v>0</x:v>
      </x:c>
      <x:c r="D290" s="117" t="str">
        <x:f t="shared" si="1"/>
      </x:c>
      <x:c r="E290" s="118" t="str">
        <x:f t="shared" si="2"/>
      </x:c>
    </x:row>
    <x:row r="291">
      <x:c r="A291" s="115">
        <x:v>46312.0</x:v>
      </x:c>
      <x:c r="B291" s="116" t="str">
        <x:f>IF(Calendario!F61="","",Calendario!F61)</x:f>
      </x:c>
      <x:c r="C291" s="116" t="n">
        <x:f>SUMIF(Calendario!$A$72:$A$86,A291,Calendario!$B$72:$B$86)</x:f>
        <x:v>0</x:v>
      </x:c>
      <x:c r="D291" s="117" t="str">
        <x:f t="shared" si="1"/>
      </x:c>
      <x:c r="E291" s="118" t="str">
        <x:f t="shared" si="2"/>
      </x:c>
    </x:row>
    <x:row r="292">
      <x:c r="A292" s="115">
        <x:v>46313.0</x:v>
      </x:c>
      <x:c r="B292" s="116" t="str">
        <x:f>IF(Calendario!G61="","",Calendario!G61)</x:f>
      </x:c>
      <x:c r="C292" s="116" t="n">
        <x:f>SUMIF(Calendario!$A$72:$A$86,A292,Calendario!$B$72:$B$86)</x:f>
        <x:v>0</x:v>
      </x:c>
      <x:c r="D292" s="117" t="str">
        <x:f t="shared" si="1"/>
      </x:c>
      <x:c r="E292" s="118" t="str">
        <x:f t="shared" si="2"/>
      </x:c>
    </x:row>
    <x:row r="293">
      <x:c r="A293" s="115">
        <x:v>46314.0</x:v>
      </x:c>
      <x:c r="B293" s="116" t="str">
        <x:f>IF(Calendario!A63="","",Calendario!A63)</x:f>
      </x:c>
      <x:c r="C293" s="116" t="n">
        <x:f>SUMIF(Calendario!$A$72:$A$86,A293,Calendario!$B$72:$B$86)</x:f>
        <x:v>0</x:v>
      </x:c>
      <x:c r="D293" s="117" t="str">
        <x:f t="shared" si="1"/>
      </x:c>
      <x:c r="E293" s="118" t="str">
        <x:f t="shared" si="2"/>
      </x:c>
    </x:row>
    <x:row r="294">
      <x:c r="A294" s="115">
        <x:v>46315.0</x:v>
      </x:c>
      <x:c r="B294" s="116" t="str">
        <x:f>IF(Calendario!B63="","",Calendario!B63)</x:f>
      </x:c>
      <x:c r="C294" s="116" t="n">
        <x:f>SUMIF(Calendario!$A$72:$A$86,A294,Calendario!$B$72:$B$86)</x:f>
        <x:v>0</x:v>
      </x:c>
      <x:c r="D294" s="117" t="str">
        <x:f t="shared" si="1"/>
      </x:c>
      <x:c r="E294" s="118" t="str">
        <x:f t="shared" si="2"/>
      </x:c>
    </x:row>
    <x:row r="295">
      <x:c r="A295" s="115">
        <x:v>46316.0</x:v>
      </x:c>
      <x:c r="B295" s="116" t="str">
        <x:f>IF(Calendario!C63="","",Calendario!C63)</x:f>
      </x:c>
      <x:c r="C295" s="116" t="n">
        <x:f>SUMIF(Calendario!$A$72:$A$86,A295,Calendario!$B$72:$B$86)</x:f>
        <x:v>0</x:v>
      </x:c>
      <x:c r="D295" s="117" t="str">
        <x:f t="shared" si="1"/>
      </x:c>
      <x:c r="E295" s="118" t="str">
        <x:f t="shared" si="2"/>
      </x:c>
    </x:row>
    <x:row r="296">
      <x:c r="A296" s="115">
        <x:v>46317.0</x:v>
      </x:c>
      <x:c r="B296" s="116" t="str">
        <x:f>IF(Calendario!D63="","",Calendario!D63)</x:f>
      </x:c>
      <x:c r="C296" s="116" t="n">
        <x:f>SUMIF(Calendario!$A$72:$A$86,A296,Calendario!$B$72:$B$86)</x:f>
        <x:v>0</x:v>
      </x:c>
      <x:c r="D296" s="117" t="str">
        <x:f t="shared" si="1"/>
      </x:c>
      <x:c r="E296" s="118" t="str">
        <x:f t="shared" si="2"/>
      </x:c>
    </x:row>
    <x:row r="297">
      <x:c r="A297" s="115">
        <x:v>46318.0</x:v>
      </x:c>
      <x:c r="B297" s="116" t="str">
        <x:f>IF(Calendario!E63="","",Calendario!E63)</x:f>
      </x:c>
      <x:c r="C297" s="116" t="n">
        <x:f>SUMIF(Calendario!$A$72:$A$86,A297,Calendario!$B$72:$B$86)</x:f>
        <x:v>0</x:v>
      </x:c>
      <x:c r="D297" s="117" t="str">
        <x:f t="shared" si="1"/>
      </x:c>
      <x:c r="E297" s="118" t="str">
        <x:f t="shared" si="2"/>
      </x:c>
    </x:row>
    <x:row r="298">
      <x:c r="A298" s="115">
        <x:v>46319.0</x:v>
      </x:c>
      <x:c r="B298" s="116" t="str">
        <x:f>IF(Calendario!F63="","",Calendario!F63)</x:f>
      </x:c>
      <x:c r="C298" s="116" t="n">
        <x:f>SUMIF(Calendario!$A$72:$A$86,A298,Calendario!$B$72:$B$86)</x:f>
        <x:v>0</x:v>
      </x:c>
      <x:c r="D298" s="117" t="str">
        <x:f t="shared" si="1"/>
      </x:c>
      <x:c r="E298" s="118" t="str">
        <x:f t="shared" si="2"/>
      </x:c>
    </x:row>
    <x:row r="299">
      <x:c r="A299" s="115">
        <x:v>46320.0</x:v>
      </x:c>
      <x:c r="B299" s="116" t="str">
        <x:f>IF(Calendario!G63="","",Calendario!G63)</x:f>
      </x:c>
      <x:c r="C299" s="116" t="n">
        <x:f>SUMIF(Calendario!$A$72:$A$86,A299,Calendario!$B$72:$B$86)</x:f>
        <x:v>0</x:v>
      </x:c>
      <x:c r="D299" s="117" t="str">
        <x:f t="shared" si="1"/>
      </x:c>
      <x:c r="E299" s="118" t="str">
        <x:f t="shared" si="2"/>
      </x:c>
    </x:row>
    <x:row r="300">
      <x:c r="A300" s="115">
        <x:v>46321.0</x:v>
      </x:c>
      <x:c r="B300" s="116" t="str">
        <x:f>IF(Calendario!A65="","",Calendario!A65)</x:f>
      </x:c>
      <x:c r="C300" s="116" t="n">
        <x:f>SUMIF(Calendario!$A$72:$A$86,A300,Calendario!$B$72:$B$86)</x:f>
        <x:v>0</x:v>
      </x:c>
      <x:c r="D300" s="117" t="str">
        <x:f t="shared" si="1"/>
      </x:c>
      <x:c r="E300" s="118" t="str">
        <x:f t="shared" si="2"/>
      </x:c>
    </x:row>
    <x:row r="301">
      <x:c r="A301" s="115">
        <x:v>46322.0</x:v>
      </x:c>
      <x:c r="B301" s="116" t="str">
        <x:f>IF(Calendario!B65="","",Calendario!B65)</x:f>
      </x:c>
      <x:c r="C301" s="116" t="n">
        <x:f>SUMIF(Calendario!$A$72:$A$86,A301,Calendario!$B$72:$B$86)</x:f>
        <x:v>0</x:v>
      </x:c>
      <x:c r="D301" s="117" t="str">
        <x:f t="shared" si="1"/>
      </x:c>
      <x:c r="E301" s="118" t="str">
        <x:f t="shared" si="2"/>
      </x:c>
    </x:row>
    <x:row r="302">
      <x:c r="A302" s="115">
        <x:v>46323.0</x:v>
      </x:c>
      <x:c r="B302" s="116" t="str">
        <x:f>IF(Calendario!C65="","",Calendario!C65)</x:f>
      </x:c>
      <x:c r="C302" s="116" t="n">
        <x:f>SUMIF(Calendario!$A$72:$A$86,A302,Calendario!$B$72:$B$86)</x:f>
        <x:v>0</x:v>
      </x:c>
      <x:c r="D302" s="117" t="str">
        <x:f t="shared" si="1"/>
      </x:c>
      <x:c r="E302" s="118" t="str">
        <x:f t="shared" si="2"/>
      </x:c>
    </x:row>
    <x:row r="303">
      <x:c r="A303" s="115">
        <x:v>46324.0</x:v>
      </x:c>
      <x:c r="B303" s="116" t="str">
        <x:f>IF(Calendario!D65="","",Calendario!D65)</x:f>
      </x:c>
      <x:c r="C303" s="116" t="n">
        <x:f>SUMIF(Calendario!$A$72:$A$86,A303,Calendario!$B$72:$B$86)</x:f>
        <x:v>0</x:v>
      </x:c>
      <x:c r="D303" s="117" t="str">
        <x:f t="shared" si="1"/>
      </x:c>
      <x:c r="E303" s="118" t="str">
        <x:f t="shared" si="2"/>
      </x:c>
    </x:row>
    <x:row r="304">
      <x:c r="A304" s="115">
        <x:v>46325.0</x:v>
      </x:c>
      <x:c r="B304" s="116" t="str">
        <x:f>IF(Calendario!E65="","",Calendario!E65)</x:f>
      </x:c>
      <x:c r="C304" s="116" t="n">
        <x:f>SUMIF(Calendario!$A$72:$A$86,A304,Calendario!$B$72:$B$86)</x:f>
        <x:v>0</x:v>
      </x:c>
      <x:c r="D304" s="117" t="str">
        <x:f t="shared" si="1"/>
      </x:c>
      <x:c r="E304" s="118" t="str">
        <x:f t="shared" si="2"/>
      </x:c>
    </x:row>
    <x:row r="305">
      <x:c r="A305" s="115">
        <x:v>46326.0</x:v>
      </x:c>
      <x:c r="B305" s="116" t="str">
        <x:f>IF(Calendario!F65="","",Calendario!F65)</x:f>
      </x:c>
      <x:c r="C305" s="116" t="n">
        <x:f>SUMIF(Calendario!$A$72:$A$86,A305,Calendario!$B$72:$B$86)</x:f>
        <x:v>0</x:v>
      </x:c>
      <x:c r="D305" s="117" t="str">
        <x:f t="shared" si="1"/>
      </x:c>
      <x:c r="E305" s="118" t="str">
        <x:f t="shared" si="2"/>
      </x:c>
    </x:row>
    <x:row r="306">
      <x:c r="A306" s="115">
        <x:v>46327.0</x:v>
      </x:c>
      <x:c r="B306" s="116" t="str">
        <x:f>IF(Calendario!O57="","",Calendario!O57)</x:f>
      </x:c>
      <x:c r="C306" s="116" t="n">
        <x:f>SUMIF(Calendario!$A$72:$A$86,A306,Calendario!$B$72:$B$86)</x:f>
        <x:v>0</x:v>
      </x:c>
      <x:c r="D306" s="117" t="str">
        <x:f t="shared" si="1"/>
      </x:c>
      <x:c r="E306" s="118" t="str">
        <x:f t="shared" si="2"/>
      </x:c>
    </x:row>
    <x:row r="307">
      <x:c r="A307" s="115">
        <x:v>46328.0</x:v>
      </x:c>
      <x:c r="B307" s="116" t="str">
        <x:f>IF(Calendario!I59="","",Calendario!I59)</x:f>
      </x:c>
      <x:c r="C307" s="116" t="n">
        <x:f>SUMIF(Calendario!$A$72:$A$86,A307,Calendario!$B$72:$B$86)</x:f>
        <x:v>0</x:v>
      </x:c>
      <x:c r="D307" s="117" t="str">
        <x:f t="shared" si="1"/>
      </x:c>
      <x:c r="E307" s="118" t="str">
        <x:f t="shared" si="2"/>
      </x:c>
    </x:row>
    <x:row r="308">
      <x:c r="A308" s="115">
        <x:v>46329.0</x:v>
      </x:c>
      <x:c r="B308" s="116" t="str">
        <x:f>IF(Calendario!J59="","",Calendario!J59)</x:f>
      </x:c>
      <x:c r="C308" s="116" t="n">
        <x:f>SUMIF(Calendario!$A$72:$A$86,A308,Calendario!$B$72:$B$86)</x:f>
        <x:v>0</x:v>
      </x:c>
      <x:c r="D308" s="117" t="str">
        <x:f t="shared" si="1"/>
      </x:c>
      <x:c r="E308" s="118" t="str">
        <x:f t="shared" si="2"/>
      </x:c>
    </x:row>
    <x:row r="309">
      <x:c r="A309" s="115">
        <x:v>46330.0</x:v>
      </x:c>
      <x:c r="B309" s="116" t="str">
        <x:f>IF(Calendario!K59="","",Calendario!K59)</x:f>
      </x:c>
      <x:c r="C309" s="116" t="n">
        <x:f>SUMIF(Calendario!$A$72:$A$86,A309,Calendario!$B$72:$B$86)</x:f>
        <x:v>0</x:v>
      </x:c>
      <x:c r="D309" s="117" t="str">
        <x:f t="shared" si="1"/>
      </x:c>
      <x:c r="E309" s="118" t="str">
        <x:f t="shared" si="2"/>
      </x:c>
    </x:row>
    <x:row r="310">
      <x:c r="A310" s="115">
        <x:v>46331.0</x:v>
      </x:c>
      <x:c r="B310" s="116" t="str">
        <x:f>IF(Calendario!L59="","",Calendario!L59)</x:f>
      </x:c>
      <x:c r="C310" s="116" t="n">
        <x:f>SUMIF(Calendario!$A$72:$A$86,A310,Calendario!$B$72:$B$86)</x:f>
        <x:v>0</x:v>
      </x:c>
      <x:c r="D310" s="117" t="str">
        <x:f t="shared" si="1"/>
      </x:c>
      <x:c r="E310" s="118" t="str">
        <x:f t="shared" si="2"/>
      </x:c>
    </x:row>
    <x:row r="311">
      <x:c r="A311" s="115">
        <x:v>46332.0</x:v>
      </x:c>
      <x:c r="B311" s="116" t="str">
        <x:f>IF(Calendario!M59="","",Calendario!M59)</x:f>
      </x:c>
      <x:c r="C311" s="116" t="n">
        <x:f>SUMIF(Calendario!$A$72:$A$86,A311,Calendario!$B$72:$B$86)</x:f>
        <x:v>0</x:v>
      </x:c>
      <x:c r="D311" s="117" t="str">
        <x:f t="shared" si="1"/>
      </x:c>
      <x:c r="E311" s="118" t="str">
        <x:f t="shared" si="2"/>
      </x:c>
    </x:row>
    <x:row r="312">
      <x:c r="A312" s="115">
        <x:v>46333.0</x:v>
      </x:c>
      <x:c r="B312" s="116" t="str">
        <x:f>IF(Calendario!N59="","",Calendario!N59)</x:f>
      </x:c>
      <x:c r="C312" s="116" t="n">
        <x:f>SUMIF(Calendario!$A$72:$A$86,A312,Calendario!$B$72:$B$86)</x:f>
        <x:v>0</x:v>
      </x:c>
      <x:c r="D312" s="117" t="str">
        <x:f t="shared" si="1"/>
      </x:c>
      <x:c r="E312" s="118" t="str">
        <x:f t="shared" si="2"/>
      </x:c>
    </x:row>
    <x:row r="313">
      <x:c r="A313" s="115">
        <x:v>46334.0</x:v>
      </x:c>
      <x:c r="B313" s="116" t="str">
        <x:f>IF(Calendario!O59="","",Calendario!O59)</x:f>
      </x:c>
      <x:c r="C313" s="116" t="n">
        <x:f>SUMIF(Calendario!$A$72:$A$86,A313,Calendario!$B$72:$B$86)</x:f>
        <x:v>0</x:v>
      </x:c>
      <x:c r="D313" s="117" t="str">
        <x:f t="shared" si="1"/>
      </x:c>
      <x:c r="E313" s="118" t="str">
        <x:f t="shared" si="2"/>
      </x:c>
    </x:row>
    <x:row r="314">
      <x:c r="A314" s="115">
        <x:v>46335.0</x:v>
      </x:c>
      <x:c r="B314" s="116" t="str">
        <x:f>IF(Calendario!I61="","",Calendario!I61)</x:f>
      </x:c>
      <x:c r="C314" s="116" t="n">
        <x:f>SUMIF(Calendario!$A$72:$A$86,A314,Calendario!$B$72:$B$86)</x:f>
        <x:v>0</x:v>
      </x:c>
      <x:c r="D314" s="117" t="str">
        <x:f t="shared" si="1"/>
      </x:c>
      <x:c r="E314" s="118" t="str">
        <x:f t="shared" si="2"/>
      </x:c>
    </x:row>
    <x:row r="315">
      <x:c r="A315" s="115">
        <x:v>46336.0</x:v>
      </x:c>
      <x:c r="B315" s="116" t="str">
        <x:f>IF(Calendario!J61="","",Calendario!J61)</x:f>
      </x:c>
      <x:c r="C315" s="116" t="n">
        <x:f>SUMIF(Calendario!$A$72:$A$86,A315,Calendario!$B$72:$B$86)</x:f>
        <x:v>0</x:v>
      </x:c>
      <x:c r="D315" s="117" t="str">
        <x:f t="shared" si="1"/>
      </x:c>
      <x:c r="E315" s="118" t="str">
        <x:f t="shared" si="2"/>
      </x:c>
    </x:row>
    <x:row r="316">
      <x:c r="A316" s="115">
        <x:v>46337.0</x:v>
      </x:c>
      <x:c r="B316" s="116" t="str">
        <x:f>IF(Calendario!K61="","",Calendario!K61)</x:f>
      </x:c>
      <x:c r="C316" s="116" t="n">
        <x:f>SUMIF(Calendario!$A$72:$A$86,A316,Calendario!$B$72:$B$86)</x:f>
        <x:v>0</x:v>
      </x:c>
      <x:c r="D316" s="117" t="str">
        <x:f t="shared" si="1"/>
      </x:c>
      <x:c r="E316" s="118" t="str">
        <x:f t="shared" si="2"/>
      </x:c>
    </x:row>
    <x:row r="317">
      <x:c r="A317" s="115">
        <x:v>46338.0</x:v>
      </x:c>
      <x:c r="B317" s="116" t="str">
        <x:f>IF(Calendario!L61="","",Calendario!L61)</x:f>
      </x:c>
      <x:c r="C317" s="116" t="n">
        <x:f>SUMIF(Calendario!$A$72:$A$86,A317,Calendario!$B$72:$B$86)</x:f>
        <x:v>0</x:v>
      </x:c>
      <x:c r="D317" s="117" t="str">
        <x:f t="shared" si="1"/>
      </x:c>
      <x:c r="E317" s="118" t="str">
        <x:f t="shared" si="2"/>
      </x:c>
    </x:row>
    <x:row r="318">
      <x:c r="A318" s="115">
        <x:v>46339.0</x:v>
      </x:c>
      <x:c r="B318" s="116" t="str">
        <x:f>IF(Calendario!M61="","",Calendario!M61)</x:f>
      </x:c>
      <x:c r="C318" s="116" t="n">
        <x:f>SUMIF(Calendario!$A$72:$A$86,A318,Calendario!$B$72:$B$86)</x:f>
        <x:v>0</x:v>
      </x:c>
      <x:c r="D318" s="117" t="str">
        <x:f t="shared" si="1"/>
      </x:c>
      <x:c r="E318" s="118" t="str">
        <x:f t="shared" si="2"/>
      </x:c>
    </x:row>
    <x:row r="319">
      <x:c r="A319" s="115">
        <x:v>46340.0</x:v>
      </x:c>
      <x:c r="B319" s="116" t="str">
        <x:f>IF(Calendario!N61="","",Calendario!N61)</x:f>
      </x:c>
      <x:c r="C319" s="116" t="n">
        <x:f>SUMIF(Calendario!$A$72:$A$86,A319,Calendario!$B$72:$B$86)</x:f>
        <x:v>0</x:v>
      </x:c>
      <x:c r="D319" s="117" t="str">
        <x:f t="shared" si="1"/>
      </x:c>
      <x:c r="E319" s="118" t="str">
        <x:f t="shared" si="2"/>
      </x:c>
    </x:row>
    <x:row r="320">
      <x:c r="A320" s="115">
        <x:v>46341.0</x:v>
      </x:c>
      <x:c r="B320" s="116" t="str">
        <x:f>IF(Calendario!O61="","",Calendario!O61)</x:f>
      </x:c>
      <x:c r="C320" s="116" t="n">
        <x:f>SUMIF(Calendario!$A$72:$A$86,A320,Calendario!$B$72:$B$86)</x:f>
        <x:v>0</x:v>
      </x:c>
      <x:c r="D320" s="117" t="str">
        <x:f t="shared" si="1"/>
      </x:c>
      <x:c r="E320" s="118" t="str">
        <x:f t="shared" si="2"/>
      </x:c>
    </x:row>
    <x:row r="321">
      <x:c r="A321" s="115">
        <x:v>46342.0</x:v>
      </x:c>
      <x:c r="B321" s="116" t="str">
        <x:f>IF(Calendario!I63="","",Calendario!I63)</x:f>
      </x:c>
      <x:c r="C321" s="116" t="n">
        <x:f>SUMIF(Calendario!$A$72:$A$86,A321,Calendario!$B$72:$B$86)</x:f>
        <x:v>0</x:v>
      </x:c>
      <x:c r="D321" s="117" t="str">
        <x:f t="shared" si="1"/>
      </x:c>
      <x:c r="E321" s="118" t="str">
        <x:f t="shared" si="2"/>
      </x:c>
    </x:row>
    <x:row r="322">
      <x:c r="A322" s="115">
        <x:v>46343.0</x:v>
      </x:c>
      <x:c r="B322" s="116" t="str">
        <x:f>IF(Calendario!J63="","",Calendario!J63)</x:f>
      </x:c>
      <x:c r="C322" s="116" t="n">
        <x:f>SUMIF(Calendario!$A$72:$A$86,A322,Calendario!$B$72:$B$86)</x:f>
        <x:v>0</x:v>
      </x:c>
      <x:c r="D322" s="117" t="str">
        <x:f t="shared" si="1"/>
      </x:c>
      <x:c r="E322" s="118" t="str">
        <x:f t="shared" si="2"/>
      </x:c>
    </x:row>
    <x:row r="323">
      <x:c r="A323" s="115">
        <x:v>46344.0</x:v>
      </x:c>
      <x:c r="B323" s="116" t="str">
        <x:f>IF(Calendario!K63="","",Calendario!K63)</x:f>
      </x:c>
      <x:c r="C323" s="116" t="n">
        <x:f>SUMIF(Calendario!$A$72:$A$86,A323,Calendario!$B$72:$B$86)</x:f>
        <x:v>0</x:v>
      </x:c>
      <x:c r="D323" s="117" t="str">
        <x:f t="shared" si="1"/>
      </x:c>
      <x:c r="E323" s="118" t="str">
        <x:f t="shared" si="2"/>
      </x:c>
    </x:row>
    <x:row r="324">
      <x:c r="A324" s="115">
        <x:v>46345.0</x:v>
      </x:c>
      <x:c r="B324" s="116" t="str">
        <x:f>IF(Calendario!L63="","",Calendario!L63)</x:f>
      </x:c>
      <x:c r="C324" s="116" t="n">
        <x:f>SUMIF(Calendario!$A$72:$A$86,A324,Calendario!$B$72:$B$86)</x:f>
        <x:v>0</x:v>
      </x:c>
      <x:c r="D324" s="117" t="str">
        <x:f t="shared" si="1"/>
      </x:c>
      <x:c r="E324" s="118" t="str">
        <x:f t="shared" si="2"/>
      </x:c>
    </x:row>
    <x:row r="325">
      <x:c r="A325" s="115">
        <x:v>46346.0</x:v>
      </x:c>
      <x:c r="B325" s="116" t="str">
        <x:f>IF(Calendario!M63="","",Calendario!M63)</x:f>
      </x:c>
      <x:c r="C325" s="116" t="n">
        <x:f>SUMIF(Calendario!$A$72:$A$86,A325,Calendario!$B$72:$B$86)</x:f>
        <x:v>0</x:v>
      </x:c>
      <x:c r="D325" s="117" t="str">
        <x:f t="shared" si="1"/>
      </x:c>
      <x:c r="E325" s="118" t="str">
        <x:f t="shared" si="2"/>
      </x:c>
    </x:row>
    <x:row r="326">
      <x:c r="A326" s="115">
        <x:v>46347.0</x:v>
      </x:c>
      <x:c r="B326" s="116" t="str">
        <x:f>IF(Calendario!N63="","",Calendario!N63)</x:f>
      </x:c>
      <x:c r="C326" s="116" t="n">
        <x:f>SUMIF(Calendario!$A$72:$A$86,A326,Calendario!$B$72:$B$86)</x:f>
        <x:v>0</x:v>
      </x:c>
      <x:c r="D326" s="117" t="str">
        <x:f t="shared" si="1"/>
      </x:c>
      <x:c r="E326" s="118" t="str">
        <x:f t="shared" si="2"/>
      </x:c>
    </x:row>
    <x:row r="327">
      <x:c r="A327" s="115">
        <x:v>46348.0</x:v>
      </x:c>
      <x:c r="B327" s="116" t="str">
        <x:f>IF(Calendario!O63="","",Calendario!O63)</x:f>
      </x:c>
      <x:c r="C327" s="116" t="n">
        <x:f>SUMIF(Calendario!$A$72:$A$86,A327,Calendario!$B$72:$B$86)</x:f>
        <x:v>0</x:v>
      </x:c>
      <x:c r="D327" s="117" t="str">
        <x:f t="shared" si="1"/>
      </x:c>
      <x:c r="E327" s="118" t="str">
        <x:f t="shared" si="2"/>
      </x:c>
    </x:row>
    <x:row r="328">
      <x:c r="A328" s="115">
        <x:v>46349.0</x:v>
      </x:c>
      <x:c r="B328" s="116" t="str">
        <x:f>IF(Calendario!I65="","",Calendario!I65)</x:f>
      </x:c>
      <x:c r="C328" s="116" t="n">
        <x:f>SUMIF(Calendario!$A$72:$A$86,A328,Calendario!$B$72:$B$86)</x:f>
        <x:v>0</x:v>
      </x:c>
      <x:c r="D328" s="117" t="str">
        <x:f t="shared" si="1"/>
      </x:c>
      <x:c r="E328" s="118" t="str">
        <x:f t="shared" si="2"/>
      </x:c>
    </x:row>
    <x:row r="329">
      <x:c r="A329" s="115">
        <x:v>46350.0</x:v>
      </x:c>
      <x:c r="B329" s="116" t="str">
        <x:f>IF(Calendario!J65="","",Calendario!J65)</x:f>
      </x:c>
      <x:c r="C329" s="116" t="n">
        <x:f>SUMIF(Calendario!$A$72:$A$86,A329,Calendario!$B$72:$B$86)</x:f>
        <x:v>0</x:v>
      </x:c>
      <x:c r="D329" s="117" t="str">
        <x:f t="shared" si="1"/>
      </x:c>
      <x:c r="E329" s="118" t="str">
        <x:f t="shared" si="2"/>
      </x:c>
    </x:row>
    <x:row r="330">
      <x:c r="A330" s="115">
        <x:v>46351.0</x:v>
      </x:c>
      <x:c r="B330" s="116" t="str">
        <x:f>IF(Calendario!K65="","",Calendario!K65)</x:f>
      </x:c>
      <x:c r="C330" s="116" t="n">
        <x:f>SUMIF(Calendario!$A$72:$A$86,A330,Calendario!$B$72:$B$86)</x:f>
        <x:v>0</x:v>
      </x:c>
      <x:c r="D330" s="117" t="str">
        <x:f t="shared" si="1"/>
      </x:c>
      <x:c r="E330" s="118" t="str">
        <x:f t="shared" si="2"/>
      </x:c>
    </x:row>
    <x:row r="331">
      <x:c r="A331" s="115">
        <x:v>46352.0</x:v>
      </x:c>
      <x:c r="B331" s="116" t="str">
        <x:f>IF(Calendario!L65="","",Calendario!L65)</x:f>
      </x:c>
      <x:c r="C331" s="116" t="n">
        <x:f>SUMIF(Calendario!$A$72:$A$86,A331,Calendario!$B$72:$B$86)</x:f>
        <x:v>0</x:v>
      </x:c>
      <x:c r="D331" s="117" t="str">
        <x:f t="shared" si="1"/>
      </x:c>
      <x:c r="E331" s="118" t="str">
        <x:f t="shared" si="2"/>
      </x:c>
    </x:row>
    <x:row r="332">
      <x:c r="A332" s="115">
        <x:v>46353.0</x:v>
      </x:c>
      <x:c r="B332" s="116" t="str">
        <x:f>IF(Calendario!M65="","",Calendario!M65)</x:f>
      </x:c>
      <x:c r="C332" s="116" t="n">
        <x:f>SUMIF(Calendario!$A$72:$A$86,A332,Calendario!$B$72:$B$86)</x:f>
        <x:v>0</x:v>
      </x:c>
      <x:c r="D332" s="117" t="str">
        <x:f t="shared" si="1"/>
      </x:c>
      <x:c r="E332" s="118" t="str">
        <x:f t="shared" si="2"/>
      </x:c>
    </x:row>
    <x:row r="333">
      <x:c r="A333" s="115">
        <x:v>46354.0</x:v>
      </x:c>
      <x:c r="B333" s="116" t="str">
        <x:f>IF(Calendario!N65="","",Calendario!N65)</x:f>
      </x:c>
      <x:c r="C333" s="116" t="n">
        <x:f>SUMIF(Calendario!$A$72:$A$86,A333,Calendario!$B$72:$B$86)</x:f>
        <x:v>0</x:v>
      </x:c>
      <x:c r="D333" s="117" t="str">
        <x:f t="shared" si="1"/>
      </x:c>
      <x:c r="E333" s="118" t="str">
        <x:f t="shared" si="2"/>
      </x:c>
    </x:row>
    <x:row r="334">
      <x:c r="A334" s="115">
        <x:v>46355.0</x:v>
      </x:c>
      <x:c r="B334" s="116" t="str">
        <x:f>IF(Calendario!O65="","",Calendario!O65)</x:f>
      </x:c>
      <x:c r="C334" s="116" t="n">
        <x:f>SUMIF(Calendario!$A$72:$A$86,A334,Calendario!$B$72:$B$86)</x:f>
        <x:v>0</x:v>
      </x:c>
      <x:c r="D334" s="117" t="str">
        <x:f t="shared" si="1"/>
      </x:c>
      <x:c r="E334" s="118" t="str">
        <x:f t="shared" si="2"/>
      </x:c>
    </x:row>
    <x:row r="335">
      <x:c r="A335" s="115">
        <x:v>46356.0</x:v>
      </x:c>
      <x:c r="B335" s="116" t="str">
        <x:f>IF(Calendario!I67="","",Calendario!I67)</x:f>
      </x:c>
      <x:c r="C335" s="116" t="n">
        <x:f>SUMIF(Calendario!$A$72:$A$86,A335,Calendario!$B$72:$B$86)</x:f>
        <x:v>0</x:v>
      </x:c>
      <x:c r="D335" s="117" t="str">
        <x:f t="shared" si="1"/>
      </x:c>
      <x:c r="E335" s="118" t="str">
        <x:f t="shared" si="2"/>
      </x:c>
    </x:row>
    <x:row r="336">
      <x:c r="A336" s="115">
        <x:v>46357.0</x:v>
      </x:c>
      <x:c r="B336" s="116" t="str">
        <x:f>IF(Calendario!R57="","",Calendario!R57)</x:f>
      </x:c>
      <x:c r="C336" s="116" t="n">
        <x:f>SUMIF(Calendario!$A$72:$A$86,A336,Calendario!$B$72:$B$86)</x:f>
        <x:v>0</x:v>
      </x:c>
      <x:c r="D336" s="117" t="str">
        <x:f t="shared" si="1"/>
      </x:c>
      <x:c r="E336" s="118" t="str">
        <x:f t="shared" si="2"/>
      </x:c>
    </x:row>
    <x:row r="337">
      <x:c r="A337" s="115">
        <x:v>46358.0</x:v>
      </x:c>
      <x:c r="B337" s="116" t="str">
        <x:f>IF(Calendario!S57="","",Calendario!S57)</x:f>
      </x:c>
      <x:c r="C337" s="116" t="n">
        <x:f>SUMIF(Calendario!$A$72:$A$86,A337,Calendario!$B$72:$B$86)</x:f>
        <x:v>0</x:v>
      </x:c>
      <x:c r="D337" s="117" t="str">
        <x:f t="shared" si="1"/>
      </x:c>
      <x:c r="E337" s="118" t="str">
        <x:f t="shared" si="2"/>
      </x:c>
    </x:row>
    <x:row r="338">
      <x:c r="A338" s="115">
        <x:v>46359.0</x:v>
      </x:c>
      <x:c r="B338" s="116" t="str">
        <x:f>IF(Calendario!T57="","",Calendario!T57)</x:f>
      </x:c>
      <x:c r="C338" s="116" t="n">
        <x:f>SUMIF(Calendario!$A$72:$A$86,A338,Calendario!$B$72:$B$86)</x:f>
        <x:v>0</x:v>
      </x:c>
      <x:c r="D338" s="117" t="str">
        <x:f t="shared" si="1"/>
      </x:c>
      <x:c r="E338" s="118" t="str">
        <x:f t="shared" si="2"/>
      </x:c>
    </x:row>
    <x:row r="339">
      <x:c r="A339" s="115">
        <x:v>46360.0</x:v>
      </x:c>
      <x:c r="B339" s="116" t="str">
        <x:f>IF(Calendario!U57="","",Calendario!U57)</x:f>
      </x:c>
      <x:c r="C339" s="116" t="n">
        <x:f>SUMIF(Calendario!$A$72:$A$86,A339,Calendario!$B$72:$B$86)</x:f>
        <x:v>0</x:v>
      </x:c>
      <x:c r="D339" s="117" t="str">
        <x:f t="shared" si="1"/>
      </x:c>
      <x:c r="E339" s="118" t="str">
        <x:f t="shared" si="2"/>
      </x:c>
    </x:row>
    <x:row r="340">
      <x:c r="A340" s="115">
        <x:v>46361.0</x:v>
      </x:c>
      <x:c r="B340" s="116" t="str">
        <x:f>IF(Calendario!V57="","",Calendario!V57)</x:f>
      </x:c>
      <x:c r="C340" s="116" t="n">
        <x:f>SUMIF(Calendario!$A$72:$A$86,A340,Calendario!$B$72:$B$86)</x:f>
        <x:v>0</x:v>
      </x:c>
      <x:c r="D340" s="117" t="str">
        <x:f t="shared" si="1"/>
      </x:c>
      <x:c r="E340" s="118" t="str">
        <x:f t="shared" si="2"/>
      </x:c>
    </x:row>
    <x:row r="341">
      <x:c r="A341" s="115">
        <x:v>46362.0</x:v>
      </x:c>
      <x:c r="B341" s="116" t="str">
        <x:f>IF(Calendario!W57="","",Calendario!W57)</x:f>
      </x:c>
      <x:c r="C341" s="116" t="n">
        <x:f>SUMIF(Calendario!$A$72:$A$86,A341,Calendario!$B$72:$B$86)</x:f>
        <x:v>0</x:v>
      </x:c>
      <x:c r="D341" s="117" t="str">
        <x:f t="shared" si="1"/>
      </x:c>
      <x:c r="E341" s="118" t="str">
        <x:f t="shared" si="2"/>
      </x:c>
    </x:row>
    <x:row r="342">
      <x:c r="A342" s="115">
        <x:v>46363.0</x:v>
      </x:c>
      <x:c r="B342" s="116" t="str">
        <x:f>IF(Calendario!Q59="","",Calendario!Q59)</x:f>
      </x:c>
      <x:c r="C342" s="116" t="n">
        <x:f>SUMIF(Calendario!$A$72:$A$86,A342,Calendario!$B$72:$B$86)</x:f>
        <x:v>0</x:v>
      </x:c>
      <x:c r="D342" s="117" t="str">
        <x:f t="shared" si="1"/>
      </x:c>
      <x:c r="E342" s="118" t="str">
        <x:f t="shared" si="2"/>
      </x:c>
    </x:row>
    <x:row r="343">
      <x:c r="A343" s="115">
        <x:v>46364.0</x:v>
      </x:c>
      <x:c r="B343" s="116" t="str">
        <x:f>IF(Calendario!R59="","",Calendario!R59)</x:f>
      </x:c>
      <x:c r="C343" s="116" t="n">
        <x:f>SUMIF(Calendario!$A$72:$A$86,A343,Calendario!$B$72:$B$86)</x:f>
        <x:v>0</x:v>
      </x:c>
      <x:c r="D343" s="117" t="str">
        <x:f t="shared" si="1"/>
      </x:c>
      <x:c r="E343" s="118" t="str">
        <x:f t="shared" si="2"/>
      </x:c>
    </x:row>
    <x:row r="344">
      <x:c r="A344" s="115">
        <x:v>46365.0</x:v>
      </x:c>
      <x:c r="B344" s="116" t="str">
        <x:f>IF(Calendario!S59="","",Calendario!S59)</x:f>
      </x:c>
      <x:c r="C344" s="116" t="n">
        <x:f>SUMIF(Calendario!$A$72:$A$86,A344,Calendario!$B$72:$B$86)</x:f>
        <x:v>0</x:v>
      </x:c>
      <x:c r="D344" s="117" t="str">
        <x:f t="shared" si="1"/>
      </x:c>
      <x:c r="E344" s="118" t="str">
        <x:f t="shared" si="2"/>
      </x:c>
    </x:row>
    <x:row r="345">
      <x:c r="A345" s="115">
        <x:v>46366.0</x:v>
      </x:c>
      <x:c r="B345" s="116" t="str">
        <x:f>IF(Calendario!T59="","",Calendario!T59)</x:f>
      </x:c>
      <x:c r="C345" s="116" t="n">
        <x:f>SUMIF(Calendario!$A$72:$A$86,A345,Calendario!$B$72:$B$86)</x:f>
        <x:v>0</x:v>
      </x:c>
      <x:c r="D345" s="117" t="str">
        <x:f t="shared" si="1"/>
      </x:c>
      <x:c r="E345" s="118" t="str">
        <x:f t="shared" si="2"/>
      </x:c>
    </x:row>
    <x:row r="346">
      <x:c r="A346" s="115">
        <x:v>46367.0</x:v>
      </x:c>
      <x:c r="B346" s="116" t="str">
        <x:f>IF(Calendario!U59="","",Calendario!U59)</x:f>
      </x:c>
      <x:c r="C346" s="116" t="n">
        <x:f>SUMIF(Calendario!$A$72:$A$86,A346,Calendario!$B$72:$B$86)</x:f>
        <x:v>0</x:v>
      </x:c>
      <x:c r="D346" s="117" t="str">
        <x:f t="shared" si="1"/>
      </x:c>
      <x:c r="E346" s="118" t="str">
        <x:f t="shared" si="2"/>
      </x:c>
    </x:row>
    <x:row r="347">
      <x:c r="A347" s="115">
        <x:v>46368.0</x:v>
      </x:c>
      <x:c r="B347" s="116" t="str">
        <x:f>IF(Calendario!V59="","",Calendario!V59)</x:f>
      </x:c>
      <x:c r="C347" s="116" t="n">
        <x:f>SUMIF(Calendario!$A$72:$A$86,A347,Calendario!$B$72:$B$86)</x:f>
        <x:v>0</x:v>
      </x:c>
      <x:c r="D347" s="117" t="str">
        <x:f t="shared" si="1"/>
      </x:c>
      <x:c r="E347" s="118" t="str">
        <x:f t="shared" si="2"/>
      </x:c>
    </x:row>
    <x:row r="348">
      <x:c r="A348" s="115">
        <x:v>46369.0</x:v>
      </x:c>
      <x:c r="B348" s="116" t="str">
        <x:f>IF(Calendario!W59="","",Calendario!W59)</x:f>
      </x:c>
      <x:c r="C348" s="116" t="n">
        <x:f>SUMIF(Calendario!$A$72:$A$86,A348,Calendario!$B$72:$B$86)</x:f>
        <x:v>0</x:v>
      </x:c>
      <x:c r="D348" s="117" t="str">
        <x:f t="shared" si="1"/>
      </x:c>
      <x:c r="E348" s="118" t="str">
        <x:f t="shared" si="2"/>
      </x:c>
    </x:row>
    <x:row r="349">
      <x:c r="A349" s="115">
        <x:v>46370.0</x:v>
      </x:c>
      <x:c r="B349" s="116" t="str">
        <x:f>IF(Calendario!Q61="","",Calendario!Q61)</x:f>
      </x:c>
      <x:c r="C349" s="116" t="n">
        <x:f>SUMIF(Calendario!$A$72:$A$86,A349,Calendario!$B$72:$B$86)</x:f>
        <x:v>0</x:v>
      </x:c>
      <x:c r="D349" s="117" t="str">
        <x:f t="shared" si="1"/>
      </x:c>
      <x:c r="E349" s="118" t="str">
        <x:f t="shared" si="2"/>
      </x:c>
    </x:row>
    <x:row r="350">
      <x:c r="A350" s="115">
        <x:v>46371.0</x:v>
      </x:c>
      <x:c r="B350" s="116" t="str">
        <x:f>IF(Calendario!R61="","",Calendario!R61)</x:f>
      </x:c>
      <x:c r="C350" s="116" t="n">
        <x:f>SUMIF(Calendario!$A$72:$A$86,A350,Calendario!$B$72:$B$86)</x:f>
        <x:v>0</x:v>
      </x:c>
      <x:c r="D350" s="117" t="str">
        <x:f t="shared" si="1"/>
      </x:c>
      <x:c r="E350" s="118" t="str">
        <x:f t="shared" si="2"/>
      </x:c>
    </x:row>
    <x:row r="351">
      <x:c r="A351" s="115">
        <x:v>46372.0</x:v>
      </x:c>
      <x:c r="B351" s="116" t="str">
        <x:f>IF(Calendario!S61="","",Calendario!S61)</x:f>
      </x:c>
      <x:c r="C351" s="116" t="n">
        <x:f>SUMIF(Calendario!$A$72:$A$86,A351,Calendario!$B$72:$B$86)</x:f>
        <x:v>0</x:v>
      </x:c>
      <x:c r="D351" s="117" t="str">
        <x:f t="shared" si="1"/>
      </x:c>
      <x:c r="E351" s="118" t="str">
        <x:f t="shared" si="2"/>
      </x:c>
    </x:row>
    <x:row r="352">
      <x:c r="A352" s="115">
        <x:v>46373.0</x:v>
      </x:c>
      <x:c r="B352" s="116" t="str">
        <x:f>IF(Calendario!T61="","",Calendario!T61)</x:f>
      </x:c>
      <x:c r="C352" s="116" t="n">
        <x:f>SUMIF(Calendario!$A$72:$A$86,A352,Calendario!$B$72:$B$86)</x:f>
        <x:v>0</x:v>
      </x:c>
      <x:c r="D352" s="117" t="str">
        <x:f t="shared" si="1"/>
      </x:c>
      <x:c r="E352" s="118" t="str">
        <x:f t="shared" si="2"/>
      </x:c>
    </x:row>
    <x:row r="353">
      <x:c r="A353" s="115">
        <x:v>46374.0</x:v>
      </x:c>
      <x:c r="B353" s="116" t="str">
        <x:f>IF(Calendario!U61="","",Calendario!U61)</x:f>
      </x:c>
      <x:c r="C353" s="116" t="n">
        <x:f>SUMIF(Calendario!$A$72:$A$86,A353,Calendario!$B$72:$B$86)</x:f>
        <x:v>0</x:v>
      </x:c>
      <x:c r="D353" s="117" t="str">
        <x:f t="shared" si="1"/>
      </x:c>
      <x:c r="E353" s="118" t="str">
        <x:f t="shared" si="2"/>
      </x:c>
    </x:row>
    <x:row r="354">
      <x:c r="A354" s="115">
        <x:v>46375.0</x:v>
      </x:c>
      <x:c r="B354" s="116" t="str">
        <x:f>IF(Calendario!V61="","",Calendario!V61)</x:f>
      </x:c>
      <x:c r="C354" s="116" t="n">
        <x:f>SUMIF(Calendario!$A$72:$A$86,A354,Calendario!$B$72:$B$86)</x:f>
        <x:v>0</x:v>
      </x:c>
      <x:c r="D354" s="117" t="str">
        <x:f t="shared" si="1"/>
      </x:c>
      <x:c r="E354" s="118" t="str">
        <x:f t="shared" si="2"/>
      </x:c>
    </x:row>
    <x:row r="355">
      <x:c r="A355" s="115">
        <x:v>46376.0</x:v>
      </x:c>
      <x:c r="B355" s="116" t="str">
        <x:f>IF(Calendario!W61="","",Calendario!W61)</x:f>
      </x:c>
      <x:c r="C355" s="116" t="n">
        <x:f>SUMIF(Calendario!$A$72:$A$86,A355,Calendario!$B$72:$B$86)</x:f>
        <x:v>0</x:v>
      </x:c>
      <x:c r="D355" s="117" t="str">
        <x:f t="shared" si="1"/>
      </x:c>
      <x:c r="E355" s="118" t="str">
        <x:f t="shared" si="2"/>
      </x:c>
    </x:row>
    <x:row r="356">
      <x:c r="A356" s="115">
        <x:v>46377.0</x:v>
      </x:c>
      <x:c r="B356" s="116" t="str">
        <x:f>IF(Calendario!Q63="","",Calendario!Q63)</x:f>
      </x:c>
      <x:c r="C356" s="116" t="n">
        <x:f>SUMIF(Calendario!$A$72:$A$86,A356,Calendario!$B$72:$B$86)</x:f>
        <x:v>0</x:v>
      </x:c>
      <x:c r="D356" s="117" t="str">
        <x:f t="shared" si="1"/>
      </x:c>
      <x:c r="E356" s="118" t="str">
        <x:f t="shared" si="2"/>
      </x:c>
    </x:row>
    <x:row r="357">
      <x:c r="A357" s="115">
        <x:v>46378.0</x:v>
      </x:c>
      <x:c r="B357" s="116" t="str">
        <x:f>IF(Calendario!R63="","",Calendario!R63)</x:f>
      </x:c>
      <x:c r="C357" s="116" t="n">
        <x:f>SUMIF(Calendario!$A$72:$A$86,A357,Calendario!$B$72:$B$86)</x:f>
        <x:v>0</x:v>
      </x:c>
      <x:c r="D357" s="117" t="str">
        <x:f t="shared" si="1"/>
      </x:c>
      <x:c r="E357" s="118" t="str">
        <x:f t="shared" si="2"/>
      </x:c>
    </x:row>
    <x:row r="358">
      <x:c r="A358" s="115">
        <x:v>46379.0</x:v>
      </x:c>
      <x:c r="B358" s="116" t="str">
        <x:f>IF(Calendario!S63="","",Calendario!S63)</x:f>
      </x:c>
      <x:c r="C358" s="116" t="n">
        <x:f>SUMIF(Calendario!$A$72:$A$86,A358,Calendario!$B$72:$B$86)</x:f>
        <x:v>0</x:v>
      </x:c>
      <x:c r="D358" s="117" t="str">
        <x:f t="shared" si="1"/>
      </x:c>
      <x:c r="E358" s="118" t="str">
        <x:f t="shared" si="2"/>
      </x:c>
    </x:row>
    <x:row r="359">
      <x:c r="A359" s="115">
        <x:v>46380.0</x:v>
      </x:c>
      <x:c r="B359" s="116" t="str">
        <x:f>IF(Calendario!T63="","",Calendario!T63)</x:f>
      </x:c>
      <x:c r="C359" s="116" t="n">
        <x:f>SUMIF(Calendario!$A$72:$A$86,A359,Calendario!$B$72:$B$86)</x:f>
        <x:v>0</x:v>
      </x:c>
      <x:c r="D359" s="117" t="str">
        <x:f t="shared" si="1"/>
      </x:c>
      <x:c r="E359" s="118" t="str">
        <x:f t="shared" si="2"/>
      </x:c>
    </x:row>
    <x:row r="360">
      <x:c r="A360" s="115">
        <x:v>46381.0</x:v>
      </x:c>
      <x:c r="B360" s="116" t="str">
        <x:f>IF(Calendario!U63="","",Calendario!U63)</x:f>
      </x:c>
      <x:c r="C360" s="116" t="n">
        <x:f>SUMIF(Calendario!$A$72:$A$86,A360,Calendario!$B$72:$B$86)</x:f>
        <x:v>0</x:v>
      </x:c>
      <x:c r="D360" s="117" t="str">
        <x:f t="shared" si="1"/>
      </x:c>
      <x:c r="E360" s="118" t="str">
        <x:f t="shared" si="2"/>
      </x:c>
    </x:row>
    <x:row r="361">
      <x:c r="A361" s="115">
        <x:v>46382.0</x:v>
      </x:c>
      <x:c r="B361" s="116" t="str">
        <x:f>IF(Calendario!V63="","",Calendario!V63)</x:f>
      </x:c>
      <x:c r="C361" s="116" t="n">
        <x:f>SUMIF(Calendario!$A$72:$A$86,A361,Calendario!$B$72:$B$86)</x:f>
        <x:v>0</x:v>
      </x:c>
      <x:c r="D361" s="117" t="str">
        <x:f t="shared" si="1"/>
      </x:c>
      <x:c r="E361" s="118" t="str">
        <x:f t="shared" si="2"/>
      </x:c>
    </x:row>
    <x:row r="362">
      <x:c r="A362" s="115">
        <x:v>46383.0</x:v>
      </x:c>
      <x:c r="B362" s="116" t="str">
        <x:f>IF(Calendario!W63="","",Calendario!W63)</x:f>
      </x:c>
      <x:c r="C362" s="116" t="n">
        <x:f>SUMIF(Calendario!$A$72:$A$86,A362,Calendario!$B$72:$B$86)</x:f>
        <x:v>0</x:v>
      </x:c>
      <x:c r="D362" s="117" t="str">
        <x:f t="shared" si="1"/>
      </x:c>
      <x:c r="E362" s="118" t="str">
        <x:f t="shared" si="2"/>
      </x:c>
    </x:row>
    <x:row r="363">
      <x:c r="A363" s="115">
        <x:v>46384.0</x:v>
      </x:c>
      <x:c r="B363" s="116" t="str">
        <x:f>IF(Calendario!Q65="","",Calendario!Q65)</x:f>
      </x:c>
      <x:c r="C363" s="116" t="n">
        <x:f>SUMIF(Calendario!$A$72:$A$86,A363,Calendario!$B$72:$B$86)</x:f>
        <x:v>0</x:v>
      </x:c>
      <x:c r="D363" s="117" t="str">
        <x:f t="shared" si="1"/>
      </x:c>
      <x:c r="E363" s="118" t="str">
        <x:f t="shared" si="2"/>
      </x:c>
    </x:row>
    <x:row r="364">
      <x:c r="A364" s="115">
        <x:v>46385.0</x:v>
      </x:c>
      <x:c r="B364" s="116" t="str">
        <x:f>IF(Calendario!R65="","",Calendario!R65)</x:f>
      </x:c>
      <x:c r="C364" s="116" t="n">
        <x:f>SUMIF(Calendario!$A$72:$A$86,A364,Calendario!$B$72:$B$86)</x:f>
        <x:v>0</x:v>
      </x:c>
      <x:c r="D364" s="117" t="str">
        <x:f t="shared" si="1"/>
      </x:c>
      <x:c r="E364" s="118" t="str">
        <x:f t="shared" si="2"/>
      </x:c>
    </x:row>
    <x:row r="365">
      <x:c r="A365" s="115">
        <x:v>46386.0</x:v>
      </x:c>
      <x:c r="B365" s="116" t="str">
        <x:f>IF(Calendario!S65="","",Calendario!S65)</x:f>
      </x:c>
      <x:c r="C365" s="116" t="n">
        <x:f>SUMIF(Calendario!$A$72:$A$86,A365,Calendario!$B$72:$B$86)</x:f>
        <x:v>0</x:v>
      </x:c>
      <x:c r="D365" s="117" t="str">
        <x:f t="shared" si="1"/>
      </x:c>
      <x:c r="E365" s="118" t="str">
        <x:f t="shared" si="2"/>
      </x:c>
    </x:row>
    <x:row r="366">
      <x:c r="A366" s="115">
        <x:v>46387.0</x:v>
      </x:c>
      <x:c r="B366" s="116" t="str">
        <x:f>IF(Calendario!T65="","",Calendario!T65)</x:f>
      </x:c>
      <x:c r="C366" s="116" t="n">
        <x:f>SUMIF(Calendario!$A$72:$A$86,A366,Calendario!$B$72:$B$86)</x:f>
        <x:v>0</x:v>
      </x:c>
      <x:c r="D366" s="117" t="str">
        <x:f t="shared" si="1"/>
      </x:c>
      <x:c r="E366" s="118" t="str">
        <x:f t="shared" si="2"/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ColWidth="12.630000114440918" defaultRowHeight="15"/>
  <x:cols>
    <x:col min="1" max="17" width="11.130000114440918" customWidth="1"/>
  </x:cols>
  <x:sheetData>
    <x:row r="1" ht="28.5" customHeight="1">
      <x:c r="A1" s="119" t="s">
        <x:v>75</x:v>
      </x:c>
      <x:c r="Q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3">
      <x:c r="A3" s="120" t="s">
        <x:v>76</x:v>
      </x:c>
      <x:c r="B3" s="5"/>
      <x:c r="C3" s="121">
        <x:v>2.5</x:v>
      </x:c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</x:row>
    <x:row r="4">
      <x:c r="A4" s="5"/>
      <x:c r="B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</x:row>
    <x:row r="5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</x:row>
    <x:row r="6" ht="22.5" customHeight="1">
      <x:c r="A6" s="122" t="s">
        <x:v>77</x:v>
      </x:c>
      <x:c r="Q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</x:row>
    <x:row r="8" ht="21" customHeight="1">
      <x:c r="A8" s="123" t="s">
        <x:v>78</x:v>
      </x:c>
      <x:c r="E8" s="123" t="s">
        <x:v>79</x:v>
      </x:c>
      <x:c r="I8" s="123" t="s">
        <x:v>80</x:v>
      </x:c>
      <x:c r="M8" s="123" t="s">
        <x:v>81</x:v>
      </x:c>
      <x:c r="Q8" s="5"/>
    </x:row>
    <x:row r="9" ht="21" customHeight="1">
      <x:c r="A9" s="124" t="e">
        <x:f>IFERROR(__xludf.DUMMYFUNCTION("IFERROR(AVERAGE(FILTER($D$36:$D$58,$D$36:$D$58&lt;&gt;""""))/STDEV(FILTER($D$36:$D$58,$D$36:$D$58&lt;&gt;""""))*SQRT(12),"""")"),2.352355369585261)</x:f>
        <x:v>#NAME?</x:v>
      </x:c>
      <x:c r="E9" s="124" t="e">
        <x:f>IFERROR(__xludf.DUMMYFUNCTION("IFERROR(AVERAGE(FILTER($D$36:$D$58,$D$36:$D$58&lt;&gt;""""))/STDEV(FILTER($J$36:$J$58,$J$36:$J$58&lt;&gt;""""))*SQRT(12),"""")"),4.8813476878293915)</x:f>
        <x:v>#NAME?</x:v>
      </x:c>
      <x:c r="I9" s="125" t="e">
        <x:f>IFERROR(__xludf.DUMMYFUNCTION("IFERROR(INTERCEPT(FILTER($B$36:$B$58,$B$36:$B$58&lt;&gt;"""",$C$36:$C$58&lt;&gt;""""),FILTER($C$36:$C$58,$B$36:$B$58&lt;&gt;"""",$C$36:$C$58&lt;&gt;""""))*12,"""")"),20.19733019130498)</x:f>
        <x:v>#NAME?</x:v>
      </x:c>
      <x:c r="M9" s="124" t="e">
        <x:f>IFERROR(__xludf.DUMMYFUNCTION("IFERROR(SLOPE(FILTER($B$36:$B$58,$B$36:$B$58&lt;&gt;"""",$C$36:$C$58&lt;&gt;""""),FILTER($C$36:$C$58,$B$36:$B$58&lt;&gt;"""",$C$36:$C$58&lt;&gt;"""")),"""")"),0.2606138707813932)</x:f>
        <x:v>#NAME?</x:v>
      </x:c>
      <x:c r="Q9" s="5"/>
    </x:row>
    <x:row r="10" ht="21" customHeight="1">
      <x:c r="Q10" s="5"/>
    </x:row>
    <x:row r="11" ht="21" customHeight="1">
      <x:c r="A11" s="123" t="s">
        <x:v>82</x:v>
      </x:c>
      <x:c r="E11" s="123" t="s">
        <x:v>83</x:v>
      </x:c>
      <x:c r="I11" s="123" t="s">
        <x:v>84</x:v>
      </x:c>
      <x:c r="M11" s="123" t="s">
        <x:v>85</x:v>
      </x:c>
      <x:c r="Q11" s="5"/>
    </x:row>
    <x:row r="12" ht="21" customHeight="1">
      <x:c r="A12" s="126" t="n">
        <x:f>IFERROR(MIN($I$36:$I$58),"")</x:f>
        <x:v>-0.0562886468</x:v>
      </x:c>
      <x:c r="E12" s="124" t="e">
        <x:f>IFERROR(__xludf.DUMMYFUNCTION("IFERROR(AVERAGE(FILTER($E$36:$E$58,$E$36:$E$58&lt;&gt;""""))/STDEV(FILTER($E$36:$E$58,$E$36:$E$58&lt;&gt;""""))*SQRT(12),"""")"),0.8215132546134184)</x:f>
        <x:v>#NAME?</x:v>
      </x:c>
      <x:c r="I12" s="125" t="e">
        <x:f>IFERROR(__xludf.DUMMYFUNCTION("IFERROR(STDEV(FILTER($E$36:$E$58,$E$36:$E$58&lt;&gt;""""))*SQRT(12),"""")"),12.460701664228713)</x:f>
        <x:v>#NAME?</x:v>
      </x:c>
      <x:c r="M12" s="124" t="e">
        <x:f>IFERROR(__xludf.DUMMYFUNCTION("IFERROR(CORREL(FILTER($B$36:$B$58,$B$36:$B$58&lt;&gt;"""",$C$36:$C$58&lt;&gt;""""),FILTER($C$36:$C$58,$B$36:$B$58&lt;&gt;"""",$C$36:$C$58&lt;&gt;"""")),"""")"),0.3593400426729372)</x:f>
        <x:v>#NAME?</x:v>
      </x:c>
      <x:c r="Q12" s="5"/>
    </x:row>
    <x:row r="13" ht="21" customHeight="1">
      <x:c r="Q13" s="5"/>
    </x:row>
    <x:row r="14" ht="21" customHeight="1">
      <x:c r="A14" s="123" t="s">
        <x:v>86</x:v>
      </x:c>
      <x:c r="E14" s="123" t="s">
        <x:v>87</x:v>
      </x:c>
      <x:c r="I14" s="123" t="s">
        <x:v>88</x:v>
      </x:c>
      <x:c r="M14" s="123" t="s">
        <x:v>89</x:v>
      </x:c>
      <x:c r="Q14" s="5"/>
    </x:row>
    <x:row r="15" ht="21" customHeight="1">
      <x:c r="A15" s="125" t="e">
        <x:f>IFERROR(__xludf.DUMMYFUNCTION("IFERROR((INDEX(FILTER($F$36:$F$58,$F$36:$F$58&lt;&gt;""""),COUNT(FILTER($F$36:$F$58,$F$36:$F$58&lt;&gt;"""")))^(12/COUNT($B$36:$B$58))-1)*100,"""")"),25.98671706951079)</x:f>
        <x:v>#NAME?</x:v>
      </x:c>
      <x:c r="E15" s="125" t="e">
        <x:f>IFERROR(__xludf.DUMMYFUNCTION("IFERROR(STDEV(FILTER($B$36:$B$58,$B$36:$B$58&lt;&gt;""""))*SQRT(12),"""")"),9.015734102307409)</x:f>
        <x:v>#NAME?</x:v>
      </x:c>
      <x:c r="I15" s="127" t="n">
        <x:f>COUNT($B$36:$B$58)</x:f>
        <x:v>17</x:v>
      </x:c>
      <x:c r="M15" s="125" t="str">
        <x:f>IFERROR(MAX($B$36:$B$58),"")</x:f>
      </x:c>
      <x:c r="Q15" s="5"/>
    </x:row>
    <x:row r="16">
      <x:c r="Q16" s="5"/>
    </x:row>
    <x:row r="17">
      <x:c r="A17" s="123" t="s">
        <x:v>90</x:v>
      </x:c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</x:row>
    <x:row r="18">
      <x:c r="A18" s="124" t="e">
        <x:f>IFERROR(__xludf.DUMMYFUNCTION("IFERROR(AVERAGE(FILTER($D$36:$D$58,$D$36:$D$58&lt;&gt;""""))*12/$M$9,"""")"),81.37790388027946)</x:f>
        <x:v>#NAME?</x:v>
      </x:c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</x:row>
    <x:row r="19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</x:row>
    <x:row r="20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</x:row>
    <x:row r="21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</x:row>
    <x:row r="2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</x:row>
    <x:row r="23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</x:row>
    <x:row r="24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</x:row>
    <x:row r="25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</x:row>
    <x:row r="26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</x:row>
    <x:row r="27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</x:row>
    <x:row r="28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</x:row>
    <x:row r="29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</x:row>
    <x:row r="30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</x:row>
    <x:row r="3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</x:row>
    <x:row r="3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</x:row>
    <x:row r="33" ht="21" customHeight="1">
      <x:c r="A33" s="128" t="s">
        <x:v>91</x:v>
      </x:c>
    </x:row>
    <x:row r="34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129"/>
      <x:c r="L35" s="39"/>
      <x:c r="M35" s="39"/>
      <x:c r="N35" s="39"/>
      <x:c r="O35" s="129"/>
      <x:c r="P35" s="39"/>
      <x:c r="Q35" s="39"/>
    </x:row>
    <x:row r="36">
      <x:c r="A36" s="130" t="str">
        <x:f>Comparativa!C2</x:f>
        <x:v>2025 Feb</x:v>
      </x:c>
      <x:c r="B36" s="131" t="n">
        <x:f>Comparativa!D2</x:f>
        <x:v>0</x:v>
      </x:c>
      <x:c r="C36" s="131" t="n">
        <x:f>Comparativa!E2</x:f>
        <x:v>0</x:v>
      </x:c>
      <x:c r="D36" s="131" t="str">
        <x:f t="shared" ref="D36:D58" si="2">IF(B36="","",B36-$C$3/12)</x:f>
      </x:c>
      <x:c r="E36" s="131" t="str">
        <x:f t="shared" ref="E36:E58" si="3">IF(OR(B36="",C36=""),"",B36-C36)</x:f>
      </x:c>
      <x:c r="F36" s="132" t="str">
        <x:f t="shared" ref="F36:G36" si="1">IF(B36="","",1+B36/100)</x:f>
      </x:c>
      <x:c r="G36" s="132">
        <x:f t="shared" si="1"/>
        <x:v>1</x:v>
      </x:c>
      <x:c r="H36" s="132" t="str">
        <x:f>IF(F36="","",F36)</x:f>
      </x:c>
      <x:c r="I36" s="133" t="str">
        <x:f t="shared" ref="I36:I58" si="5">IF(F36="","",F36/H36-1)</x:f>
      </x:c>
      <x:c r="J36" s="131" t="str">
        <x:f t="shared" ref="J36:J58" si="6">IF(D36="","",IF(D36&lt;0,D36,0))</x:f>
      </x:c>
      <x:c r="K36" s="130"/>
      <x:c r="L36" s="130" t="str">
        <x:f t="shared" ref="L36:L58" si="7">IF(OR(F36="",G36=""),"",A36)</x:f>
      </x:c>
      <x:c r="M36" s="132" t="str">
        <x:f t="shared" ref="M36:M58" si="8">IF(L36="","",F36)</x:f>
      </x:c>
      <x:c r="N36" s="132" t="str">
        <x:f t="shared" ref="N36:N58" si="9">IF(L36="","",G36)</x:f>
      </x:c>
      <x:c r="O36" s="130"/>
      <x:c r="P36" s="130" t="str">
        <x:f t="shared" ref="P36:P58" si="10">IF(E36="","",A36)</x:f>
      </x:c>
      <x:c r="Q36" s="131" t="str">
        <x:f t="shared" ref="Q36:Q58" si="11">IF(P36="","",E36)</x:f>
      </x:c>
    </x:row>
    <x:row r="37">
      <x:c r="A37" s="130" t="str">
        <x:f>Comparativa!C3</x:f>
        <x:v>2025 Mar</x:v>
      </x:c>
      <x:c r="B37" s="131" t="n">
        <x:f>Comparativa!D3</x:f>
        <x:v>1.799</x:v>
      </x:c>
      <x:c r="C37" s="131" t="n">
        <x:f>Comparativa!E3</x:f>
        <x:v>1.2</x:v>
      </x:c>
      <x:c r="D37" s="131">
        <x:f t="shared" si="2"/>
        <x:v>3.576666667</x:v>
      </x:c>
      <x:c r="E37" s="131">
        <x:f t="shared" si="3"/>
        <x:v>10.755</x:v>
      </x:c>
      <x:c r="F37" s="132" t="n">
        <x:f t="shared" ref="F37:G37" si="4">IF(B37="","",F36*(1+B37/100))</x:f>
        <x:v>0</x:v>
      </x:c>
      <x:c r="G37" s="132">
        <x:f t="shared" si="4"/>
        <x:v>0.9303</x:v>
      </x:c>
      <x:c r="H37" s="132" t="str">
        <x:f t="shared" ref="H37:H58" si="13">IF(F37="","",MAX(H36,F37))</x:f>
      </x:c>
      <x:c r="I37" s="133">
        <x:f t="shared" si="5"/>
        <x:v>0</x:v>
      </x:c>
      <x:c r="J37" s="131">
        <x:f t="shared" si="6"/>
        <x:v>0</x:v>
      </x:c>
      <x:c r="K37" s="130"/>
      <x:c r="L37" s="130" t="str">
        <x:f t="shared" si="7"/>
        <x:v>2025 Mar</x:v>
      </x:c>
      <x:c r="M37" s="132">
        <x:f t="shared" si="8"/>
        <x:v>1.03785</x:v>
      </x:c>
      <x:c r="N37" s="132">
        <x:f t="shared" si="9"/>
        <x:v>0.9303</x:v>
      </x:c>
      <x:c r="O37" s="130"/>
      <x:c r="P37" s="130" t="str">
        <x:f t="shared" si="10"/>
        <x:v>2025 Mar</x:v>
      </x:c>
      <x:c r="Q37" s="131">
        <x:f t="shared" si="11"/>
        <x:v>10.755</x:v>
      </x:c>
    </x:row>
    <x:row r="38">
      <x:c r="A38" s="130" t="str">
        <x:f>Comparativa!C4</x:f>
        <x:v>2025 Abr</x:v>
      </x:c>
      <x:c r="B38" s="131" t="n">
        <x:f>Comparativa!D4</x:f>
        <x:v>-0.7</x:v>
      </x:c>
      <x:c r="C38" s="131" t="n">
        <x:f>Comparativa!E4</x:f>
        <x:v>-1.1</x:v>
      </x:c>
      <x:c r="D38" s="131">
        <x:f t="shared" si="2"/>
        <x:v>4.071666667</x:v>
      </x:c>
      <x:c r="E38" s="131">
        <x:f t="shared" si="3"/>
        <x:v>8.4</x:v>
      </x:c>
      <x:c r="F38" s="132" t="n">
        <x:f t="shared" ref="F38:G38" si="12">IF(B38="","",F37*(1+B38/100))</x:f>
        <x:v>0</x:v>
      </x:c>
      <x:c r="G38" s="132">
        <x:f t="shared" si="12"/>
        <x:v>0.89197164</x:v>
      </x:c>
      <x:c r="H38" s="132">
        <x:f t="shared" si="13"/>
        <x:v>1.08226998</x:v>
      </x:c>
      <x:c r="I38" s="133">
        <x:f t="shared" si="5"/>
        <x:v>0</x:v>
      </x:c>
      <x:c r="J38" s="131">
        <x:f t="shared" si="6"/>
        <x:v>0</x:v>
      </x:c>
      <x:c r="K38" s="130"/>
      <x:c r="L38" s="130" t="str">
        <x:f t="shared" si="7"/>
        <x:v>2025 Abr</x:v>
      </x:c>
      <x:c r="M38" s="132">
        <x:f t="shared" si="8"/>
        <x:v>1.08226998</x:v>
      </x:c>
      <x:c r="N38" s="132">
        <x:f t="shared" si="9"/>
        <x:v>0.89197164</x:v>
      </x:c>
      <x:c r="O38" s="130"/>
      <x:c r="P38" s="130" t="str">
        <x:f t="shared" si="10"/>
        <x:v>2025 Abr</x:v>
      </x:c>
      <x:c r="Q38" s="131">
        <x:f t="shared" si="11"/>
        <x:v>8.4</x:v>
      </x:c>
    </x:row>
    <x:row r="39">
      <x:c r="A39" s="130" t="str">
        <x:f>Comparativa!C5</x:f>
        <x:v>2025 May</x:v>
      </x:c>
      <x:c r="B39" s="131" t="n">
        <x:f>Comparativa!D5</x:f>
        <x:v>2.399</x:v>
      </x:c>
      <x:c r="C39" s="131" t="n">
        <x:f>Comparativa!E5</x:f>
        <x:v>1.8</x:v>
      </x:c>
      <x:c r="D39" s="131">
        <x:f t="shared" si="2"/>
        <x:v>2.034666667</x:v>
      </x:c>
      <x:c r="E39" s="131">
        <x:f t="shared" si="3"/>
        <x:v>-3.827</x:v>
      </x:c>
      <x:c r="F39" s="132" t="n">
        <x:f t="shared" ref="F39:G39" si="14">IF(B39="","",F38*(1+B39/100))</x:f>
        <x:v>0</x:v>
      </x:c>
      <x:c r="G39" s="132">
        <x:f t="shared" si="14"/>
        <x:v>0.9461143185</x:v>
      </x:c>
      <x:c r="H39" s="132">
        <x:f t="shared" si="13"/>
        <x:v>1.106545296</x:v>
      </x:c>
      <x:c r="I39" s="133">
        <x:f t="shared" si="5"/>
        <x:v>0</x:v>
      </x:c>
      <x:c r="J39" s="131">
        <x:f t="shared" si="6"/>
        <x:v>0</x:v>
      </x:c>
      <x:c r="K39" s="130"/>
      <x:c r="L39" s="130" t="str">
        <x:f t="shared" si="7"/>
        <x:v>2025 May</x:v>
      </x:c>
      <x:c r="M39" s="132">
        <x:f t="shared" si="8"/>
        <x:v>1.106545296</x:v>
      </x:c>
      <x:c r="N39" s="132">
        <x:f t="shared" si="9"/>
        <x:v>0.9461143185</x:v>
      </x:c>
      <x:c r="O39" s="130"/>
      <x:c r="P39" s="130" t="str">
        <x:f t="shared" si="10"/>
        <x:v>2025 May</x:v>
      </x:c>
      <x:c r="Q39" s="131">
        <x:f t="shared" si="11"/>
        <x:v>-3.827</x:v>
      </x:c>
    </x:row>
    <x:row r="40">
      <x:c r="A40" s="130" t="str">
        <x:f>Comparativa!C6</x:f>
        <x:v>2025 Jun</x:v>
      </x:c>
      <x:c r="B40" s="131" t="n">
        <x:f>Comparativa!D6</x:f>
        <x:v>1.099</x:v>
      </x:c>
      <x:c r="C40" s="131" t="n">
        <x:f>Comparativa!E6</x:f>
        <x:v>0.6</x:v>
      </x:c>
      <x:c r="D40" s="131">
        <x:f t="shared" si="2"/>
        <x:v>0.8906666667</x:v>
      </x:c>
      <x:c r="E40" s="131">
        <x:f t="shared" si="3"/>
        <x:v>0.219</x:v>
      </x:c>
      <x:c r="F40" s="132" t="n">
        <x:f t="shared" ref="F40:G40" si="15">IF(B40="","",F39*(1+B40/100))</x:f>
        <x:v>0</x:v>
      </x:c>
      <x:c r="G40" s="132">
        <x:f t="shared" si="15"/>
        <x:v>0.9544401246</x:v>
      </x:c>
      <x:c r="H40" s="132">
        <x:f t="shared" si="13"/>
        <x:v>1.118706228</x:v>
      </x:c>
      <x:c r="I40" s="133">
        <x:f t="shared" si="5"/>
        <x:v>0</x:v>
      </x:c>
      <x:c r="J40" s="131">
        <x:f t="shared" si="6"/>
        <x:v>0</x:v>
      </x:c>
      <x:c r="K40" s="130"/>
      <x:c r="L40" s="130" t="str">
        <x:f t="shared" si="7"/>
        <x:v>2025 Jun</x:v>
      </x:c>
      <x:c r="M40" s="132">
        <x:f t="shared" si="8"/>
        <x:v>1.118706228</x:v>
      </x:c>
      <x:c r="N40" s="132">
        <x:f t="shared" si="9"/>
        <x:v>0.9544401246</x:v>
      </x:c>
      <x:c r="O40" s="130"/>
      <x:c r="P40" s="130" t="str">
        <x:f t="shared" si="10"/>
        <x:v>2025 Jun</x:v>
      </x:c>
      <x:c r="Q40" s="131">
        <x:f t="shared" si="11"/>
        <x:v>0.219</x:v>
      </x:c>
    </x:row>
    <x:row r="41">
      <x:c r="A41" s="130" t="str">
        <x:f>Comparativa!C7</x:f>
        <x:v>2025 Jul</x:v>
      </x:c>
      <x:c r="B41" s="131" t="n">
        <x:f>Comparativa!D7</x:f>
        <x:v>-1.299</x:v>
      </x:c>
      <x:c r="C41" s="131" t="n">
        <x:f>Comparativa!E7</x:f>
        <x:v>-0.8</x:v>
      </x:c>
      <x:c r="D41" s="131">
        <x:f t="shared" si="2"/>
        <x:v>1.269666667</x:v>
      </x:c>
      <x:c r="E41" s="131">
        <x:f t="shared" si="3"/>
        <x:v>-2.382</x:v>
      </x:c>
      <x:c r="F41" s="132" t="n">
        <x:f t="shared" ref="F41:G41" si="16">IF(B41="","",F40*(1+B41/100))</x:f>
        <x:v>0</x:v>
      </x:c>
      <x:c r="G41" s="132">
        <x:f t="shared" si="16"/>
        <x:v>0.9912815134</x:v>
      </x:c>
      <x:c r="H41" s="132">
        <x:f t="shared" si="13"/>
        <x:v>1.135240707</x:v>
      </x:c>
      <x:c r="I41" s="133">
        <x:f t="shared" si="5"/>
        <x:v>0</x:v>
      </x:c>
      <x:c r="J41" s="131">
        <x:f t="shared" si="6"/>
        <x:v>0</x:v>
      </x:c>
      <x:c r="K41" s="130"/>
      <x:c r="L41" s="130" t="str">
        <x:f t="shared" si="7"/>
        <x:v>2025 Jul</x:v>
      </x:c>
      <x:c r="M41" s="132">
        <x:f t="shared" si="8"/>
        <x:v>1.135240707</x:v>
      </x:c>
      <x:c r="N41" s="132">
        <x:f t="shared" si="9"/>
        <x:v>0.9912815134</x:v>
      </x:c>
      <x:c r="O41" s="130"/>
      <x:c r="P41" s="130" t="str">
        <x:f t="shared" si="10"/>
        <x:v>2025 Jul</x:v>
      </x:c>
      <x:c r="Q41" s="131">
        <x:f t="shared" si="11"/>
        <x:v>-2.382</x:v>
      </x:c>
    </x:row>
    <x:row r="42">
      <x:c r="A42" s="130" t="str">
        <x:f>Comparativa!C8</x:f>
        <x:v>2025 Ago</x:v>
      </x:c>
      <x:c r="B42" s="131" t="n">
        <x:f>Comparativa!D8</x:f>
        <x:v>0.899</x:v>
      </x:c>
      <x:c r="C42" s="131" t="n">
        <x:f>Comparativa!E8</x:f>
        <x:v>1.3</x:v>
      </x:c>
      <x:c r="D42" s="131">
        <x:f t="shared" si="2"/>
        <x:v>0.5826666667</x:v>
      </x:c>
      <x:c r="E42" s="131">
        <x:f t="shared" si="3"/>
        <x:v>0.471</x:v>
      </x:c>
      <x:c r="F42" s="132" t="n">
        <x:f t="shared" ref="F42:G42" si="17">IF(B42="","",F41*(1+B42/100))</x:f>
        <x:v>0</x:v>
      </x:c>
      <x:c r="G42" s="132">
        <x:f t="shared" si="17"/>
        <x:v>0.9944536142</x:v>
      </x:c>
      <x:c r="H42" s="132">
        <x:f t="shared" si="13"/>
        <x:v>1.14422046</x:v>
      </x:c>
      <x:c r="I42" s="133">
        <x:f t="shared" si="5"/>
        <x:v>0</x:v>
      </x:c>
      <x:c r="J42" s="131">
        <x:f t="shared" si="6"/>
        <x:v>0</x:v>
      </x:c>
      <x:c r="K42" s="130"/>
      <x:c r="L42" s="130" t="str">
        <x:f t="shared" si="7"/>
        <x:v>2025 Ago</x:v>
      </x:c>
      <x:c r="M42" s="132">
        <x:f t="shared" si="8"/>
        <x:v>1.14422046</x:v>
      </x:c>
      <x:c r="N42" s="132">
        <x:f t="shared" si="9"/>
        <x:v>0.9944536142</x:v>
      </x:c>
      <x:c r="O42" s="130"/>
      <x:c r="P42" s="130" t="str">
        <x:f t="shared" si="10"/>
        <x:v>2025 Ago</x:v>
      </x:c>
      <x:c r="Q42" s="131">
        <x:f t="shared" si="11"/>
        <x:v>0.471</x:v>
      </x:c>
    </x:row>
    <x:row r="43">
      <x:c r="A43" s="130" t="str">
        <x:f>Comparativa!C9</x:f>
        <x:v>2025 Sep</x:v>
      </x:c>
      <x:c r="B43" s="131" t="n">
        <x:f>Comparativa!D9</x:f>
        <x:v>1.599</x:v>
      </x:c>
      <x:c r="C43" s="131" t="n">
        <x:f>Comparativa!E9</x:f>
        <x:v>0.9</x:v>
      </x:c>
      <x:c r="D43" s="131">
        <x:f t="shared" si="2"/>
        <x:v>4.933666667</x:v>
      </x:c>
      <x:c r="E43" s="131">
        <x:f t="shared" si="3"/>
        <x:v>2.332</x:v>
      </x:c>
      <x:c r="F43" s="132" t="n">
        <x:f t="shared" ref="F43:G43" si="18">IF(B43="","",F42*(1+B43/100))</x:f>
        <x:v>0</x:v>
      </x:c>
      <x:c r="G43" s="132">
        <x:f t="shared" si="18"/>
        <x:v>1.022397761</x:v>
      </x:c>
      <x:c r="H43" s="132">
        <x:f t="shared" si="13"/>
        <x:v>1.203056277</x:v>
      </x:c>
      <x:c r="I43" s="133">
        <x:f t="shared" si="5"/>
        <x:v>0</x:v>
      </x:c>
      <x:c r="J43" s="131">
        <x:f t="shared" si="6"/>
        <x:v>0</x:v>
      </x:c>
      <x:c r="K43" s="130"/>
      <x:c r="L43" s="130" t="str">
        <x:f t="shared" si="7"/>
        <x:v>2025 Sep</x:v>
      </x:c>
      <x:c r="M43" s="132">
        <x:f t="shared" si="8"/>
        <x:v>1.203056277</x:v>
      </x:c>
      <x:c r="N43" s="132">
        <x:f t="shared" si="9"/>
        <x:v>1.022397761</x:v>
      </x:c>
      <x:c r="O43" s="130"/>
      <x:c r="P43" s="130" t="str">
        <x:f t="shared" si="10"/>
        <x:v>2025 Sep</x:v>
      </x:c>
      <x:c r="Q43" s="131">
        <x:f t="shared" si="11"/>
        <x:v>2.332</x:v>
      </x:c>
    </x:row>
    <x:row r="44">
      <x:c r="A44" s="130" t="str">
        <x:f>Comparativa!C10</x:f>
        <x:v>2025 Oct</x:v>
      </x:c>
      <x:c r="B44" s="131" t="n">
        <x:f>Comparativa!D10</x:f>
        <x:v>-0.4</x:v>
      </x:c>
      <x:c r="C44" s="131" t="n">
        <x:f>Comparativa!E10</x:f>
        <x:v>-0.3</x:v>
      </x:c>
      <x:c r="D44" s="131">
        <x:f t="shared" si="2"/>
        <x:v>2.615666667</x:v>
      </x:c>
      <x:c r="E44" s="131">
        <x:f t="shared" si="3"/>
        <x:v>-1.006</x:v>
      </x:c>
      <x:c r="F44" s="132" t="n">
        <x:f t="shared" ref="F44:G44" si="19">IF(B44="","",F43*(1+B44/100))</x:f>
        <x:v>0</x:v>
      </x:c>
      <x:c r="G44" s="132">
        <x:f t="shared" si="19"/>
        <x:v>1.061555595</x:v>
      </x:c>
      <x:c r="H44" s="132">
        <x:f t="shared" si="13"/>
        <x:v>1.237030586</x:v>
      </x:c>
      <x:c r="I44" s="133">
        <x:f t="shared" si="5"/>
        <x:v>0</x:v>
      </x:c>
      <x:c r="J44" s="131">
        <x:f t="shared" si="6"/>
        <x:v>0</x:v>
      </x:c>
      <x:c r="K44" s="130"/>
      <x:c r="L44" s="130" t="str">
        <x:f t="shared" si="7"/>
        <x:v>2025 Oct</x:v>
      </x:c>
      <x:c r="M44" s="132">
        <x:f t="shared" si="8"/>
        <x:v>1.237030586</x:v>
      </x:c>
      <x:c r="N44" s="132">
        <x:f t="shared" si="9"/>
        <x:v>1.061555595</x:v>
      </x:c>
      <x:c r="O44" s="130"/>
      <x:c r="P44" s="130" t="str">
        <x:f t="shared" si="10"/>
        <x:v>2025 Oct</x:v>
      </x:c>
      <x:c r="Q44" s="131">
        <x:f t="shared" si="11"/>
        <x:v>-1.006</x:v>
      </x:c>
    </x:row>
    <x:row r="45">
      <x:c r="A45" s="130" t="str">
        <x:f>Comparativa!C11</x:f>
        <x:v>2025 Nov</x:v>
      </x:c>
      <x:c r="B45" s="131" t="n">
        <x:f>Comparativa!D11</x:f>
        <x:v>2.099</x:v>
      </x:c>
      <x:c r="C45" s="131" t="n">
        <x:f>Comparativa!E11</x:f>
        <x:v>1.7</x:v>
      </x:c>
      <x:c r="D45" s="131">
        <x:f t="shared" si="2"/>
        <x:v>-0.4733333333</x:v>
      </x:c>
      <x:c r="E45" s="131">
        <x:f t="shared" si="3"/>
        <x:v>0.005</x:v>
      </x:c>
      <x:c r="F45" s="132" t="n">
        <x:f t="shared" ref="F45:G45" si="20">IF(B45="","",F44*(1+B45/100))</x:f>
        <x:v>0</x:v>
      </x:c>
      <x:c r="G45" s="132">
        <x:f t="shared" si="20"/>
        <x:v>1.058689395</x:v>
      </x:c>
      <x:c r="H45" s="132">
        <x:f t="shared" si="13"/>
        <x:v>1.237030586</x:v>
      </x:c>
      <x:c r="I45" s="133">
        <x:f t="shared" si="5"/>
        <x:v>-0.00265</x:v>
      </x:c>
      <x:c r="J45" s="131">
        <x:f t="shared" si="6"/>
        <x:v>-0.4733333333</x:v>
      </x:c>
      <x:c r="K45" s="130"/>
      <x:c r="L45" s="130" t="str">
        <x:f t="shared" si="7"/>
        <x:v>2025 Nov</x:v>
      </x:c>
      <x:c r="M45" s="132">
        <x:f t="shared" si="8"/>
        <x:v>1.233752455</x:v>
      </x:c>
      <x:c r="N45" s="132">
        <x:f t="shared" si="9"/>
        <x:v>1.058689395</x:v>
      </x:c>
      <x:c r="O45" s="130"/>
      <x:c r="P45" s="130" t="str">
        <x:f t="shared" si="10"/>
        <x:v>2025 Nov</x:v>
      </x:c>
      <x:c r="Q45" s="131">
        <x:f t="shared" si="11"/>
        <x:v>0.005</x:v>
      </x:c>
    </x:row>
    <x:row r="46">
      <x:c r="A46" s="130" t="str">
        <x:f>Comparativa!C12</x:f>
        <x:v>2025 Dic</x:v>
      </x:c>
      <x:c r="B46" s="131" t="n">
        <x:f>Comparativa!D12</x:f>
        <x:v>0.8</x:v>
      </x:c>
      <x:c r="C46" s="131" t="n">
        <x:f>Comparativa!E12</x:f>
        <x:v>0.5</x:v>
      </x:c>
      <x:c r="D46" s="131">
        <x:f t="shared" si="2"/>
        <x:v>3.606666667</x:v>
      </x:c>
      <x:c r="E46" s="131">
        <x:f t="shared" si="3"/>
        <x:v>4.215</x:v>
      </x:c>
      <x:c r="F46" s="132" t="n">
        <x:f t="shared" ref="F46:G46" si="21">IF(B46="","",F45*(1+B46/100))</x:f>
        <x:v>0</x:v>
      </x:c>
      <x:c r="G46" s="132">
        <x:f t="shared" si="21"/>
        <x:v>1.054454637</x:v>
      </x:c>
      <x:c r="H46" s="132">
        <x:f t="shared" si="13"/>
        <x:v>1.280820111</x:v>
      </x:c>
      <x:c r="I46" s="133">
        <x:f t="shared" si="5"/>
        <x:v>0</x:v>
      </x:c>
      <x:c r="J46" s="131">
        <x:f t="shared" si="6"/>
        <x:v>0</x:v>
      </x:c>
      <x:c r="K46" s="130"/>
      <x:c r="L46" s="130" t="str">
        <x:f t="shared" si="7"/>
        <x:v>2025 Dic</x:v>
      </x:c>
      <x:c r="M46" s="132">
        <x:f t="shared" si="8"/>
        <x:v>1.280820111</x:v>
      </x:c>
      <x:c r="N46" s="132">
        <x:f t="shared" si="9"/>
        <x:v>1.054454637</x:v>
      </x:c>
      <x:c r="O46" s="130"/>
      <x:c r="P46" s="130" t="str">
        <x:f t="shared" si="10"/>
        <x:v>2025 Dic</x:v>
      </x:c>
      <x:c r="Q46" s="131">
        <x:f t="shared" si="11"/>
        <x:v>4.215</x:v>
      </x:c>
    </x:row>
    <x:row r="47">
      <x:c r="A47" s="130" t="str">
        <x:f>Comparativa!C13</x:f>
        <x:v>2026 Ene</x:v>
      </x:c>
      <x:c r="B47" s="131" t="n">
        <x:f>Comparativa!D13</x:f>
        <x:v>1.5</x:v>
      </x:c>
      <x:c r="C47" s="131" t="n">
        <x:f>Comparativa!E13</x:f>
        <x:v>1.1</x:v>
      </x:c>
      <x:c r="D47" s="131">
        <x:f t="shared" si="2"/>
        <x:v>2.205666667</x:v>
      </x:c>
      <x:c r="E47" s="131">
        <x:f t="shared" si="3"/>
        <x:v>1.494</x:v>
      </x:c>
      <x:c r="F47" s="132" t="n">
        <x:f t="shared" ref="F47:G47" si="22">IF(B47="","",F46*(1+B47/100))</x:f>
        <x:v>0</x:v>
      </x:c>
      <x:c r="G47" s="132">
        <x:f t="shared" si="22"/>
        <x:v>1.06415562</x:v>
      </x:c>
      <x:c r="H47" s="132">
        <x:f t="shared" si="13"/>
        <x:v>1.311739108</x:v>
      </x:c>
      <x:c r="I47" s="133">
        <x:f t="shared" si="5"/>
        <x:v>0</x:v>
      </x:c>
      <x:c r="J47" s="131">
        <x:f t="shared" si="6"/>
        <x:v>0</x:v>
      </x:c>
      <x:c r="K47" s="130"/>
      <x:c r="L47" s="130" t="str">
        <x:f t="shared" si="7"/>
        <x:v>2026 Ene</x:v>
      </x:c>
      <x:c r="M47" s="132">
        <x:f t="shared" si="8"/>
        <x:v>1.311739108</x:v>
      </x:c>
      <x:c r="N47" s="132">
        <x:f t="shared" si="9"/>
        <x:v>1.06415562</x:v>
      </x:c>
      <x:c r="O47" s="130"/>
      <x:c r="P47" s="130" t="str">
        <x:f t="shared" si="10"/>
        <x:v>2026 Ene</x:v>
      </x:c>
      <x:c r="Q47" s="131">
        <x:f t="shared" si="11"/>
        <x:v>1.494</x:v>
      </x:c>
    </x:row>
    <x:row r="48">
      <x:c r="A48" s="130" t="str">
        <x:f>Comparativa!C14</x:f>
        <x:v>2026 Feb</x:v>
      </x:c>
      <x:c r="B48" s="131" t="n">
        <x:f>Comparativa!D14</x:f>
        <x:v>2</x:v>
      </x:c>
      <x:c r="C48" s="131" t="n">
        <x:f>Comparativa!E14</x:f>
        <x:v>1.4</x:v>
      </x:c>
      <x:c r="D48" s="131">
        <x:f t="shared" si="2"/>
        <x:v>-0.5703333333</x:v>
      </x:c>
      <x:c r="E48" s="131">
        <x:f t="shared" si="3"/>
        <x:v>-1.852</x:v>
      </x:c>
      <x:c r="F48" s="132" t="n">
        <x:f t="shared" ref="F48:G48" si="23">IF(B48="","",F47*(1+B48/100))</x:f>
        <x:v>0</x:v>
      </x:c>
      <x:c r="G48" s="132">
        <x:f t="shared" si="23"/>
        <x:v>1.080011539</x:v>
      </x:c>
      <x:c r="H48" s="132">
        <x:f t="shared" si="13"/>
        <x:v>1.311739108</x:v>
      </x:c>
      <x:c r="I48" s="133">
        <x:f t="shared" si="5"/>
        <x:v>-0.00362</x:v>
      </x:c>
      <x:c r="J48" s="131">
        <x:f t="shared" si="6"/>
        <x:v>-0.5703333333</x:v>
      </x:c>
      <x:c r="K48" s="130"/>
      <x:c r="L48" s="130" t="str">
        <x:f t="shared" si="7"/>
        <x:v>2026 Feb</x:v>
      </x:c>
      <x:c r="M48" s="132">
        <x:f t="shared" si="8"/>
        <x:v>1.306990613</x:v>
      </x:c>
      <x:c r="N48" s="132">
        <x:f t="shared" si="9"/>
        <x:v>1.080011539</x:v>
      </x:c>
      <x:c r="O48" s="130"/>
      <x:c r="P48" s="130" t="str">
        <x:f t="shared" si="10"/>
        <x:v>2026 Feb</x:v>
      </x:c>
      <x:c r="Q48" s="131">
        <x:f t="shared" si="11"/>
        <x:v>-1.852</x:v>
      </x:c>
    </x:row>
    <x:row r="49">
      <x:c r="A49" s="130" t="str">
        <x:f>Comparativa!C15</x:f>
        <x:v>2026 Mar</x:v>
      </x:c>
      <x:c r="B49" s="131" t="n">
        <x:f>Comparativa!D15</x:f>
        <x:v>-0.599</x:v>
      </x:c>
      <x:c r="C49" s="131" t="n">
        <x:f>Comparativa!E15</x:f>
        <x:v>-0.2</x:v>
      </x:c>
      <x:c r="D49" s="131">
        <x:f t="shared" si="2"/>
        <x:v>-5.494333333</x:v>
      </x:c>
      <x:c r="E49" s="131">
        <x:f t="shared" si="3"/>
        <x:v>-1.246</x:v>
      </x:c>
      <x:c r="F49" s="132" t="n">
        <x:f t="shared" ref="F49:G49" si="24">IF(B49="","",F48*(1+B49/100))</x:f>
        <x:v>0</x:v>
      </x:c>
      <x:c r="G49" s="132">
        <x:f t="shared" si="24"/>
        <x:v>1.036379073</x:v>
      </x:c>
      <x:c r="H49" s="132">
        <x:f t="shared" si="13"/>
        <x:v>1.311739108</x:v>
      </x:c>
      <x:c r="I49" s="133">
        <x:f t="shared" si="5"/>
        <x:v>-0.0562886468</x:v>
      </x:c>
      <x:c r="J49" s="131">
        <x:f t="shared" si="6"/>
        <x:v>-5.494333333</x:v>
      </x:c>
      <x:c r="K49" s="130"/>
      <x:c r="L49" s="130" t="str">
        <x:f t="shared" si="7"/>
        <x:v>2026 Mar</x:v>
      </x:c>
      <x:c r="M49" s="132">
        <x:f t="shared" si="8"/>
        <x:v>1.237903089</x:v>
      </x:c>
      <x:c r="N49" s="132">
        <x:f t="shared" si="9"/>
        <x:v>1.036379073</x:v>
      </x:c>
      <x:c r="O49" s="130"/>
      <x:c r="P49" s="130" t="str">
        <x:f t="shared" si="10"/>
        <x:v>2026 Mar</x:v>
      </x:c>
      <x:c r="Q49" s="131">
        <x:f t="shared" si="11"/>
        <x:v>-1.246</x:v>
      </x:c>
    </x:row>
    <x:row r="50">
      <x:c r="A50" s="130" t="str">
        <x:f>Comparativa!C16</x:f>
        <x:v>2026 Abr</x:v>
      </x:c>
      <x:c r="B50" s="131" t="n">
        <x:f>Comparativa!D16</x:f>
        <x:v>-2.4</x:v>
      </x:c>
      <x:c r="C50" s="131" t="n">
        <x:f>Comparativa!E16</x:f>
        <x:v>-1.8</x:v>
      </x:c>
      <x:c r="D50" s="131">
        <x:f t="shared" si="2"/>
        <x:v>5.267666667</x:v>
      </x:c>
      <x:c r="E50" s="131">
        <x:f t="shared" si="3"/>
        <x:v>-2.174</x:v>
      </x:c>
      <x:c r="F50" s="132" t="n">
        <x:f t="shared" ref="F50:G50" si="25">IF(B50="","",F49*(1+B50/100))</x:f>
        <x:v>0</x:v>
      </x:c>
      <x:c r="G50" s="132">
        <x:f t="shared" si="25"/>
        <x:v>1.115662072</x:v>
      </x:c>
      <x:c r="H50" s="132">
        <x:f t="shared" si="13"/>
        <x:v>1.311739108</x:v>
      </x:c>
      <x:c r="I50" s="133">
        <x:f t="shared" si="5"/>
        <x:v>-0.004611013099</x:v>
      </x:c>
      <x:c r="J50" s="131">
        <x:f t="shared" si="6"/>
        <x:v>0</x:v>
      </x:c>
      <x:c r="K50" s="130"/>
      <x:c r="L50" s="130" t="str">
        <x:f t="shared" si="7"/>
        <x:v>2026 Abr</x:v>
      </x:c>
      <x:c r="M50" s="132">
        <x:f t="shared" si="8"/>
        <x:v>1.305690662</x:v>
      </x:c>
      <x:c r="N50" s="132">
        <x:f t="shared" si="9"/>
        <x:v>1.115662072</x:v>
      </x:c>
      <x:c r="O50" s="130"/>
      <x:c r="P50" s="130" t="str">
        <x:f t="shared" si="10"/>
        <x:v>2026 Abr</x:v>
      </x:c>
      <x:c r="Q50" s="131">
        <x:f t="shared" si="11"/>
        <x:v>-2.174</x:v>
      </x:c>
    </x:row>
    <x:row r="51">
      <x:c r="A51" s="130" t="str">
        <x:f>Comparativa!C17</x:f>
        <x:v>2026 May</x:v>
      </x:c>
      <x:c r="B51" s="131" t="n">
        <x:f>Comparativa!D17</x:f>
        <x:v>3.1</x:v>
      </x:c>
      <x:c r="C51" s="131" t="n">
        <x:f>Comparativa!E17</x:f>
        <x:v>2.3</x:v>
      </x:c>
      <x:c r="D51" s="131">
        <x:f t="shared" si="2"/>
        <x:v>5.059666667</x:v>
      </x:c>
      <x:c r="E51" s="131">
        <x:f t="shared" si="3"/>
        <x:v>0.168</x:v>
      </x:c>
      <x:c r="F51" s="132" t="n">
        <x:f t="shared" ref="F51:G51" si="26">IF(B51="","",F50*(1+B51/100))</x:f>
        <x:v>0</x:v>
      </x:c>
      <x:c r="G51" s="132">
        <x:f t="shared" si="26"/>
        <x:v>1.172560837</x:v>
      </x:c>
      <x:c r="H51" s="132">
        <x:f t="shared" si="13"/>
        <x:v>1.374474446</x:v>
      </x:c>
      <x:c r="I51" s="133">
        <x:f t="shared" si="5"/>
        <x:v>0</x:v>
      </x:c>
      <x:c r="J51" s="131">
        <x:f t="shared" si="6"/>
        <x:v>0</x:v>
      </x:c>
      <x:c r="K51" s="130"/>
      <x:c r="L51" s="130" t="str">
        <x:f t="shared" si="7"/>
        <x:v>2026 May</x:v>
      </x:c>
      <x:c r="M51" s="132">
        <x:f t="shared" si="8"/>
        <x:v>1.374474446</x:v>
      </x:c>
      <x:c r="N51" s="132">
        <x:f t="shared" si="9"/>
        <x:v>1.172560837</x:v>
      </x:c>
      <x:c r="O51" s="130"/>
      <x:c r="P51" s="130" t="str">
        <x:f t="shared" si="10"/>
        <x:v>2026 May</x:v>
      </x:c>
      <x:c r="Q51" s="131">
        <x:f t="shared" si="11"/>
        <x:v>0.168</x:v>
      </x:c>
    </x:row>
    <x:row r="52">
      <x:c r="A52" s="130" t="str">
        <x:f>Comparativa!C18</x:f>
        <x:v>2026 Jun</x:v>
      </x:c>
      <x:c r="B52" s="131" t="n">
        <x:f>Comparativa!D18</x:f>
        <x:v>1.2</x:v>
      </x:c>
      <x:c r="C52" s="131" t="n">
        <x:f>Comparativa!E18</x:f>
        <x:v>0.9</x:v>
      </x:c>
      <x:c r="D52" s="131">
        <x:f t="shared" si="2"/>
        <x:v>-0.1163333333</x:v>
      </x:c>
      <x:c r="E52" s="131">
        <x:f t="shared" si="3"/>
        <x:v>-1.238</x:v>
      </x:c>
      <x:c r="F52" s="132" t="n">
        <x:f t="shared" ref="F52:G52" si="27">IF(B52="","",F51*(1+B52/100))</x:f>
        <x:v>0</x:v>
      </x:c>
      <x:c r="G52" s="132">
        <x:f t="shared" si="27"/>
        <x:v>1.188155896</x:v>
      </x:c>
      <x:c r="H52" s="132">
        <x:f t="shared" si="13"/>
        <x:v>1.375738963</x:v>
      </x:c>
      <x:c r="I52" s="133">
        <x:f t="shared" si="5"/>
        <x:v>0</x:v>
      </x:c>
      <x:c r="J52" s="131">
        <x:f t="shared" si="6"/>
        <x:v>-0.1163333333</x:v>
      </x:c>
      <x:c r="K52" s="130"/>
      <x:c r="L52" s="130" t="str">
        <x:f t="shared" si="7"/>
        <x:v>2026 Jun</x:v>
      </x:c>
      <x:c r="M52" s="132">
        <x:f t="shared" si="8"/>
        <x:v>1.375738963</x:v>
      </x:c>
      <x:c r="N52" s="132">
        <x:f t="shared" si="9"/>
        <x:v>1.188155896</x:v>
      </x:c>
      <x:c r="O52" s="130"/>
      <x:c r="P52" s="130" t="str">
        <x:f t="shared" si="10"/>
        <x:v>2026 Jun</x:v>
      </x:c>
      <x:c r="Q52" s="131">
        <x:f t="shared" si="11"/>
        <x:v>-1.238</x:v>
      </x:c>
    </x:row>
    <x:row r="53">
      <x:c r="A53" s="130" t="str">
        <x:f>Comparativa!C19</x:f>
        <x:v>2026 Jul</x:v>
      </x:c>
      <x:c r="B53" s="131" t="e">
        <x:f>Comparativa!D19</x:f>
        <x:v>#NAME?</x:v>
      </x:c>
      <x:c r="C53" s="131" t="n">
        <x:f>Comparativa!E19</x:f>
        <x:v>0.4</x:v>
      </x:c>
      <x:c r="D53" s="131">
        <x:f t="shared" si="2"/>
        <x:v>1.055666667</x:v>
      </x:c>
      <x:c r="E53" s="131">
        <x:f t="shared" si="3"/>
        <x:v>1.404</x:v>
      </x:c>
      <x:c r="F53" s="132" t="e">
        <x:f t="shared" ref="F53:G53" si="28">IF(B53="","",F52*(1+B53/100))</x:f>
        <x:v>#NAME?</x:v>
      </x:c>
      <x:c r="G53" s="132">
        <x:f t="shared" si="28"/>
        <x:v>1.186492478</x:v>
      </x:c>
      <x:c r="H53" s="132">
        <x:f t="shared" si="13"/>
        <x:v>1.393128303</x:v>
      </x:c>
      <x:c r="I53" s="133">
        <x:f t="shared" si="5"/>
        <x:v>0</x:v>
      </x:c>
      <x:c r="J53" s="131">
        <x:f t="shared" si="6"/>
        <x:v>0</x:v>
      </x:c>
      <x:c r="K53" s="130"/>
      <x:c r="L53" s="130" t="str">
        <x:f t="shared" si="7"/>
        <x:v>2026 Jul</x:v>
      </x:c>
      <x:c r="M53" s="132">
        <x:f t="shared" si="8"/>
        <x:v>1.393128303</x:v>
      </x:c>
      <x:c r="N53" s="132">
        <x:f t="shared" si="9"/>
        <x:v>1.186492478</x:v>
      </x:c>
      <x:c r="O53" s="130"/>
      <x:c r="P53" s="130" t="str">
        <x:f t="shared" si="10"/>
        <x:v>2026 Jul</x:v>
      </x:c>
      <x:c r="Q53" s="131">
        <x:f t="shared" si="11"/>
        <x:v>1.404</x:v>
      </x:c>
    </x:row>
    <x:row r="54">
      <x:c r="A54" s="130" t="str">
        <x:f>Comparativa!C20</x:f>
        <x:v>2026 Ago</x:v>
      </x:c>
      <x:c r="B54" s="131" t="e">
        <x:f>Comparativa!D20</x:f>
        <x:v>#NAME?</x:v>
      </x:c>
      <x:c r="C54" s="131" t="n">
        <x:f>Comparativa!E20</x:f>
        <x:v>-0.6</x:v>
      </x:c>
      <x:c r="D54" s="131">
        <x:f t="shared" si="2"/>
        <x:v>3.271666667</x:v>
      </x:c>
      <x:c r="E54" s="131">
        <x:f t="shared" si="3"/>
        <x:v>0.47</x:v>
      </x:c>
      <x:c r="F54" s="132" t="e">
        <x:f t="shared" ref="F54:G54" si="29">IF(B54="","",F53*(1+B54/100))</x:f>
        <x:v>#NAME?</x:v>
      </x:c>
      <x:c r="G54" s="132">
        <x:f t="shared" si="29"/>
        <x:v>1.222205902</x:v>
      </x:c>
      <x:c r="H54" s="132">
        <x:f t="shared" si="13"/>
        <x:v>1.441609168</x:v>
      </x:c>
      <x:c r="I54" s="133">
        <x:f t="shared" si="5"/>
        <x:v>0</x:v>
      </x:c>
      <x:c r="J54" s="131">
        <x:f t="shared" si="6"/>
        <x:v>0</x:v>
      </x:c>
      <x:c r="K54" s="130"/>
      <x:c r="L54" s="130" t="str">
        <x:f t="shared" si="7"/>
        <x:v>2026 Ago</x:v>
      </x:c>
      <x:c r="M54" s="132">
        <x:f t="shared" si="8"/>
        <x:v>1.441609168</x:v>
      </x:c>
      <x:c r="N54" s="132">
        <x:f t="shared" si="9"/>
        <x:v>1.222205902</x:v>
      </x:c>
      <x:c r="O54" s="130"/>
      <x:c r="P54" s="130" t="str">
        <x:f t="shared" si="10"/>
        <x:v>2026 Ago</x:v>
      </x:c>
      <x:c r="Q54" s="131">
        <x:f t="shared" si="11"/>
        <x:v>0.47</x:v>
      </x:c>
    </x:row>
    <x:row r="55">
      <x:c r="A55" s="130" t="str">
        <x:f>Comparativa!C21</x:f>
        <x:v>2026 Sep</x:v>
      </x:c>
      <x:c r="B55" s="131" t="e">
        <x:f>Comparativa!D21</x:f>
        <x:v>#NAME?</x:v>
      </x:c>
      <x:c r="C55" s="131" t="n">
        <x:f>Comparativa!E21</x:f>
        <x:v>0</x:v>
      </x:c>
      <x:c r="D55" s="131" t="str">
        <x:f t="shared" si="2"/>
      </x:c>
      <x:c r="E55" s="131" t="str">
        <x:f t="shared" si="3"/>
      </x:c>
      <x:c r="F55" s="132" t="e">
        <x:f t="shared" ref="F55:G55" si="30">IF(B55="","",F54*(1+B55/100))</x:f>
        <x:v>#NAME?</x:v>
      </x:c>
      <x:c r="G55" s="132" t="str">
        <x:f t="shared" si="30"/>
      </x:c>
      <x:c r="H55" s="132" t="str">
        <x:f t="shared" si="13"/>
      </x:c>
      <x:c r="I55" s="133" t="str">
        <x:f t="shared" si="5"/>
      </x:c>
      <x:c r="J55" s="131" t="str">
        <x:f t="shared" si="6"/>
      </x:c>
      <x:c r="K55" s="130"/>
      <x:c r="L55" s="130" t="str">
        <x:f t="shared" si="7"/>
      </x:c>
      <x:c r="M55" s="132" t="str">
        <x:f t="shared" si="8"/>
      </x:c>
      <x:c r="N55" s="132" t="str">
        <x:f t="shared" si="9"/>
      </x:c>
      <x:c r="O55" s="130"/>
      <x:c r="P55" s="130" t="str">
        <x:f t="shared" si="10"/>
      </x:c>
      <x:c r="Q55" s="131" t="str">
        <x:f t="shared" si="11"/>
      </x:c>
    </x:row>
    <x:row r="56">
      <x:c r="A56" s="130" t="str">
        <x:f>Comparativa!C22</x:f>
        <x:v>2026 Oct</x:v>
      </x:c>
      <x:c r="B56" s="131" t="e">
        <x:f>Comparativa!D22</x:f>
        <x:v>#NAME?</x:v>
      </x:c>
      <x:c r="C56" s="131" t="n">
        <x:f>Comparativa!E22</x:f>
        <x:v>0</x:v>
      </x:c>
      <x:c r="D56" s="131" t="str">
        <x:f t="shared" si="2"/>
      </x:c>
      <x:c r="E56" s="131" t="str">
        <x:f t="shared" si="3"/>
      </x:c>
      <x:c r="F56" s="132" t="e">
        <x:f t="shared" ref="F56:G56" si="31">IF(B56="","",F55*(1+B56/100))</x:f>
        <x:v>#NAME?</x:v>
      </x:c>
      <x:c r="G56" s="132" t="str">
        <x:f t="shared" si="31"/>
      </x:c>
      <x:c r="H56" s="132" t="str">
        <x:f t="shared" si="13"/>
      </x:c>
      <x:c r="I56" s="133" t="str">
        <x:f t="shared" si="5"/>
      </x:c>
      <x:c r="J56" s="131" t="str">
        <x:f t="shared" si="6"/>
      </x:c>
      <x:c r="K56" s="130"/>
      <x:c r="L56" s="130" t="str">
        <x:f t="shared" si="7"/>
      </x:c>
      <x:c r="M56" s="132" t="str">
        <x:f t="shared" si="8"/>
      </x:c>
      <x:c r="N56" s="132" t="str">
        <x:f t="shared" si="9"/>
      </x:c>
      <x:c r="O56" s="130"/>
      <x:c r="P56" s="130" t="str">
        <x:f t="shared" si="10"/>
      </x:c>
      <x:c r="Q56" s="131" t="str">
        <x:f t="shared" si="11"/>
      </x:c>
    </x:row>
    <x:row r="57">
      <x:c r="A57" s="130" t="str">
        <x:f>Comparativa!C23</x:f>
        <x:v>2026 Nov</x:v>
      </x:c>
      <x:c r="B57" s="131" t="e">
        <x:f>Comparativa!D23</x:f>
        <x:v>#NAME?</x:v>
      </x:c>
      <x:c r="C57" s="131" t="n">
        <x:f>Comparativa!E23</x:f>
        <x:v>0</x:v>
      </x:c>
      <x:c r="D57" s="131" t="str">
        <x:f t="shared" si="2"/>
      </x:c>
      <x:c r="E57" s="131" t="str">
        <x:f t="shared" si="3"/>
      </x:c>
      <x:c r="F57" s="132" t="e">
        <x:f t="shared" ref="F57:G57" si="32">IF(B57="","",F56*(1+B57/100))</x:f>
        <x:v>#NAME?</x:v>
      </x:c>
      <x:c r="G57" s="132" t="str">
        <x:f t="shared" si="32"/>
      </x:c>
      <x:c r="H57" s="132" t="str">
        <x:f t="shared" si="13"/>
      </x:c>
      <x:c r="I57" s="133" t="str">
        <x:f t="shared" si="5"/>
      </x:c>
      <x:c r="J57" s="131" t="str">
        <x:f t="shared" si="6"/>
      </x:c>
      <x:c r="K57" s="130"/>
      <x:c r="L57" s="130" t="str">
        <x:f t="shared" si="7"/>
      </x:c>
      <x:c r="M57" s="132" t="str">
        <x:f t="shared" si="8"/>
      </x:c>
      <x:c r="N57" s="132" t="str">
        <x:f t="shared" si="9"/>
      </x:c>
      <x:c r="O57" s="130"/>
      <x:c r="P57" s="130" t="str">
        <x:f t="shared" si="10"/>
      </x:c>
      <x:c r="Q57" s="131" t="str">
        <x:f t="shared" si="11"/>
      </x:c>
    </x:row>
    <x:row r="58">
      <x:c r="A58" s="130" t="str">
        <x:f>Comparativa!C24</x:f>
        <x:v>2026 Dic</x:v>
      </x:c>
      <x:c r="B58" s="131" t="e">
        <x:f>Comparativa!D24</x:f>
        <x:v>#NAME?</x:v>
      </x:c>
      <x:c r="C58" s="131" t="n">
        <x:f>Comparativa!E24</x:f>
        <x:v>0</x:v>
      </x:c>
      <x:c r="D58" s="131" t="str">
        <x:f t="shared" si="2"/>
      </x:c>
      <x:c r="E58" s="131" t="str">
        <x:f t="shared" si="3"/>
      </x:c>
      <x:c r="F58" s="132" t="e">
        <x:f t="shared" ref="F58:G58" si="33">IF(B58="","",F57*(1+B58/100))</x:f>
        <x:v>#NAME?</x:v>
      </x:c>
      <x:c r="G58" s="132" t="str">
        <x:f t="shared" si="33"/>
      </x:c>
      <x:c r="H58" s="132" t="str">
        <x:f t="shared" si="13"/>
      </x:c>
      <x:c r="I58" s="133" t="str">
        <x:f t="shared" si="5"/>
      </x:c>
      <x:c r="J58" s="131" t="str">
        <x:f t="shared" si="6"/>
      </x:c>
      <x:c r="K58" s="130"/>
      <x:c r="L58" s="130" t="str">
        <x:f t="shared" si="7"/>
      </x:c>
      <x:c r="M58" s="132" t="str">
        <x:f t="shared" si="8"/>
      </x:c>
      <x:c r="N58" s="132" t="str">
        <x:f t="shared" si="9"/>
      </x:c>
      <x:c r="O58" s="130"/>
      <x:c r="P58" s="130" t="str">
        <x:f t="shared" si="10"/>
      </x:c>
      <x:c r="Q58" s="131" t="str">
        <x:f t="shared" si="11"/>
      </x:c>
    </x:row>
  </x:sheetData>
  <x:mergeCells>
    <x:mergeCell ref="A1:P1"/>
    <x:mergeCell ref="C3:D4"/>
    <x:mergeCell ref="A6:P6"/>
    <x:mergeCell ref="A8:D8"/>
    <x:mergeCell ref="E8:H8"/>
    <x:mergeCell ref="I8:L8"/>
    <x:mergeCell ref="M8:P8"/>
    <x:mergeCell ref="A9:D10"/>
    <x:mergeCell ref="E9:H10"/>
    <x:mergeCell ref="I9:L10"/>
    <x:mergeCell ref="M9:P10"/>
    <x:mergeCell ref="E11:H11"/>
    <x:mergeCell ref="I11:L11"/>
    <x:mergeCell ref="M11:P11"/>
    <x:mergeCell ref="I14:L14"/>
    <x:mergeCell ref="M14:P14"/>
    <x:mergeCell ref="A15:D16"/>
    <x:mergeCell ref="E15:H16"/>
    <x:mergeCell ref="I15:L16"/>
    <x:mergeCell ref="M15:P16"/>
    <x:mergeCell ref="A17:D17"/>
    <x:mergeCell ref="A18:D18"/>
    <x:mergeCell ref="A33:Q33"/>
    <x:mergeCell ref="A11:D11"/>
    <x:mergeCell ref="A12:D13"/>
    <x:mergeCell ref="E12:H13"/>
    <x:mergeCell ref="I12:L13"/>
    <x:mergeCell ref="M12:P13"/>
    <x:mergeCell ref="A14:D14"/>
    <x:mergeCell ref="E14:H14"/>
  </x:mergeCells>
  <x:conditionalFormatting sqref="I36:I58">
    <x:cfRule type="cellIs" dxfId="7" priority="1" stopIfTrue="1" operator="lessThan">
      <x:formula>0</x:formula>
    </x:cfRule>
  </x:conditionalFormatting>
  <x:dataValidations count="1">
    <x:dataValidation type="decimal" allowBlank="1" showInputMessage="1" showErrorMessage="1" prompt="Introduce la tasa anual libre de riesgo en porcentaje." sqref="C3">
      <x:formula1>0.0</x:formula1>
      <x:formula2>20.0</x:formula2>
    </x:dataValidation>
  </x:dataValidations>
  <x:pageMargins left="0.7" right="0.7" top="0.75" bottom="0.75" header="0.3" footer="0.3"/>
  <x:drawing xmlns:r="http://schemas.openxmlformats.org/officeDocument/2006/relationships" r:id="Rd262ac32bf514aa7"/>
</x:worksheet>
</file>